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showInkAnnotation="0" codeName="ThisWorkbook"/>
  <mc:AlternateContent xmlns:mc="http://schemas.openxmlformats.org/markup-compatibility/2006">
    <mc:Choice Requires="x15">
      <x15ac:absPath xmlns:x15ac="http://schemas.microsoft.com/office/spreadsheetml/2010/11/ac" url="https://mysite.jci.com/personal/camickr_jci_com/Documents/Development Projects/Project Scope Documents/Project Initiation Form - ECN 11496/01 March Download/Automation Model/391-10013-001/"/>
    </mc:Choice>
  </mc:AlternateContent>
  <xr:revisionPtr revIDLastSave="5" documentId="13_ncr:1_{8161A820-6691-48B2-AF97-CC329E21FEC2}" xr6:coauthVersionLast="47" xr6:coauthVersionMax="47" xr10:uidLastSave="{4EF8A5E1-5CB0-40D3-898E-BBE7764FE9A3}"/>
  <bookViews>
    <workbookView xWindow="23025" yWindow="2910" windowWidth="11880" windowHeight="11055" tabRatio="899" activeTab="1" xr2:uid="{00000000-000D-0000-FFFF-FFFF00000000}"/>
  </bookViews>
  <sheets>
    <sheet name="Sheet1" sheetId="29" r:id="rId1"/>
    <sheet name="Data" sheetId="28" r:id="rId2"/>
    <sheet name="Excel Calcs" sheetId="30" r:id="rId3"/>
    <sheet name="Fan Data" sheetId="19" r:id="rId4"/>
    <sheet name="Channel Loc" sheetId="27" r:id="rId5"/>
    <sheet name="Isolator Plate" sheetId="31" r:id="rId6"/>
    <sheet name="Iso Sup Angle" sheetId="42" r:id="rId7"/>
    <sheet name="Hole Sizes" sheetId="25" r:id="rId8"/>
    <sheet name="Material List" sheetId="38" r:id="rId9"/>
    <sheet name="Steel List" sheetId="39" r:id="rId10"/>
    <sheet name="Revision List" sheetId="24" r:id="rId11"/>
  </sheets>
  <definedNames>
    <definedName name="_xlnm._FilterDatabase" localSheetId="3" hidden="1">'Fan Data'!#REF!</definedName>
    <definedName name="_xlnm._FilterDatabase" localSheetId="8" hidden="1">'Material List'!$A$8:$A$120</definedName>
    <definedName name="Construction">Data!$B$11</definedName>
    <definedName name="ERRORS">Data!$B$15</definedName>
    <definedName name="FAN_A">'Fan Data'!$D$3</definedName>
    <definedName name="FAN_B">'Fan Data'!$E$3</definedName>
    <definedName name="Fan_Data_Column_Names">'Fan Data'!$C$3:$H$3</definedName>
    <definedName name="Fan_Data_Table">'Fan Data'!$C$3:$H$25</definedName>
    <definedName name="FAN_DC">'Fan Data'!$F$3</definedName>
    <definedName name="FAN_Q">'Fan Data'!$G$3</definedName>
    <definedName name="FAN_X_LOCATION">Data!$B$7</definedName>
    <definedName name="FANDISCHARGELOC">Data!$B$6</definedName>
    <definedName name="FANSIZE">Data!$B$5</definedName>
    <definedName name="FanStndStrBasePadThk">Data!$G$4</definedName>
    <definedName name="FLOOR_CHAN_1_X_ARRAY_OFFSET">'Channel Loc'!$D$6</definedName>
    <definedName name="FLOOR_CHAN_1_X_ARRAY_QTY">'Channel Loc'!$E$6</definedName>
    <definedName name="FLOOR_CHAN_1_X_ARRAY_SPACING">'Channel Loc'!$F$6</definedName>
    <definedName name="FLOOR_CHAN_1_Z_LOC">'Channel Loc'!$C$6</definedName>
    <definedName name="FLOOR_CHAN_10_X_ARRAY_OFFSET">'Channel Loc'!$D$15</definedName>
    <definedName name="FLOOR_CHAN_10_X_ARRAY_QTY">'Channel Loc'!$E$15</definedName>
    <definedName name="FLOOR_CHAN_10_X_ARRAY_SPACING">'Channel Loc'!$F$15</definedName>
    <definedName name="FLOOR_CHAN_10_Z_LOC">'Channel Loc'!$C$15</definedName>
    <definedName name="FLOOR_CHAN_11_X_ARRAY_OFFSET">'Channel Loc'!$D$16</definedName>
    <definedName name="FLOOR_CHAN_11_X_ARRAY_QTY">'Channel Loc'!$E$16</definedName>
    <definedName name="FLOOR_CHAN_11_X_ARRAY_SPACING">'Channel Loc'!$F$16</definedName>
    <definedName name="FLOOR_CHAN_11_Z_LOC">'Channel Loc'!$C$16</definedName>
    <definedName name="FLOOR_CHAN_12_X_ARRAY_OFFSET">'Channel Loc'!$D$17</definedName>
    <definedName name="FLOOR_CHAN_12_X_ARRAY_QTY">'Channel Loc'!$E$17</definedName>
    <definedName name="FLOOR_CHAN_12_X_ARRAY_SPACING">'Channel Loc'!$F$17</definedName>
    <definedName name="FLOOR_CHAN_12_Z_LOC">'Channel Loc'!$C$17</definedName>
    <definedName name="FLOOR_CHAN_13_X_ARRAY_OFFSET">'Channel Loc'!$D$18</definedName>
    <definedName name="FLOOR_CHAN_13_X_ARRAY_QTY">'Channel Loc'!$E$18</definedName>
    <definedName name="FLOOR_CHAN_13_X_ARRAY_SPACING">'Channel Loc'!$F$18</definedName>
    <definedName name="FLOOR_CHAN_13_Z_LOC">'Channel Loc'!$C$18</definedName>
    <definedName name="FLOOR_CHAN_14_X_ARRAY_OFFSET">'Channel Loc'!$D$19</definedName>
    <definedName name="FLOOR_CHAN_14_X_ARRAY_QTY">'Channel Loc'!$E$19</definedName>
    <definedName name="FLOOR_CHAN_14_X_ARRAY_SPACING">'Channel Loc'!$F$19</definedName>
    <definedName name="FLOOR_CHAN_14_Z_LOC">'Channel Loc'!$C$19</definedName>
    <definedName name="FLOOR_CHAN_15_X_ARRAY_OFFSET">'Channel Loc'!$D$20</definedName>
    <definedName name="FLOOR_CHAN_15_X_ARRAY_QTY">'Channel Loc'!$E$20</definedName>
    <definedName name="FLOOR_CHAN_15_X_ARRAY_SPACING">'Channel Loc'!$F$20</definedName>
    <definedName name="FLOOR_CHAN_15_Z_LOC">'Channel Loc'!$C$20</definedName>
    <definedName name="FLOOR_CHAN_16_X_ARRAY_OFFSET">'Channel Loc'!$D$21</definedName>
    <definedName name="FLOOR_CHAN_16_X_ARRAY_QTY">'Channel Loc'!$E$21</definedName>
    <definedName name="FLOOR_CHAN_16_X_ARRAY_SPACING">'Channel Loc'!$F$21</definedName>
    <definedName name="FLOOR_CHAN_16_Z_LOC">'Channel Loc'!$C$21</definedName>
    <definedName name="FLOOR_CHAN_17_X_ARRAY_OFFSET">'Channel Loc'!$D$22</definedName>
    <definedName name="FLOOR_CHAN_17_X_ARRAY_QTY">'Channel Loc'!$E$22</definedName>
    <definedName name="FLOOR_CHAN_17_X_ARRAY_SPACING">'Channel Loc'!$F$22</definedName>
    <definedName name="FLOOR_CHAN_17_Z_LOC">'Channel Loc'!$C$22</definedName>
    <definedName name="FLOOR_CHAN_18_X_ARRAY_OFFSET">'Channel Loc'!$D$23</definedName>
    <definedName name="FLOOR_CHAN_18_X_ARRAY_QTY">'Channel Loc'!$E$23</definedName>
    <definedName name="FLOOR_CHAN_18_X_ARRAY_SPACING">'Channel Loc'!$F$23</definedName>
    <definedName name="FLOOR_CHAN_18_Z_LOC">'Channel Loc'!$C$23</definedName>
    <definedName name="FLOOR_CHAN_19_X_ARRAY_OFFSET">'Channel Loc'!$D$24</definedName>
    <definedName name="FLOOR_CHAN_19_X_ARRAY_QTY">'Channel Loc'!$E$24</definedName>
    <definedName name="FLOOR_CHAN_19_X_ARRAY_SPACING">'Channel Loc'!$F$24</definedName>
    <definedName name="FLOOR_CHAN_19_Z_LOC">'Channel Loc'!$C$24</definedName>
    <definedName name="FLOOR_CHAN_2_X_ARRAY_OFFSET">'Channel Loc'!$D$7</definedName>
    <definedName name="FLOOR_CHAN_2_X_ARRAY_QTY">'Channel Loc'!$E$7</definedName>
    <definedName name="FLOOR_CHAN_2_X_ARRAY_SPACING">'Channel Loc'!$F$7</definedName>
    <definedName name="FLOOR_CHAN_2_Z_LOC">'Channel Loc'!$C$7</definedName>
    <definedName name="FLOOR_CHAN_20_X_ARRAY_OFFSET">'Channel Loc'!$D$25</definedName>
    <definedName name="FLOOR_CHAN_20_X_ARRAY_QTY">'Channel Loc'!$E$25</definedName>
    <definedName name="FLOOR_CHAN_20_X_ARRAY_SPACING">'Channel Loc'!$F$25</definedName>
    <definedName name="FLOOR_CHAN_20_Z_LOC">'Channel Loc'!$C$25</definedName>
    <definedName name="FLOOR_CHAN_3_X_ARRAY_OFFSET">'Channel Loc'!$D$8</definedName>
    <definedName name="FLOOR_CHAN_3_X_ARRAY_QTY">'Channel Loc'!$E$8</definedName>
    <definedName name="FLOOR_CHAN_3_X_ARRAY_SPACING">'Channel Loc'!$F$8</definedName>
    <definedName name="FLOOR_CHAN_3_Z_LOC">'Channel Loc'!$C$8</definedName>
    <definedName name="FLOOR_CHAN_4_X_ARRAY_OFFSET">'Channel Loc'!$D$9</definedName>
    <definedName name="FLOOR_CHAN_4_X_ARRAY_QTY">'Channel Loc'!$E$9</definedName>
    <definedName name="FLOOR_CHAN_4_X_ARRAY_SPACING">'Channel Loc'!$F$9</definedName>
    <definedName name="FLOOR_CHAN_4_Z_LOC">'Channel Loc'!$C$9</definedName>
    <definedName name="FLOOR_CHAN_5_X_ARRAY_OFFSET">'Channel Loc'!$D$10</definedName>
    <definedName name="FLOOR_CHAN_5_X_ARRAY_QTY">'Channel Loc'!$E$10</definedName>
    <definedName name="FLOOR_CHAN_5_X_ARRAY_SPACING">'Channel Loc'!$F$10</definedName>
    <definedName name="FLOOR_CHAN_5_Z_LOC">'Channel Loc'!$C$10</definedName>
    <definedName name="FLOOR_CHAN_6_X_ARRAY_OFFSET">'Channel Loc'!$D$11</definedName>
    <definedName name="FLOOR_CHAN_6_X_ARRAY_QTY">'Channel Loc'!$E$11</definedName>
    <definedName name="FLOOR_CHAN_6_X_ARRAY_SPACING">'Channel Loc'!$F$11</definedName>
    <definedName name="FLOOR_CHAN_6_Z_LOC">'Channel Loc'!$C$11</definedName>
    <definedName name="FLOOR_CHAN_7_X_ARRAY_OFFSET">'Channel Loc'!$D$12</definedName>
    <definedName name="FLOOR_CHAN_7_X_ARRAY_QTY">'Channel Loc'!$E$12</definedName>
    <definedName name="FLOOR_CHAN_7_X_ARRAY_SPACING">'Channel Loc'!$F$12</definedName>
    <definedName name="FLOOR_CHAN_7_Z_LOC">'Channel Loc'!$C$12</definedName>
    <definedName name="FLOOR_CHAN_8_X_ARRAY_OFFSET">'Channel Loc'!$D$13</definedName>
    <definedName name="FLOOR_CHAN_8_X_ARRAY_QTY">'Channel Loc'!$E$13</definedName>
    <definedName name="FLOOR_CHAN_8_X_ARRAY_SPACING">'Channel Loc'!$F$13</definedName>
    <definedName name="FLOOR_CHAN_8_Z_LOC">'Channel Loc'!$C$13</definedName>
    <definedName name="FLOOR_CHAN_9_X_ARRAY_OFFSET">'Channel Loc'!$D$14</definedName>
    <definedName name="FLOOR_CHAN_9_X_ARRAY_QTY">'Channel Loc'!$E$14</definedName>
    <definedName name="FLOOR_CHAN_9_X_ARRAY_SPACING">'Channel Loc'!$F$14</definedName>
    <definedName name="FLOOR_CHAN_9_Z_LOC">'Channel Loc'!$C$14</definedName>
    <definedName name="IH">Data!$B$3</definedName>
    <definedName name="INERTIA">Data!$B$9</definedName>
    <definedName name="Isolator_Plate_Column_Names">'Isolator Plate'!$B$3:$F$3</definedName>
    <definedName name="Isolator_Plate_Table">'Isolator Plate'!$B$2:$F$9</definedName>
    <definedName name="Isolator_SupAng_Column_Names">'Iso Sup Angle'!$B$3:$G$3</definedName>
    <definedName name="Isolator_SupAng_Table">'Iso Sup Angle'!$B$2:$G$5</definedName>
    <definedName name="ISOLATORDEFLECTION">Data!$B$8</definedName>
    <definedName name="IW">Data!$B$4</definedName>
    <definedName name="LEFT_HAND_CHAN_1_Y_ARRAY_OFFSET">'Channel Loc'!$D$57</definedName>
    <definedName name="LEFT_HAND_CHAN_1_Y_ARRAY_QTY">'Channel Loc'!$E$57</definedName>
    <definedName name="LEFT_HAND_CHAN_1_Y_ARRAY_SPACING">'Channel Loc'!$F$57</definedName>
    <definedName name="LEFT_HAND_CHAN_1_Z_LOC">'Channel Loc'!$C$57</definedName>
    <definedName name="LEFT_HAND_CHAN_10_Y_ARRAY_OFFSET">'Channel Loc'!$D$66</definedName>
    <definedName name="LEFT_HAND_CHAN_10_Y_ARRAY_QTY">'Channel Loc'!$E$66</definedName>
    <definedName name="LEFT_HAND_CHAN_10_Y_ARRAY_SPACING">'Channel Loc'!$F$66</definedName>
    <definedName name="LEFT_HAND_CHAN_10_Z_LOC">'Channel Loc'!$C$66</definedName>
    <definedName name="LEFT_HAND_CHAN_2_Y_ARRAY_OFFSET">'Channel Loc'!$D$58</definedName>
    <definedName name="LEFT_HAND_CHAN_2_Y_ARRAY_QTY">'Channel Loc'!$E$58</definedName>
    <definedName name="LEFT_HAND_CHAN_2_Y_ARRAY_SPACING">'Channel Loc'!$F$58</definedName>
    <definedName name="LEFT_HAND_CHAN_2_Z_LOC">'Channel Loc'!$C$58</definedName>
    <definedName name="LEFT_HAND_CHAN_3_Y_ARRAY_OFFSET">'Channel Loc'!$D$59</definedName>
    <definedName name="LEFT_HAND_CHAN_3_Y_ARRAY_QTY">'Channel Loc'!$E$59</definedName>
    <definedName name="LEFT_HAND_CHAN_3_Y_ARRAY_SPACING">'Channel Loc'!$F$59</definedName>
    <definedName name="LEFT_HAND_CHAN_3_Z_LOC">'Channel Loc'!$C$59</definedName>
    <definedName name="LEFT_HAND_CHAN_4_Y_ARRAY_OFFSET">'Channel Loc'!$D$60</definedName>
    <definedName name="LEFT_HAND_CHAN_4_Y_ARRAY_QTY">'Channel Loc'!$E$60</definedName>
    <definedName name="LEFT_HAND_CHAN_4_Y_ARRAY_SPACING">'Channel Loc'!$F$60</definedName>
    <definedName name="LEFT_HAND_CHAN_4_Z_LOC">'Channel Loc'!$C$60</definedName>
    <definedName name="LEFT_HAND_CHAN_5_Y_ARRAY_OFFSET">'Channel Loc'!$D$61</definedName>
    <definedName name="LEFT_HAND_CHAN_5_Y_ARRAY_QTY">'Channel Loc'!$E$61</definedName>
    <definedName name="LEFT_HAND_CHAN_5_Y_ARRAY_SPACING">'Channel Loc'!$F$61</definedName>
    <definedName name="LEFT_HAND_CHAN_5_Z_LOC">'Channel Loc'!$C$61</definedName>
    <definedName name="LEFT_HAND_CHAN_6_Y_ARRAY_OFFSET">'Channel Loc'!$D$62</definedName>
    <definedName name="LEFT_HAND_CHAN_6_Y_ARRAY_QTY">'Channel Loc'!$E$62</definedName>
    <definedName name="LEFT_HAND_CHAN_6_Y_ARRAY_SPACING">'Channel Loc'!$F$62</definedName>
    <definedName name="LEFT_HAND_CHAN_6_Z_LOC">'Channel Loc'!$C$62</definedName>
    <definedName name="LEFT_HAND_CHAN_7_Y_ARRAY_OFFSET">'Channel Loc'!$D$63</definedName>
    <definedName name="LEFT_HAND_CHAN_7_Y_ARRAY_QTY">'Channel Loc'!$E$63</definedName>
    <definedName name="LEFT_HAND_CHAN_7_Y_ARRAY_SPACING">'Channel Loc'!$F$63</definedName>
    <definedName name="LEFT_HAND_CHAN_7_Z_LOC">'Channel Loc'!$C$63</definedName>
    <definedName name="LEFT_HAND_CHAN_8_Y_ARRAY_OFFSET">'Channel Loc'!$D$64</definedName>
    <definedName name="LEFT_HAND_CHAN_8_Y_ARRAY_QTY">'Channel Loc'!$E$64</definedName>
    <definedName name="LEFT_HAND_CHAN_8_Y_ARRAY_SPACING">'Channel Loc'!$F$64</definedName>
    <definedName name="LEFT_HAND_CHAN_8_Z_LOC">'Channel Loc'!$C$64</definedName>
    <definedName name="LEFT_HAND_CHAN_9_Y_ARRAY_OFFSET">'Channel Loc'!$D$65</definedName>
    <definedName name="LEFT_HAND_CHAN_9_Y_ARRAY_QTY">'Channel Loc'!$E$65</definedName>
    <definedName name="LEFT_HAND_CHAN_9_Y_ARRAY_SPACING">'Channel Loc'!$F$65</definedName>
    <definedName name="LEFT_HAND_CHAN_9_Z_LOC">'Channel Loc'!$C$65</definedName>
    <definedName name="MAT_CUT">'Material List'!$O$7</definedName>
    <definedName name="MAT_DESC">'Material List'!$L$7</definedName>
    <definedName name="MAT_DESG">'Material List'!$Q$7</definedName>
    <definedName name="MAT_DEST">'Material List'!$G$7</definedName>
    <definedName name="MAT_DXF">'Material List'!$R$7</definedName>
    <definedName name="MAT_GA">'Material List'!$E$7</definedName>
    <definedName name="MAT_GRP">'Material List'!$D$7</definedName>
    <definedName name="MAT_HLSZ">'Material List'!$S$7</definedName>
    <definedName name="MAT_KEYT">'Material List'!$H$7</definedName>
    <definedName name="MAT_LOOKUP">'Material List'!$A$7</definedName>
    <definedName name="MAT_MINT">'Material List'!$F$7</definedName>
    <definedName name="MAT_PNUM">'Material List'!$K$7</definedName>
    <definedName name="MAT_RSTD">'Material List'!$N$7</definedName>
    <definedName name="MAT_STG">'Material List'!$T$7</definedName>
    <definedName name="MAT_TYPE">'Material List'!$M$7</definedName>
    <definedName name="MAT_UMSR">'Material List'!$P$7</definedName>
    <definedName name="MAT_XT">'Material List'!$I$7</definedName>
    <definedName name="MAT_YC">'Material List'!$J$7</definedName>
    <definedName name="Material_List_Column_Names">'Material List'!$A$7:$V$7</definedName>
    <definedName name="Material_List_Table">'Material List'!$A$6:$V$129</definedName>
    <definedName name="MaterialStyle">Data!$B$10</definedName>
    <definedName name="PerfThkO">Data!$B$13</definedName>
    <definedName name="Plate_Data_Column_Names">'Isolator Plate'!$D$3:$F$3</definedName>
    <definedName name="PLT_D">'Isolator Plate'!$B$3</definedName>
    <definedName name="PLT_L">'Isolator Plate'!$E$3</definedName>
    <definedName name="PLT_T">'Isolator Plate'!$F$3</definedName>
    <definedName name="PLT_W">'Isolator Plate'!$D$3</definedName>
    <definedName name="RIGHT_HAND_CHAN_1_Y_ARRAY_OFFSET">'Channel Loc'!$D$45</definedName>
    <definedName name="RIGHT_HAND_CHAN_1_Y_ARRAY_QTY">'Channel Loc'!$E$45</definedName>
    <definedName name="RIGHT_HAND_CHAN_1_Y_ARRAY_SPACING">'Channel Loc'!$F$45</definedName>
    <definedName name="RIGHT_HAND_CHAN_1_Z_LOC">'Channel Loc'!$C$45</definedName>
    <definedName name="RIGHT_HAND_CHAN_10_Y_ARRAY_OFFSET">'Channel Loc'!$D$54</definedName>
    <definedName name="RIGHT_HAND_CHAN_10_Y_ARRAY_QTY">'Channel Loc'!$E$54</definedName>
    <definedName name="RIGHT_HAND_CHAN_10_Y_ARRAY_SPACING">'Channel Loc'!$F$54</definedName>
    <definedName name="RIGHT_HAND_CHAN_10_Z_LOC">'Channel Loc'!$C$54</definedName>
    <definedName name="RIGHT_HAND_CHAN_2_Y_ARRAY_OFFSET">'Channel Loc'!$D$46</definedName>
    <definedName name="RIGHT_HAND_CHAN_2_Y_ARRAY_QTY">'Channel Loc'!$E$46</definedName>
    <definedName name="RIGHT_HAND_CHAN_2_Y_ARRAY_SPACING">'Channel Loc'!$F$46</definedName>
    <definedName name="RIGHT_HAND_CHAN_2_Z_LOC">'Channel Loc'!$C$46</definedName>
    <definedName name="RIGHT_HAND_CHAN_3_Y_ARRAY_OFFSET">'Channel Loc'!$D$47</definedName>
    <definedName name="RIGHT_HAND_CHAN_3_Y_ARRAY_QTY">'Channel Loc'!$E$47</definedName>
    <definedName name="RIGHT_HAND_CHAN_3_Y_ARRAY_SPACING">'Channel Loc'!$F$47</definedName>
    <definedName name="RIGHT_HAND_CHAN_3_Z_LOC">'Channel Loc'!$C$47</definedName>
    <definedName name="RIGHT_HAND_CHAN_4_Y_ARRAY_OFFSET">'Channel Loc'!$D$48</definedName>
    <definedName name="RIGHT_HAND_CHAN_4_Y_ARRAY_QTY">'Channel Loc'!$E$48</definedName>
    <definedName name="RIGHT_HAND_CHAN_4_Y_ARRAY_SPACING">'Channel Loc'!$F$48</definedName>
    <definedName name="RIGHT_HAND_CHAN_4_Z_LOC">'Channel Loc'!$C$48</definedName>
    <definedName name="RIGHT_HAND_CHAN_5_Y_ARRAY_OFFSET">'Channel Loc'!$D$49</definedName>
    <definedName name="RIGHT_HAND_CHAN_5_Y_ARRAY_QTY">'Channel Loc'!$E$49</definedName>
    <definedName name="RIGHT_HAND_CHAN_5_Y_ARRAY_SPACING">'Channel Loc'!$F$49</definedName>
    <definedName name="RIGHT_HAND_CHAN_5_Z_LOC">'Channel Loc'!$C$49</definedName>
    <definedName name="RIGHT_HAND_CHAN_6_Y_ARRAY_OFFSET">'Channel Loc'!$D$50</definedName>
    <definedName name="RIGHT_HAND_CHAN_6_Y_ARRAY_QTY">'Channel Loc'!$E$50</definedName>
    <definedName name="RIGHT_HAND_CHAN_6_Y_ARRAY_SPACING">'Channel Loc'!$F$50</definedName>
    <definedName name="RIGHT_HAND_CHAN_6_Z_LOC">'Channel Loc'!$C$50</definedName>
    <definedName name="RIGHT_HAND_CHAN_7_Y_ARRAY_OFFSET">'Channel Loc'!$D$51</definedName>
    <definedName name="RIGHT_HAND_CHAN_7_Y_ARRAY_QTY">'Channel Loc'!$E$51</definedName>
    <definedName name="RIGHT_HAND_CHAN_7_Y_ARRAY_SPACING">'Channel Loc'!$F$51</definedName>
    <definedName name="RIGHT_HAND_CHAN_7_Z_LOC">'Channel Loc'!$C$51</definedName>
    <definedName name="RIGHT_HAND_CHAN_8_Y_ARRAY_OFFSET">'Channel Loc'!$D$52</definedName>
    <definedName name="RIGHT_HAND_CHAN_8_Y_ARRAY_QTY">'Channel Loc'!$E$52</definedName>
    <definedName name="RIGHT_HAND_CHAN_8_Y_ARRAY_SPACING">'Channel Loc'!$F$52</definedName>
    <definedName name="RIGHT_HAND_CHAN_8_Z_LOC">'Channel Loc'!$C$52</definedName>
    <definedName name="RIGHT_HAND_CHAN_9_Y_ARRAY_OFFSET">'Channel Loc'!$D$53</definedName>
    <definedName name="RIGHT_HAND_CHAN_9_Y_ARRAY_QTY">'Channel Loc'!$E$53</definedName>
    <definedName name="RIGHT_HAND_CHAN_9_Y_ARRAY_SPACING">'Channel Loc'!$F$53</definedName>
    <definedName name="RIGHT_HAND_CHAN_9_Z_LOC">'Channel Loc'!$C$53</definedName>
    <definedName name="ROOF_CHAN_1_X_ARRAY_OFFSET">'Channel Loc'!$D$28</definedName>
    <definedName name="ROOF_CHAN_1_X_ARRAY_QTY">'Channel Loc'!$E$28</definedName>
    <definedName name="ROOF_CHAN_1_X_ARRAY_SPACING">'Channel Loc'!$F$28</definedName>
    <definedName name="ROOF_CHAN_1_Z_LOC">'Channel Loc'!$C$28</definedName>
    <definedName name="ROOF_CHAN_10_X_ARRAY_OFFSET">'Channel Loc'!$D$37</definedName>
    <definedName name="ROOF_CHAN_10_X_ARRAY_QTY">'Channel Loc'!$E$37</definedName>
    <definedName name="ROOF_CHAN_10_X_ARRAY_SPACING">'Channel Loc'!$F$37</definedName>
    <definedName name="ROOF_CHAN_10_Z_LOC">'Channel Loc'!$C$37</definedName>
    <definedName name="ROOF_CHAN_11_X_ARRAY_OFFSET">'Channel Loc'!$D$38</definedName>
    <definedName name="ROOF_CHAN_11_X_ARRAY_QTY">'Channel Loc'!$E$38</definedName>
    <definedName name="ROOF_CHAN_11_X_ARRAY_SPACING">'Channel Loc'!$F$38</definedName>
    <definedName name="ROOF_CHAN_11_Z_LOC">'Channel Loc'!$C$38</definedName>
    <definedName name="ROOF_CHAN_12_X_ARRAY_OFFSET">'Channel Loc'!$D$39</definedName>
    <definedName name="ROOF_CHAN_12_X_ARRAY_QTY">'Channel Loc'!$E$39</definedName>
    <definedName name="ROOF_CHAN_12_X_ARRAY_SPACING">'Channel Loc'!$F$39</definedName>
    <definedName name="ROOF_CHAN_12_Z_LOC">'Channel Loc'!$C$39</definedName>
    <definedName name="ROOF_CHAN_13_X_ARRAY_OFFSET">'Channel Loc'!$D$40</definedName>
    <definedName name="ROOF_CHAN_13_X_ARRAY_QTY">'Channel Loc'!$E$40</definedName>
    <definedName name="ROOF_CHAN_13_X_ARRAY_SPACING">'Channel Loc'!$F$40</definedName>
    <definedName name="ROOF_CHAN_13_Z_LOC">'Channel Loc'!$C$40</definedName>
    <definedName name="ROOF_CHAN_14_X_ARRAY_OFFSET">'Channel Loc'!$D$41</definedName>
    <definedName name="ROOF_CHAN_14_X_ARRAY_QTY">'Channel Loc'!$E$41</definedName>
    <definedName name="ROOF_CHAN_14_X_ARRAY_SPACING">'Channel Loc'!$F$41</definedName>
    <definedName name="ROOF_CHAN_14_Z_LOC">'Channel Loc'!$C$41</definedName>
    <definedName name="ROOF_CHAN_15_X_ARRAY_OFFSET">'Channel Loc'!$D$42</definedName>
    <definedName name="ROOF_CHAN_15_X_ARRAY_QTY">'Channel Loc'!$E$42</definedName>
    <definedName name="ROOF_CHAN_15_X_ARRAY_SPACING">'Channel Loc'!$F$42</definedName>
    <definedName name="ROOF_CHAN_15_Z_LOC">'Channel Loc'!$C$42</definedName>
    <definedName name="ROOF_CHAN_2_X_ARRAY_OFFSET">'Channel Loc'!$D$29</definedName>
    <definedName name="ROOF_CHAN_2_X_ARRAY_QTY">'Channel Loc'!$E$29</definedName>
    <definedName name="ROOF_CHAN_2_X_ARRAY_SPACING">'Channel Loc'!$F$29</definedName>
    <definedName name="ROOF_CHAN_2_Z_LOC">'Channel Loc'!$C$29</definedName>
    <definedName name="ROOF_CHAN_3_X_ARRAY_OFFSET">'Channel Loc'!$D$30</definedName>
    <definedName name="ROOF_CHAN_3_X_ARRAY_QTY">'Channel Loc'!$E$30</definedName>
    <definedName name="ROOF_CHAN_3_X_ARRAY_SPACING">'Channel Loc'!$F$30</definedName>
    <definedName name="ROOF_CHAN_3_Z_LOC">'Channel Loc'!$C$30</definedName>
    <definedName name="ROOF_CHAN_4_X_ARRAY_OFFSET">'Channel Loc'!$D$31</definedName>
    <definedName name="ROOF_CHAN_4_X_ARRAY_QTY">'Channel Loc'!$E$31</definedName>
    <definedName name="ROOF_CHAN_4_X_ARRAY_SPACING">'Channel Loc'!$F$31</definedName>
    <definedName name="ROOF_CHAN_4_Z_LOC">'Channel Loc'!$C$31</definedName>
    <definedName name="ROOF_CHAN_5_X_ARRAY_OFFSET">'Channel Loc'!$D$32</definedName>
    <definedName name="ROOF_CHAN_5_X_ARRAY_QTY">'Channel Loc'!$E$32</definedName>
    <definedName name="ROOF_CHAN_5_X_ARRAY_SPACING">'Channel Loc'!$F$32</definedName>
    <definedName name="ROOF_CHAN_5_Z_LOC">'Channel Loc'!$C$32</definedName>
    <definedName name="ROOF_CHAN_6_X_ARRAY_OFFSET">'Channel Loc'!$D$33</definedName>
    <definedName name="ROOF_CHAN_6_X_ARRAY_QTY">'Channel Loc'!$E$33</definedName>
    <definedName name="ROOF_CHAN_6_X_ARRAY_SPACING">'Channel Loc'!$F$33</definedName>
    <definedName name="ROOF_CHAN_6_Z_LOC">'Channel Loc'!$C$33</definedName>
    <definedName name="ROOF_CHAN_7_X_ARRAY_OFFSET">'Channel Loc'!$D$34</definedName>
    <definedName name="ROOF_CHAN_7_X_ARRAY_QTY">'Channel Loc'!$E$34</definedName>
    <definedName name="ROOF_CHAN_7_X_ARRAY_SPACING">'Channel Loc'!$F$34</definedName>
    <definedName name="ROOF_CHAN_7_Z_LOC">'Channel Loc'!$C$34</definedName>
    <definedName name="ROOF_CHAN_8_X_ARRAY_OFFSET">'Channel Loc'!$D$35</definedName>
    <definedName name="ROOF_CHAN_8_X_ARRAY_QTY">'Channel Loc'!$E$35</definedName>
    <definedName name="ROOF_CHAN_8_X_ARRAY_SPACING">'Channel Loc'!$F$35</definedName>
    <definedName name="ROOF_CHAN_8_Z_LOC">'Channel Loc'!$C$35</definedName>
    <definedName name="ROOF_CHAN_9_X_ARRAY_OFFSET">'Channel Loc'!$D$36</definedName>
    <definedName name="ROOF_CHAN_9_X_ARRAY_QTY">'Channel Loc'!$E$36</definedName>
    <definedName name="ROOF_CHAN_9_X_ARRAY_SPACING">'Channel Loc'!$F$36</definedName>
    <definedName name="ROOF_CHAN_9_Z_LOC">'Channel Loc'!$C$36</definedName>
    <definedName name="SEISMIC">Data!$C$11</definedName>
    <definedName name="Steel_List_Column_Names">'Steel List'!$A$4:$V$4</definedName>
    <definedName name="Steel_List_Table">'Steel List'!$A$3:$V$88</definedName>
    <definedName name="STL_CUT">'Steel List'!$Q$4</definedName>
    <definedName name="STL_D">'Steel List'!$I$4</definedName>
    <definedName name="STL_DESC">'Steel List'!$N$4</definedName>
    <definedName name="STL_DESG">'Steel List'!$S$4</definedName>
    <definedName name="STL_DXF">'Steel List'!$T$4</definedName>
    <definedName name="STL_FTR">'Steel List'!$J$4</definedName>
    <definedName name="STL_GRP">'Steel List'!$D$4</definedName>
    <definedName name="STL_H">'Steel List'!$G$4</definedName>
    <definedName name="STL_LBFT">'Steel List'!$E$4</definedName>
    <definedName name="STL_LOOKUP">'Steel List'!$A$4</definedName>
    <definedName name="STL_PNUM">'Steel List'!$M$4</definedName>
    <definedName name="STL_RSTD">'Steel List'!$P$4</definedName>
    <definedName name="STL_TYPE">'Steel List'!$O$4</definedName>
    <definedName name="STL_UMSR">'Steel List'!$R$4</definedName>
    <definedName name="STL_WT">'Steel List'!$F$4</definedName>
    <definedName name="STL_XT">'Steel List'!$K$4</definedName>
    <definedName name="STL_YC">'Steel List'!$L$4</definedName>
    <definedName name="SUPANG_D">'Iso Sup Angle'!$E$3</definedName>
    <definedName name="SUPANG_DESG">'Iso Sup Angle'!$B$3</definedName>
    <definedName name="SUPANG_H">'Iso Sup Angle'!$D$3</definedName>
    <definedName name="SUPANG_L">'Iso Sup Angle'!$F$3</definedName>
    <definedName name="SUPANG_WT">'Iso Sup Angle'!$G$3</definedName>
    <definedName name="SupFrameThkO">Data!$B$12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29" l="1"/>
  <c r="B30" i="29"/>
  <c r="H28" i="30"/>
  <c r="B32" i="29" s="1"/>
  <c r="H27" i="30"/>
  <c r="B31" i="29" s="1"/>
  <c r="H26" i="30"/>
  <c r="B91" i="29"/>
  <c r="B92" i="29"/>
  <c r="B90" i="29"/>
  <c r="K44" i="30"/>
  <c r="B82" i="29"/>
  <c r="B85" i="29"/>
  <c r="B86" i="29"/>
  <c r="B87" i="29"/>
  <c r="K41" i="30"/>
  <c r="K39" i="30"/>
  <c r="K11" i="30"/>
  <c r="B63" i="29" s="1"/>
  <c r="B73" i="29"/>
  <c r="B62" i="29"/>
  <c r="K24" i="30"/>
  <c r="K10" i="30"/>
  <c r="B69" i="29"/>
  <c r="B70" i="29"/>
  <c r="B71" i="29"/>
  <c r="B72" i="29"/>
  <c r="B74" i="29"/>
  <c r="B75" i="29"/>
  <c r="B59" i="29"/>
  <c r="B60" i="29"/>
  <c r="B61" i="29"/>
  <c r="B58" i="29"/>
  <c r="K23" i="30"/>
  <c r="K21" i="30"/>
  <c r="K9" i="30"/>
  <c r="K7" i="30"/>
  <c r="E27" i="30"/>
  <c r="E29" i="30"/>
  <c r="F28" i="27"/>
  <c r="F29" i="27" s="1"/>
  <c r="F6" i="27"/>
  <c r="F7" i="27" s="1"/>
  <c r="B19" i="29"/>
  <c r="B23" i="29"/>
  <c r="E34" i="30" l="1"/>
  <c r="H49" i="30" l="1"/>
  <c r="B48" i="29" s="1"/>
  <c r="H48" i="30"/>
  <c r="H41" i="30"/>
  <c r="H16" i="30"/>
  <c r="B8" i="30" s="1"/>
  <c r="B26" i="29"/>
  <c r="H21" i="30"/>
  <c r="B25" i="29" s="1"/>
  <c r="H8" i="30"/>
  <c r="B15" i="29" s="1"/>
  <c r="K38" i="30" l="1"/>
  <c r="B84" i="29" s="1"/>
  <c r="H42" i="30"/>
  <c r="B43" i="29" s="1"/>
  <c r="H52" i="30"/>
  <c r="B42" i="29"/>
  <c r="H47" i="30"/>
  <c r="K12" i="30" l="1"/>
  <c r="B64" i="29"/>
  <c r="H53" i="30"/>
  <c r="B52" i="29" s="1"/>
  <c r="B51" i="29"/>
  <c r="B46" i="29"/>
  <c r="B47" i="29"/>
  <c r="H57" i="30" l="1"/>
  <c r="H37" i="30"/>
  <c r="K37" i="30" s="1"/>
  <c r="B36" i="29"/>
  <c r="B37" i="29"/>
  <c r="B17" i="29"/>
  <c r="B18" i="29"/>
  <c r="B83" i="29" l="1"/>
  <c r="K34" i="30"/>
  <c r="E5" i="30"/>
  <c r="B80" i="29" l="1"/>
  <c r="K35" i="30"/>
  <c r="B81" i="29" s="1"/>
  <c r="B12" i="30"/>
  <c r="E9" i="30" s="1"/>
  <c r="E10" i="30" l="1"/>
  <c r="E8" i="30" s="1"/>
  <c r="B18" i="30"/>
  <c r="B17" i="30"/>
  <c r="B19" i="30" s="1"/>
  <c r="E25" i="30" s="1"/>
  <c r="K4" i="30" s="1"/>
  <c r="F22" i="19"/>
  <c r="F21" i="19"/>
  <c r="F20" i="19"/>
  <c r="F19" i="19"/>
  <c r="F18" i="19"/>
  <c r="F17" i="19"/>
  <c r="F16" i="19"/>
  <c r="F15" i="19"/>
  <c r="F14" i="19"/>
  <c r="F13" i="19"/>
  <c r="F12" i="19"/>
  <c r="F11" i="19"/>
  <c r="F10" i="19"/>
  <c r="F9" i="19"/>
  <c r="F8" i="19"/>
  <c r="F7" i="19"/>
  <c r="F6" i="19"/>
  <c r="F5" i="19"/>
  <c r="F4" i="19"/>
  <c r="H38" i="30" l="1"/>
  <c r="B39" i="29" s="1"/>
  <c r="K13" i="30"/>
  <c r="K14" i="30" s="1"/>
  <c r="K5" i="30"/>
  <c r="B57" i="29" s="1"/>
  <c r="H23" i="30"/>
  <c r="B27" i="29" s="1"/>
  <c r="B4" i="29"/>
  <c r="E15" i="30"/>
  <c r="B56" i="29" l="1"/>
  <c r="B66" i="29"/>
  <c r="B65" i="29"/>
  <c r="A121" i="38"/>
  <c r="A120" i="38"/>
  <c r="A119" i="38"/>
  <c r="A118" i="38"/>
  <c r="A117" i="38"/>
  <c r="A116" i="38"/>
  <c r="A115" i="38"/>
  <c r="A114" i="38"/>
  <c r="A113" i="38"/>
  <c r="A112" i="38"/>
  <c r="A111" i="38"/>
  <c r="A110" i="38"/>
  <c r="A109" i="38"/>
  <c r="A108" i="38"/>
  <c r="A107" i="38"/>
  <c r="A106" i="38"/>
  <c r="A105" i="38"/>
  <c r="A104" i="38"/>
  <c r="A103" i="38"/>
  <c r="A102" i="38"/>
  <c r="A101" i="38"/>
  <c r="A100" i="38"/>
  <c r="A99" i="38"/>
  <c r="A98" i="38"/>
  <c r="A97" i="38"/>
  <c r="A96" i="38"/>
  <c r="A95" i="38"/>
  <c r="A94" i="38"/>
  <c r="A93" i="38"/>
  <c r="A92" i="38"/>
  <c r="A91" i="38"/>
  <c r="A90" i="38"/>
  <c r="A89" i="38"/>
  <c r="A88" i="38"/>
  <c r="A87" i="38"/>
  <c r="A86" i="38"/>
  <c r="A85" i="38"/>
  <c r="A84" i="38"/>
  <c r="A83" i="38"/>
  <c r="A82" i="38"/>
  <c r="A81" i="38"/>
  <c r="A80" i="38"/>
  <c r="A79" i="38"/>
  <c r="A78" i="38"/>
  <c r="A77" i="38"/>
  <c r="A76" i="38"/>
  <c r="A75" i="38"/>
  <c r="A74" i="38"/>
  <c r="A73" i="38"/>
  <c r="A72" i="38"/>
  <c r="A71" i="38"/>
  <c r="A70" i="38"/>
  <c r="A69" i="38"/>
  <c r="A68" i="38"/>
  <c r="A67" i="38"/>
  <c r="A66" i="38"/>
  <c r="A65" i="38"/>
  <c r="A64" i="38"/>
  <c r="A63" i="38"/>
  <c r="A62" i="38"/>
  <c r="A61" i="38"/>
  <c r="A60" i="38"/>
  <c r="A59" i="38"/>
  <c r="A58" i="38"/>
  <c r="A57" i="38"/>
  <c r="A56" i="38"/>
  <c r="A55" i="38"/>
  <c r="A54" i="38"/>
  <c r="A53" i="38"/>
  <c r="A52" i="38"/>
  <c r="A51" i="38"/>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9" i="38"/>
  <c r="B5" i="30"/>
  <c r="B6" i="30"/>
  <c r="B3" i="29" s="1"/>
  <c r="B13" i="30"/>
  <c r="E17" i="30"/>
  <c r="D7" i="31"/>
  <c r="E7" i="31"/>
  <c r="F7" i="31"/>
  <c r="D8" i="31"/>
  <c r="E8" i="31"/>
  <c r="F8" i="31"/>
  <c r="D9" i="31"/>
  <c r="E9" i="31"/>
  <c r="F9" i="31"/>
  <c r="C35" i="25"/>
  <c r="C36" i="25"/>
  <c r="C37" i="25"/>
  <c r="A6" i="39"/>
  <c r="E11" i="30" s="1"/>
  <c r="A7" i="39"/>
  <c r="A8" i="39"/>
  <c r="A9" i="39"/>
  <c r="A10" i="39"/>
  <c r="A11" i="39"/>
  <c r="A12" i="39"/>
  <c r="A13" i="39"/>
  <c r="A14" i="39"/>
  <c r="A15" i="39"/>
  <c r="A16" i="39"/>
  <c r="A17" i="39"/>
  <c r="A18" i="39"/>
  <c r="A19" i="39"/>
  <c r="A20" i="39"/>
  <c r="A21" i="39"/>
  <c r="A22" i="39"/>
  <c r="A23" i="39"/>
  <c r="A24" i="39"/>
  <c r="A25" i="39"/>
  <c r="A26" i="39"/>
  <c r="A27" i="39"/>
  <c r="A28" i="39"/>
  <c r="A29" i="39"/>
  <c r="A30" i="39"/>
  <c r="A31" i="39"/>
  <c r="A32" i="39"/>
  <c r="A33" i="39"/>
  <c r="A34" i="39"/>
  <c r="A35" i="39"/>
  <c r="A36" i="39"/>
  <c r="A37" i="39"/>
  <c r="A38" i="39"/>
  <c r="A39" i="39"/>
  <c r="A40" i="39"/>
  <c r="A41" i="39"/>
  <c r="A42" i="39"/>
  <c r="A43" i="39"/>
  <c r="A44" i="39"/>
  <c r="A45" i="39"/>
  <c r="A46" i="39"/>
  <c r="A47" i="39"/>
  <c r="A48" i="39"/>
  <c r="A49" i="39"/>
  <c r="A50" i="39"/>
  <c r="A51" i="39"/>
  <c r="A52" i="39"/>
  <c r="A53" i="39"/>
  <c r="A54" i="39"/>
  <c r="A55" i="39"/>
  <c r="A57" i="39"/>
  <c r="A58" i="39"/>
  <c r="A61" i="39"/>
  <c r="A62" i="39"/>
  <c r="A63" i="39"/>
  <c r="A64" i="39"/>
  <c r="A65" i="39"/>
  <c r="A66" i="39"/>
  <c r="A67" i="39"/>
  <c r="A68" i="39"/>
  <c r="A69" i="39"/>
  <c r="A70" i="39"/>
  <c r="A71" i="39"/>
  <c r="A72" i="39"/>
  <c r="A73" i="39"/>
  <c r="A74" i="39"/>
  <c r="A75" i="39"/>
  <c r="A77" i="39"/>
  <c r="A78" i="39"/>
  <c r="E33" i="30" l="1"/>
  <c r="H15" i="30"/>
  <c r="H36" i="30"/>
  <c r="H56" i="30"/>
  <c r="B2" i="29"/>
  <c r="B7" i="30"/>
  <c r="H6" i="30" s="1"/>
  <c r="B13" i="29" s="1"/>
  <c r="H11" i="30"/>
  <c r="E13" i="30"/>
  <c r="B11" i="30"/>
  <c r="H4" i="30" s="1"/>
  <c r="E6" i="30"/>
  <c r="B21" i="30"/>
  <c r="B20" i="30"/>
  <c r="E26" i="30" s="1"/>
  <c r="K18" i="30" s="1"/>
  <c r="B22" i="30"/>
  <c r="H17" i="30" l="1"/>
  <c r="B21" i="29" s="1"/>
  <c r="B67" i="29"/>
  <c r="K32" i="30"/>
  <c r="K42" i="30" s="1"/>
  <c r="K43" i="30" s="1"/>
  <c r="E30" i="30"/>
  <c r="E32" i="30" s="1"/>
  <c r="I12" i="25"/>
  <c r="H39" i="30" s="1"/>
  <c r="B40" i="29" s="1"/>
  <c r="H51" i="30"/>
  <c r="B50" i="29" s="1"/>
  <c r="B38" i="29"/>
  <c r="H46" i="30"/>
  <c r="B45" i="29" s="1"/>
  <c r="H24" i="30"/>
  <c r="I11" i="25"/>
  <c r="H18" i="30" s="1"/>
  <c r="B22" i="29" s="1"/>
  <c r="B20" i="29"/>
  <c r="G4" i="28"/>
  <c r="H33" i="30"/>
  <c r="B35" i="29" s="1"/>
  <c r="H40" i="30"/>
  <c r="B41" i="29" s="1"/>
  <c r="B55" i="29"/>
  <c r="I13" i="25"/>
  <c r="H50" i="30" s="1"/>
  <c r="B49" i="29" s="1"/>
  <c r="G5" i="28"/>
  <c r="B10" i="29"/>
  <c r="B11" i="29"/>
  <c r="D6" i="27"/>
  <c r="D28" i="27" s="1"/>
  <c r="D7" i="27"/>
  <c r="D29" i="27" s="1"/>
  <c r="C6" i="27"/>
  <c r="C28" i="27" s="1"/>
  <c r="C29" i="27" s="1"/>
  <c r="B5" i="29"/>
  <c r="B16" i="29"/>
  <c r="H5" i="30"/>
  <c r="B12" i="29" s="1"/>
  <c r="H32" i="30"/>
  <c r="E14" i="30"/>
  <c r="B10" i="30" s="1"/>
  <c r="H7" i="30" s="1"/>
  <c r="B28" i="29" l="1"/>
  <c r="H25" i="30"/>
  <c r="B29" i="29" s="1"/>
  <c r="K19" i="30"/>
  <c r="B68" i="29" s="1"/>
  <c r="B78" i="29"/>
  <c r="B88" i="29"/>
  <c r="K33" i="30"/>
  <c r="B79" i="29" s="1"/>
  <c r="K27" i="30"/>
  <c r="B76" i="29" s="1"/>
  <c r="C7" i="27"/>
  <c r="B34" i="29"/>
  <c r="H45" i="30"/>
  <c r="B14" i="29"/>
  <c r="H20" i="30"/>
  <c r="B24" i="29" s="1"/>
  <c r="B9" i="29"/>
  <c r="E31" i="30"/>
  <c r="B8" i="29" s="1"/>
  <c r="B6" i="29"/>
  <c r="K28" i="30" l="1"/>
  <c r="B77" i="29" s="1"/>
  <c r="B89" i="29"/>
  <c r="B44" i="29"/>
  <c r="H54" i="30"/>
  <c r="B7" i="29"/>
  <c r="B53" i="29" l="1"/>
  <c r="H55" i="30"/>
  <c r="B54" i="29" s="1"/>
  <c r="B94" i="29" l="1"/>
  <c r="B15" i="2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cstudep</author>
  </authors>
  <commentList>
    <comment ref="B18" authorId="0" shapeId="0" xr:uid="{00000000-0006-0000-0200-000001000000}">
      <text>
        <r>
          <rPr>
            <b/>
            <sz val="12"/>
            <color indexed="81"/>
            <rFont val="Calibri"/>
            <family val="2"/>
            <scheme val="minor"/>
          </rPr>
          <t>1 = Front
2 = Front Inverted
3 = Rear
4 = Rear Inverted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cstudep</author>
  </authors>
  <commentList>
    <comment ref="A6" authorId="0" shapeId="0" xr:uid="{00000000-0006-0000-0900-000001000000}">
      <text>
        <r>
          <rPr>
            <sz val="14"/>
            <color indexed="81"/>
            <rFont val="Arial"/>
            <family val="2"/>
          </rPr>
          <t>Lookup values for Channels
= H and LBFT</t>
        </r>
      </text>
    </comment>
    <comment ref="D6" authorId="0" shapeId="0" xr:uid="{00000000-0006-0000-0900-000002000000}">
      <text/>
    </comment>
    <comment ref="A16" authorId="0" shapeId="0" xr:uid="{00000000-0006-0000-0900-000003000000}">
      <text>
        <r>
          <rPr>
            <sz val="14"/>
            <color indexed="81"/>
            <rFont val="Arial"/>
            <family val="2"/>
          </rPr>
          <t>Lookup values for I-Beams
= H and LBFT</t>
        </r>
      </text>
    </comment>
    <comment ref="D16" authorId="0" shapeId="0" xr:uid="{00000000-0006-0000-0900-000004000000}">
      <text/>
    </comment>
    <comment ref="A20" authorId="0" shapeId="0" xr:uid="{00000000-0006-0000-0900-000005000000}">
      <text>
        <r>
          <rPr>
            <sz val="14"/>
            <color indexed="81"/>
            <rFont val="Arial"/>
            <family val="2"/>
          </rPr>
          <t>Lookup values for Angles
= H, D and WT</t>
        </r>
      </text>
    </comment>
    <comment ref="D20" authorId="0" shapeId="0" xr:uid="{00000000-0006-0000-0900-000006000000}">
      <text/>
    </comment>
    <comment ref="A30" authorId="0" shapeId="0" xr:uid="{00000000-0006-0000-0900-000007000000}">
      <text>
        <r>
          <rPr>
            <sz val="14"/>
            <color indexed="81"/>
            <rFont val="Arial"/>
            <family val="2"/>
          </rPr>
          <t>Lookup values for Tubing
= H, D and WT</t>
        </r>
      </text>
    </comment>
    <comment ref="D30" authorId="0" shapeId="0" xr:uid="{00000000-0006-0000-0900-000008000000}">
      <text/>
    </comment>
    <comment ref="A35" authorId="0" shapeId="0" xr:uid="{00000000-0006-0000-0900-000009000000}">
      <text>
        <r>
          <rPr>
            <sz val="14"/>
            <color indexed="81"/>
            <rFont val="Arial"/>
            <family val="2"/>
          </rPr>
          <t>Lookup values for Flat Bar
= D and WT</t>
        </r>
      </text>
    </comment>
    <comment ref="D35" authorId="0" shapeId="0" xr:uid="{00000000-0006-0000-0900-00000A000000}">
      <text/>
    </comment>
    <comment ref="A64" authorId="0" shapeId="0" xr:uid="{00000000-0006-0000-0900-00000B000000}">
      <text>
        <r>
          <rPr>
            <sz val="14"/>
            <color indexed="81"/>
            <rFont val="Arial"/>
            <family val="2"/>
          </rPr>
          <t>Lookup values for Tubing
= H, D and WT</t>
        </r>
      </text>
    </comment>
    <comment ref="D64" authorId="0" shapeId="0" xr:uid="{00000000-0006-0000-0900-00000C000000}">
      <text/>
    </comment>
    <comment ref="A65" authorId="0" shapeId="0" xr:uid="{00000000-0006-0000-0900-00000D000000}">
      <text>
        <r>
          <rPr>
            <sz val="14"/>
            <color indexed="81"/>
            <rFont val="Arial"/>
            <family val="2"/>
          </rPr>
          <t>Lookup values for Channels
= H and LBFT</t>
        </r>
      </text>
    </comment>
    <comment ref="D65" authorId="0" shapeId="0" xr:uid="{00000000-0006-0000-0900-00000E000000}">
      <text/>
    </comment>
    <comment ref="A72" authorId="0" shapeId="0" xr:uid="{00000000-0006-0000-0900-00000F000000}">
      <text>
        <r>
          <rPr>
            <sz val="14"/>
            <color indexed="81"/>
            <rFont val="Arial"/>
            <family val="2"/>
          </rPr>
          <t>Lookup values for Channels
= H and LBFT</t>
        </r>
      </text>
    </comment>
    <comment ref="D72" authorId="0" shapeId="0" xr:uid="{00000000-0006-0000-0900-000010000000}">
      <text/>
    </comment>
    <comment ref="A74" authorId="0" shapeId="0" xr:uid="{00000000-0006-0000-0900-000011000000}">
      <text>
        <r>
          <rPr>
            <sz val="14"/>
            <color indexed="81"/>
            <rFont val="Arial"/>
            <family val="2"/>
          </rPr>
          <t>Lookup values for Tubing
= H, D and WT</t>
        </r>
      </text>
    </comment>
    <comment ref="D74" authorId="0" shapeId="0" xr:uid="{00000000-0006-0000-0900-000012000000}">
      <text/>
    </comment>
    <comment ref="A78" authorId="0" shapeId="0" xr:uid="{00000000-0006-0000-0900-000013000000}">
      <text>
        <r>
          <rPr>
            <sz val="14"/>
            <color indexed="81"/>
            <rFont val="Arial"/>
            <family val="2"/>
          </rPr>
          <t>Lookup values for Rebar
= D</t>
        </r>
      </text>
    </comment>
    <comment ref="D78" authorId="0" shapeId="0" xr:uid="{00000000-0006-0000-0900-000014000000}">
      <text/>
    </comment>
  </commentList>
</comments>
</file>

<file path=xl/sharedStrings.xml><?xml version="1.0" encoding="utf-8"?>
<sst xmlns="http://schemas.openxmlformats.org/spreadsheetml/2006/main" count="3089" uniqueCount="1061">
  <si>
    <t>FAN</t>
  </si>
  <si>
    <t>FANSIZE</t>
  </si>
  <si>
    <t>in</t>
  </si>
  <si>
    <t>1/8 Rivet</t>
  </si>
  <si>
    <t>3/16 Rivet</t>
  </si>
  <si>
    <t>Revision</t>
  </si>
  <si>
    <t>Date</t>
  </si>
  <si>
    <t>Description</t>
  </si>
  <si>
    <t>By</t>
  </si>
  <si>
    <t>-</t>
  </si>
  <si>
    <t>BASELINE</t>
  </si>
  <si>
    <t>ECN Number</t>
  </si>
  <si>
    <t>NEW</t>
  </si>
  <si>
    <t>PS</t>
  </si>
  <si>
    <t>8 ga. (&gt;= .14 thickness)</t>
  </si>
  <si>
    <t>12 ga - 10 ga (&gt;.09 and &lt; .14)</t>
  </si>
  <si>
    <t>28 ga - 14 ga (&lt;=.09 thickness)</t>
  </si>
  <si>
    <t>spacing</t>
  </si>
  <si>
    <t>dia</t>
  </si>
  <si>
    <t>Ga</t>
  </si>
  <si>
    <t>Indicator holes</t>
  </si>
  <si>
    <t>SPECIAL HOLE SIZES</t>
  </si>
  <si>
    <t>0.344</t>
  </si>
  <si>
    <t>3/8 Hardware D,F,G&amp;T</t>
  </si>
  <si>
    <t>0.312</t>
  </si>
  <si>
    <t>3/8 Hardware AB,B</t>
  </si>
  <si>
    <t>5/16 Hardware D,F,G&amp;T</t>
  </si>
  <si>
    <t>0.250</t>
  </si>
  <si>
    <t>5/16 Hardware AB,B</t>
  </si>
  <si>
    <t>0.218</t>
  </si>
  <si>
    <t>1/4 Hardware D,F,G&amp;T</t>
  </si>
  <si>
    <t>1/4 Hardware AB, B</t>
  </si>
  <si>
    <t>0.152</t>
  </si>
  <si>
    <t>#10 Hardware</t>
  </si>
  <si>
    <t>#8 Hardware</t>
  </si>
  <si>
    <t>12 ga and up (&gt;.09 thickness)</t>
  </si>
  <si>
    <t>0.281</t>
  </si>
  <si>
    <t>5/16 Hardware</t>
  </si>
  <si>
    <t>0.188</t>
  </si>
  <si>
    <t>0.140</t>
  </si>
  <si>
    <t>#8 Hardware D,F,G &amp;T</t>
  </si>
  <si>
    <t>0.136</t>
  </si>
  <si>
    <t>#8 Hardware AB, B</t>
  </si>
  <si>
    <t>0.109</t>
  </si>
  <si>
    <t>#6 Hardware</t>
  </si>
  <si>
    <t>18-14 ga. (&gt;=.04 and &lt;=.09 thickness)</t>
  </si>
  <si>
    <t>3/8 Hardware</t>
  </si>
  <si>
    <t>0.562</t>
  </si>
  <si>
    <t>1/2 Hardware</t>
  </si>
  <si>
    <t>1/4 Hardware - sst</t>
  </si>
  <si>
    <t>0.437</t>
  </si>
  <si>
    <t>Engagement holes per part</t>
  </si>
  <si>
    <t>1/4 Hardware - galv material</t>
  </si>
  <si>
    <t>0.375</t>
  </si>
  <si>
    <t>1/4 Hardware</t>
  </si>
  <si>
    <t>28-20 ga. (&lt;.04 thickness)</t>
  </si>
  <si>
    <t>0.208</t>
  </si>
  <si>
    <t>Engagement</t>
  </si>
  <si>
    <t>Clearance</t>
  </si>
  <si>
    <t>Standard Hole Sizes</t>
  </si>
  <si>
    <t>Page: 102-006</t>
  </si>
  <si>
    <t>Edit Manual</t>
  </si>
  <si>
    <t>PRODUCT: Solution</t>
  </si>
  <si>
    <t>Title: Raw Material Part Numbers, Mapics Codes, Calculations And Others</t>
  </si>
  <si>
    <t>102-006.xls</t>
  </si>
  <si>
    <t>Solution Project, Raw material codes and calculations, Sheet or Coil stock, Square Foot</t>
  </si>
  <si>
    <t>Mat'l Group</t>
  </si>
  <si>
    <t>Metal Gauge</t>
  </si>
  <si>
    <t>Metal Thickness Min.</t>
  </si>
  <si>
    <t>Design Thickness (Ref)</t>
  </si>
  <si>
    <t>Inventor Thickness Key_PK</t>
  </si>
  <si>
    <t>Active Product "XT"</t>
  </si>
  <si>
    <t>Active Product "YC"</t>
  </si>
  <si>
    <t>Mapics Part Number</t>
  </si>
  <si>
    <t>Material description</t>
  </si>
  <si>
    <t>Material Type</t>
  </si>
  <si>
    <t>York "R" Std</t>
  </si>
  <si>
    <t>Max Cut Size</t>
  </si>
  <si>
    <t>Unit of Measure</t>
  </si>
  <si>
    <t>Inventor Material Designation</t>
  </si>
  <si>
    <t>"DXF" Mat'l Data</t>
  </si>
  <si>
    <t>Hole Size / Texture</t>
  </si>
  <si>
    <t>Staggered Centers</t>
  </si>
  <si>
    <t>Plate, Diamond, AL</t>
  </si>
  <si>
    <t>1/4</t>
  </si>
  <si>
    <t>.250</t>
  </si>
  <si>
    <t>YC</t>
  </si>
  <si>
    <t>008 02596 103</t>
  </si>
  <si>
    <t xml:space="preserve">Plate,Dia,Alu,.25_3003 Bright </t>
  </si>
  <si>
    <t>AL</t>
  </si>
  <si>
    <t>48 x 144</t>
  </si>
  <si>
    <t>SF</t>
  </si>
  <si>
    <t>ALUD250B</t>
  </si>
  <si>
    <t>Raised Lug</t>
  </si>
  <si>
    <t>N/A</t>
  </si>
  <si>
    <t>1/8</t>
  </si>
  <si>
    <t>.125</t>
  </si>
  <si>
    <t>XT</t>
  </si>
  <si>
    <t>008 02572 125</t>
  </si>
  <si>
    <t>Plate,Dia,Al,.125_3003</t>
  </si>
  <si>
    <t>60 X 144</t>
  </si>
  <si>
    <t>ALUD125A</t>
  </si>
  <si>
    <t>008 02596 101</t>
  </si>
  <si>
    <t>Plate,Dia,Alu,.125_3003 Bright</t>
  </si>
  <si>
    <t>ALUD125B</t>
  </si>
  <si>
    <t>11</t>
  </si>
  <si>
    <t>.100</t>
  </si>
  <si>
    <t>008 02572 100</t>
  </si>
  <si>
    <t>Plate,Dia,Al,.100_3003</t>
  </si>
  <si>
    <t>ALUD100A</t>
  </si>
  <si>
    <t>3/16</t>
  </si>
  <si>
    <t>.188</t>
  </si>
  <si>
    <t>008 02572 188</t>
  </si>
  <si>
    <t xml:space="preserve">Plate,Dia,Al,.188_3003   </t>
  </si>
  <si>
    <t>ALUD188A</t>
  </si>
  <si>
    <t>008 02596 102</t>
  </si>
  <si>
    <t>Plate,Dia,Alu,.188_3003 Bright</t>
  </si>
  <si>
    <t>ALUD188B</t>
  </si>
  <si>
    <t>Sheet, Expanded, AL</t>
  </si>
  <si>
    <t>16</t>
  </si>
  <si>
    <t>.060</t>
  </si>
  <si>
    <t>008 02335 000</t>
  </si>
  <si>
    <t>Aluminum Sht (Expanded/Flattened) 1/2 No..081 5005-H34</t>
  </si>
  <si>
    <t>48 X 120</t>
  </si>
  <si>
    <t>ALUE060A</t>
  </si>
  <si>
    <t>.28x.94 diamond</t>
  </si>
  <si>
    <t>Flattened</t>
  </si>
  <si>
    <t>Grating</t>
  </si>
  <si>
    <t>1</t>
  </si>
  <si>
    <t>1"High</t>
  </si>
  <si>
    <t>001 07515 000</t>
  </si>
  <si>
    <t>Grating,19-Ap-4,1h_.13thk,Aluminum Grating</t>
  </si>
  <si>
    <t>36 X 96</t>
  </si>
  <si>
    <t>ALUG100A</t>
  </si>
  <si>
    <t>1" 19-Ap-4</t>
  </si>
  <si>
    <t>Sheet, Perf, AL</t>
  </si>
  <si>
    <t>14</t>
  </si>
  <si>
    <t>.080</t>
  </si>
  <si>
    <t>008 02573 080</t>
  </si>
  <si>
    <t xml:space="preserve">Sheet,Perf,Al,40.3%,.080, 3003h14 </t>
  </si>
  <si>
    <t>ALUP080A</t>
  </si>
  <si>
    <t>008 02574 080</t>
  </si>
  <si>
    <t>Sheet,Perf,Al,47%,.080, 3003h14</t>
  </si>
  <si>
    <t>ALUP080B</t>
  </si>
  <si>
    <t>.50</t>
  </si>
  <si>
    <t>.688</t>
  </si>
  <si>
    <t>.063</t>
  </si>
  <si>
    <t>008 02573 063</t>
  </si>
  <si>
    <t>Sheet,Perf,Al,40.3%,.063, 3003h14</t>
  </si>
  <si>
    <t>ALUP063A</t>
  </si>
  <si>
    <t>18</t>
  </si>
  <si>
    <t>.050</t>
  </si>
  <si>
    <t>008 02573 050</t>
  </si>
  <si>
    <t>Sheet,Perf,Al,40.3%,.050, 3003h14</t>
  </si>
  <si>
    <t>ALUP050B</t>
  </si>
  <si>
    <t>Sheet, AL</t>
  </si>
  <si>
    <t>10</t>
  </si>
  <si>
    <t>008 02570 125</t>
  </si>
  <si>
    <t xml:space="preserve">Sheet,Al,3003h14,.125         </t>
  </si>
  <si>
    <t>ALUS125A</t>
  </si>
  <si>
    <t>008 02570 080</t>
  </si>
  <si>
    <t xml:space="preserve">Sheet,Al,3003h14,.080         </t>
  </si>
  <si>
    <t>ALUS080A</t>
  </si>
  <si>
    <t>008 02570 063</t>
  </si>
  <si>
    <t xml:space="preserve">Sheet,Al,3003h14,.063         </t>
  </si>
  <si>
    <t>ALUS063A</t>
  </si>
  <si>
    <t>008 02570 050</t>
  </si>
  <si>
    <t xml:space="preserve">Sheet,Al,3003h14,.050         </t>
  </si>
  <si>
    <t>ALUS050A</t>
  </si>
  <si>
    <t>20</t>
  </si>
  <si>
    <t>.040</t>
  </si>
  <si>
    <t>008 02570 040</t>
  </si>
  <si>
    <t xml:space="preserve">Sheet,Al,3003h14,.040         </t>
  </si>
  <si>
    <t>ALUS040A</t>
  </si>
  <si>
    <t>8</t>
  </si>
  <si>
    <t>.190</t>
  </si>
  <si>
    <t>008 02570 190</t>
  </si>
  <si>
    <t xml:space="preserve">Sheet,Al,3003h14,.190         </t>
  </si>
  <si>
    <t>ALUS190A</t>
  </si>
  <si>
    <t>Sheet, Corrugated</t>
  </si>
  <si>
    <t>.034</t>
  </si>
  <si>
    <t>005 06169 010</t>
  </si>
  <si>
    <t>Galvanized Steel, Corrugated, 4” Box Rib Profile</t>
  </si>
  <si>
    <t>G90</t>
  </si>
  <si>
    <t>38.5 X 120</t>
  </si>
  <si>
    <t>GLVC034A</t>
  </si>
  <si>
    <t>Corrugated</t>
  </si>
  <si>
    <t>Plate, Steel</t>
  </si>
  <si>
    <t>1/2</t>
  </si>
  <si>
    <t>.500</t>
  </si>
  <si>
    <t>005 07119 500</t>
  </si>
  <si>
    <t xml:space="preserve">Plate,Steel,0.5 </t>
  </si>
  <si>
    <t>Mild</t>
  </si>
  <si>
    <t>48 x 120</t>
  </si>
  <si>
    <t>STL PLATE</t>
  </si>
  <si>
    <t>STLPL500A</t>
  </si>
  <si>
    <t>005 07119 250</t>
  </si>
  <si>
    <t>Plate,Steel,0.25</t>
  </si>
  <si>
    <t>STLPL250A</t>
  </si>
  <si>
    <t>005 07119 188</t>
  </si>
  <si>
    <t>Plate,Steel 0.188</t>
  </si>
  <si>
    <t>STLPL188A</t>
  </si>
  <si>
    <t>3/8</t>
  </si>
  <si>
    <t>.375</t>
  </si>
  <si>
    <t>005 07119 375</t>
  </si>
  <si>
    <t xml:space="preserve">Plate,Steel,0.375 </t>
  </si>
  <si>
    <t>STLPL375A</t>
  </si>
  <si>
    <t>5/16</t>
  </si>
  <si>
    <t>.313</t>
  </si>
  <si>
    <t>005 07119 313</t>
  </si>
  <si>
    <t xml:space="preserve">Plate,Steel,0.313 </t>
  </si>
  <si>
    <t xml:space="preserve">48 x 120 </t>
  </si>
  <si>
    <t>STLPL313A</t>
  </si>
  <si>
    <t>Plate, Diamond, HR</t>
  </si>
  <si>
    <t>.126</t>
  </si>
  <si>
    <t>005 07108 125</t>
  </si>
  <si>
    <t xml:space="preserve">Plate,Dia,Hot-Rolled,.125 </t>
  </si>
  <si>
    <t>HR</t>
  </si>
  <si>
    <t>48 X 144</t>
  </si>
  <si>
    <t>HRSD126-</t>
  </si>
  <si>
    <t>12</t>
  </si>
  <si>
    <t>.096</t>
  </si>
  <si>
    <t>.097</t>
  </si>
  <si>
    <t>005 07108 012</t>
  </si>
  <si>
    <t xml:space="preserve">Plate,Dia,Hot-Rolled,12ga </t>
  </si>
  <si>
    <t>48 X 96</t>
  </si>
  <si>
    <t>HRSD097-</t>
  </si>
  <si>
    <t>.069</t>
  </si>
  <si>
    <t>.070</t>
  </si>
  <si>
    <t>005 07108 014</t>
  </si>
  <si>
    <t xml:space="preserve">Plate,Dia,Hot-Rolled,14ga </t>
  </si>
  <si>
    <t>HRSD070-</t>
  </si>
  <si>
    <t>7</t>
  </si>
  <si>
    <t>005 07108 188</t>
  </si>
  <si>
    <t xml:space="preserve">Plate,Dia,Hot-Rolled,.188 </t>
  </si>
  <si>
    <t>HRSD188-</t>
  </si>
  <si>
    <t>Sheet, HR</t>
  </si>
  <si>
    <t>.127</t>
  </si>
  <si>
    <t>005 07113 010</t>
  </si>
  <si>
    <t xml:space="preserve">Sheet,Hot-Rolled,10ga </t>
  </si>
  <si>
    <t>STLHR127A</t>
  </si>
  <si>
    <t>Hot-Rolled</t>
  </si>
  <si>
    <t>.112</t>
  </si>
  <si>
    <t>005 07113 011</t>
  </si>
  <si>
    <t xml:space="preserve">Sheet,Hot-Rolled,11ga </t>
  </si>
  <si>
    <t>STLHR112A</t>
  </si>
  <si>
    <t>005 07113 012</t>
  </si>
  <si>
    <t xml:space="preserve">Sheet,Hot-Rolled,12ga </t>
  </si>
  <si>
    <t>STLHR097A</t>
  </si>
  <si>
    <t>.068</t>
  </si>
  <si>
    <t>005 07113 014</t>
  </si>
  <si>
    <t xml:space="preserve">Sheet,Hot-Rolled,14ga </t>
  </si>
  <si>
    <t>STLHR068A</t>
  </si>
  <si>
    <t>001 07516 000</t>
  </si>
  <si>
    <t>Grating,19-W-4,1h_.13thk ,Hot Dipped Glv Grating</t>
  </si>
  <si>
    <t>Hot Dip</t>
  </si>
  <si>
    <t>GLVG100A</t>
  </si>
  <si>
    <t>1" 19-W-4</t>
  </si>
  <si>
    <t>Sheet, Pre-Paint</t>
  </si>
  <si>
    <t>005 07110 014</t>
  </si>
  <si>
    <t xml:space="preserve">Sheet,Pre-Paint,Gray,14ga </t>
  </si>
  <si>
    <t>P-Paint</t>
  </si>
  <si>
    <t xml:space="preserve">M-310 </t>
  </si>
  <si>
    <t>48 x Lg</t>
  </si>
  <si>
    <t>GLVPP070A</t>
  </si>
  <si>
    <t>Gray Paint</t>
  </si>
  <si>
    <t>.055</t>
  </si>
  <si>
    <t>.056</t>
  </si>
  <si>
    <t>005 07110 016</t>
  </si>
  <si>
    <t xml:space="preserve">Sheet,Pre-Paint,Gray,16ga </t>
  </si>
  <si>
    <t>GLVPP056A</t>
  </si>
  <si>
    <t>005 07110 116</t>
  </si>
  <si>
    <t>Sheet,Pre-Paint,Champagne,16ga</t>
  </si>
  <si>
    <t>GLVPP056B</t>
  </si>
  <si>
    <t>Champagne Paint</t>
  </si>
  <si>
    <t>.044</t>
  </si>
  <si>
    <t>.045</t>
  </si>
  <si>
    <t>005 07110 117</t>
  </si>
  <si>
    <t>Sheet,Pre-Paint,Msftwhite,18ga</t>
  </si>
  <si>
    <t>GLVPP045A</t>
  </si>
  <si>
    <t>Msftwhite Paint</t>
  </si>
  <si>
    <t>005 07110 118</t>
  </si>
  <si>
    <t>Sheet,Pre-Paint,Champagne,18ga</t>
  </si>
  <si>
    <t>GLVPP045B</t>
  </si>
  <si>
    <t>Sheet, Perf</t>
  </si>
  <si>
    <t>.039</t>
  </si>
  <si>
    <t>005 02897 000</t>
  </si>
  <si>
    <t>Galvanized Steel (perf)</t>
  </si>
  <si>
    <t>R1045</t>
  </si>
  <si>
    <t>GLVP039A</t>
  </si>
  <si>
    <t>005 02901 000</t>
  </si>
  <si>
    <t>GLVP039D</t>
  </si>
  <si>
    <t>005 06154 000</t>
  </si>
  <si>
    <t>GLVP039E</t>
  </si>
  <si>
    <t>5/8</t>
  </si>
  <si>
    <t>13/16</t>
  </si>
  <si>
    <t>.028</t>
  </si>
  <si>
    <t>005 07115 022</t>
  </si>
  <si>
    <t xml:space="preserve">Sheet,Perf,Glv,40.3%,22ga </t>
  </si>
  <si>
    <t>GLVP028A</t>
  </si>
  <si>
    <t>005 07115 016</t>
  </si>
  <si>
    <t xml:space="preserve">Sheet,Perf,Glv,40.3%,16ga </t>
  </si>
  <si>
    <t>48 X Lg</t>
  </si>
  <si>
    <t>GLVP055A</t>
  </si>
  <si>
    <t>005 07115 018</t>
  </si>
  <si>
    <t xml:space="preserve">Sheet,Perf,Glv,40.3%,18ga </t>
  </si>
  <si>
    <t>GLVP045A</t>
  </si>
  <si>
    <t>.033</t>
  </si>
  <si>
    <t>005 07115 020</t>
  </si>
  <si>
    <t xml:space="preserve">Sheet,Perf,Glv,40.3%,20ga </t>
  </si>
  <si>
    <t>GLVP034A</t>
  </si>
  <si>
    <t>005 07118 018</t>
  </si>
  <si>
    <t xml:space="preserve">Sheet,Perf,Glv,47%,18ga </t>
  </si>
  <si>
    <t>GLVP044B</t>
  </si>
  <si>
    <t>008 02316 001</t>
  </si>
  <si>
    <t>Aluminum Sheet (perf)</t>
  </si>
  <si>
    <t>R1116</t>
  </si>
  <si>
    <t>ALUP050A</t>
  </si>
  <si>
    <t>7/32</t>
  </si>
  <si>
    <t>Sheet, Structural</t>
  </si>
  <si>
    <t>005 06596 010</t>
  </si>
  <si>
    <t>Structural Galvanized Steel</t>
  </si>
  <si>
    <t>R1190</t>
  </si>
  <si>
    <t>STRUCT GALV</t>
  </si>
  <si>
    <t>GLVS126S</t>
  </si>
  <si>
    <t>005 06596 012</t>
  </si>
  <si>
    <t>GLVS097S</t>
  </si>
  <si>
    <t>005 06596 014</t>
  </si>
  <si>
    <t>GLVS070S</t>
  </si>
  <si>
    <t>Sheet, Expanded</t>
  </si>
  <si>
    <t>.120</t>
  </si>
  <si>
    <t>005 07109 011</t>
  </si>
  <si>
    <t>Sheet,Exp_Mtl,Glv,11ga, .75 Flattened, #9</t>
  </si>
  <si>
    <t>R259</t>
  </si>
  <si>
    <t>GLVE120-</t>
  </si>
  <si>
    <t>3/4" wide diamond</t>
  </si>
  <si>
    <t>9</t>
  </si>
  <si>
    <t>.146</t>
  </si>
  <si>
    <t>005 06150 000</t>
  </si>
  <si>
    <t>Galvanized Steel (Expanded/Flattened) 3/4 No. 9</t>
  </si>
  <si>
    <t>GLVE146A</t>
  </si>
  <si>
    <t>005 06579 000</t>
  </si>
  <si>
    <t>Galvanized Steel (Expanded/Flattened) 1-1/2 No. 9</t>
  </si>
  <si>
    <t>GLVE146B</t>
  </si>
  <si>
    <t>1-1/2" wide diamond</t>
  </si>
  <si>
    <t>005 06579 100</t>
  </si>
  <si>
    <t>Sheet,Exp_Mtl,Glv,G90,9ga, 1.5 Flattened</t>
  </si>
  <si>
    <t>48 x 96</t>
  </si>
  <si>
    <t>GLVE146C</t>
  </si>
  <si>
    <t>Sheet, G90</t>
  </si>
  <si>
    <t>.156</t>
  </si>
  <si>
    <t>005 06145 008</t>
  </si>
  <si>
    <t>Galvanized Steel</t>
  </si>
  <si>
    <t>R259 w/ note 4</t>
  </si>
  <si>
    <t>STL GALV</t>
  </si>
  <si>
    <t>GLVS157-</t>
  </si>
  <si>
    <t>005 06145 010</t>
  </si>
  <si>
    <t>GLVS126-</t>
  </si>
  <si>
    <t>005 06145 012</t>
  </si>
  <si>
    <t>GLVS097-</t>
  </si>
  <si>
    <t>005 06145 014</t>
  </si>
  <si>
    <t>GLVS070-</t>
  </si>
  <si>
    <t>Roll Form Coil</t>
  </si>
  <si>
    <t>001 07591 467</t>
  </si>
  <si>
    <t>Channel,Rf,16ga,Glv,4.67w_Flat, YC 2" Housing Channel</t>
  </si>
  <si>
    <t>G40</t>
  </si>
  <si>
    <t>4.67 X Lg</t>
  </si>
  <si>
    <t>STL GALV2</t>
  </si>
  <si>
    <t>GLVS056C</t>
  </si>
  <si>
    <t>001 07591 567</t>
  </si>
  <si>
    <t>Channel,Rf,16ga,Glv,5.67w_Flat, YC 3" Housing Channel</t>
  </si>
  <si>
    <t>5.67 X Lg</t>
  </si>
  <si>
    <t>STL GALV3</t>
  </si>
  <si>
    <t>GLVS056D</t>
  </si>
  <si>
    <t>001 07591 667</t>
  </si>
  <si>
    <t>Channel,Rf,16ga,Glv,6.67w_Flat, YC 4" Housing Channel</t>
  </si>
  <si>
    <t>6.67 X Lg</t>
  </si>
  <si>
    <t>STL GALV4</t>
  </si>
  <si>
    <t>GLVS056E</t>
  </si>
  <si>
    <t>005 06145 016</t>
  </si>
  <si>
    <t>GLVS056A</t>
  </si>
  <si>
    <t>005 06161 001</t>
  </si>
  <si>
    <t>Galvanized Steel, Coil, XT Raceway</t>
  </si>
  <si>
    <t>12.62 X Lg</t>
  </si>
  <si>
    <t>STL GALVR</t>
  </si>
  <si>
    <t>GLVS056B</t>
  </si>
  <si>
    <t>005 06145 018</t>
  </si>
  <si>
    <t>GLVS045A</t>
  </si>
  <si>
    <t>005 06160 001</t>
  </si>
  <si>
    <t>Galvanized Steel, Coil, XT Seam Cap</t>
  </si>
  <si>
    <t>2.491 X Lg</t>
  </si>
  <si>
    <t>STL GALVS</t>
  </si>
  <si>
    <t>GLVS045B</t>
  </si>
  <si>
    <t>005 06145 020</t>
  </si>
  <si>
    <t>GLVS034-</t>
  </si>
  <si>
    <t>22</t>
  </si>
  <si>
    <t>005 06145 022</t>
  </si>
  <si>
    <t>GLVS028-</t>
  </si>
  <si>
    <t>24</t>
  </si>
  <si>
    <t>.022</t>
  </si>
  <si>
    <t>005 06145 024</t>
  </si>
  <si>
    <t>GLVS022-</t>
  </si>
  <si>
    <t>Sheet, SST</t>
  </si>
  <si>
    <t>.075</t>
  </si>
  <si>
    <t>005 06146 014</t>
  </si>
  <si>
    <t>Stainless steel</t>
  </si>
  <si>
    <t>304</t>
  </si>
  <si>
    <t>R52</t>
  </si>
  <si>
    <t>SST304</t>
  </si>
  <si>
    <t>SSTS075-</t>
  </si>
  <si>
    <t>005 06146 016</t>
  </si>
  <si>
    <t>SSTS060-</t>
  </si>
  <si>
    <t>.048</t>
  </si>
  <si>
    <t>005 06146 018</t>
  </si>
  <si>
    <t>SSTS048-</t>
  </si>
  <si>
    <t>.035</t>
  </si>
  <si>
    <t>005 06146 020</t>
  </si>
  <si>
    <t>SSTS035-</t>
  </si>
  <si>
    <t>001 07514 000</t>
  </si>
  <si>
    <t>Grating,19-S-4,1h_.13thk ,Stainless Steel Grating</t>
  </si>
  <si>
    <t>SST304G</t>
  </si>
  <si>
    <t>SSTG100A</t>
  </si>
  <si>
    <t>1" 19-S-4</t>
  </si>
  <si>
    <t>Plate, SST</t>
  </si>
  <si>
    <t>005 06146 250</t>
  </si>
  <si>
    <t xml:space="preserve">Plate,304ss,.25 </t>
  </si>
  <si>
    <t>SSTS250-</t>
  </si>
  <si>
    <t>Plate, Diamond, SST</t>
  </si>
  <si>
    <t>005 07107 125</t>
  </si>
  <si>
    <t>Plate,Dia,304ss,.125</t>
  </si>
  <si>
    <t>SST304D</t>
  </si>
  <si>
    <t>SSTD125-</t>
  </si>
  <si>
    <t>.135</t>
  </si>
  <si>
    <t>005 06146 010</t>
  </si>
  <si>
    <t>SSTS135-</t>
  </si>
  <si>
    <t>Sheet, Expanded, SST</t>
  </si>
  <si>
    <t>005 07120 011</t>
  </si>
  <si>
    <t>Sheet,Exp_Mtl,304ss,11ga, .75 flattened #9</t>
  </si>
  <si>
    <t>SST304E</t>
  </si>
  <si>
    <t>SSTE120-</t>
  </si>
  <si>
    <t>.105</t>
  </si>
  <si>
    <t>005 06146 012</t>
  </si>
  <si>
    <t>SSTS105-</t>
  </si>
  <si>
    <t>Sheet, Perf, SST</t>
  </si>
  <si>
    <t>005 07114 016</t>
  </si>
  <si>
    <t xml:space="preserve">Sheet,Perf,304ss,40.3%,16ga </t>
  </si>
  <si>
    <t>SST304PA</t>
  </si>
  <si>
    <t>SSTP060A</t>
  </si>
  <si>
    <t>005 07116 016</t>
  </si>
  <si>
    <t xml:space="preserve">Sheet,Perf,304ss,51%,16ga </t>
  </si>
  <si>
    <t>SST304PC</t>
  </si>
  <si>
    <t>SSTP060B</t>
  </si>
  <si>
    <t>.25</t>
  </si>
  <si>
    <t>005 07114 018</t>
  </si>
  <si>
    <t xml:space="preserve">Sheet,Perf,304ss,40.3%,18ga </t>
  </si>
  <si>
    <t>SSTP048B</t>
  </si>
  <si>
    <t>005 07117 018</t>
  </si>
  <si>
    <t xml:space="preserve">Sheet,Perf,304ss,47%,18ga </t>
  </si>
  <si>
    <t>SST304PB</t>
  </si>
  <si>
    <t>SSTP048C</t>
  </si>
  <si>
    <t>005 07114 020</t>
  </si>
  <si>
    <t xml:space="preserve">Sheet,Perf,304ss,40.3%,20ga </t>
  </si>
  <si>
    <t>SSTP035A</t>
  </si>
  <si>
    <t>.029</t>
  </si>
  <si>
    <t>005 06146 022</t>
  </si>
  <si>
    <t>SSTS029-</t>
  </si>
  <si>
    <t>.024</t>
  </si>
  <si>
    <t>005 06146 024</t>
  </si>
  <si>
    <t>SSTS024-</t>
  </si>
  <si>
    <t>005 07107 188</t>
  </si>
  <si>
    <t>Plate,Dia,304ss,.188</t>
  </si>
  <si>
    <t>SSTD188-</t>
  </si>
  <si>
    <t>005 06146 188</t>
  </si>
  <si>
    <t>Plate,304ss,.188</t>
  </si>
  <si>
    <t>SSTS188-</t>
  </si>
  <si>
    <t>.165</t>
  </si>
  <si>
    <t>005 06146 008</t>
  </si>
  <si>
    <t>SSTS165-</t>
  </si>
  <si>
    <t>005 06588 100</t>
  </si>
  <si>
    <t xml:space="preserve">Sheet,Exp_Mtl,Ss,304,9ga,1.5 Flattened </t>
  </si>
  <si>
    <t>SSTE146-</t>
  </si>
  <si>
    <t>005 07103 012</t>
  </si>
  <si>
    <t xml:space="preserve">Sheet,304lss,12ga </t>
  </si>
  <si>
    <t>304L</t>
  </si>
  <si>
    <t>SST304L</t>
  </si>
  <si>
    <t>SSTL105-</t>
  </si>
  <si>
    <t>005 07103 016</t>
  </si>
  <si>
    <t xml:space="preserve">Sheet,304lss,16ga </t>
  </si>
  <si>
    <t>SSTL060-</t>
  </si>
  <si>
    <t>005 07104 010</t>
  </si>
  <si>
    <t xml:space="preserve">Sheet,316lss, 10ga </t>
  </si>
  <si>
    <t>316L</t>
  </si>
  <si>
    <t>SST316L</t>
  </si>
  <si>
    <t>SSLS135-</t>
  </si>
  <si>
    <t>005 07104 012</t>
  </si>
  <si>
    <t xml:space="preserve">Sheet,316lss, 12ga </t>
  </si>
  <si>
    <t>SSLS105-</t>
  </si>
  <si>
    <t>005 07104 014</t>
  </si>
  <si>
    <t xml:space="preserve">Sheet,316lss, 14ga </t>
  </si>
  <si>
    <t>SSLS075-</t>
  </si>
  <si>
    <t>005 07104 016</t>
  </si>
  <si>
    <t>Sheet,316lss, 16ga</t>
  </si>
  <si>
    <t>SSLS060-</t>
  </si>
  <si>
    <t>005 07104 018</t>
  </si>
  <si>
    <t>Sheet,316lss, 18ga</t>
  </si>
  <si>
    <t>SSLS048-</t>
  </si>
  <si>
    <t>005 07104 020</t>
  </si>
  <si>
    <t>Sheet,316lss, 20ga</t>
  </si>
  <si>
    <t>SSLS035-</t>
  </si>
  <si>
    <t>005 07104 022</t>
  </si>
  <si>
    <t xml:space="preserve">Sheet,316lss, 22ga </t>
  </si>
  <si>
    <t>SSLS029-</t>
  </si>
  <si>
    <t>Sheet, AL, Emb</t>
  </si>
  <si>
    <t>008 02571 080</t>
  </si>
  <si>
    <t>Sheet,Al_Text,3003h134,.080_Stucco</t>
  </si>
  <si>
    <t>Stucco Finish</t>
  </si>
  <si>
    <t>ALUE080A</t>
  </si>
  <si>
    <t>Embossed AL</t>
  </si>
  <si>
    <t>008 02168 000</t>
  </si>
  <si>
    <t>Al,3105h14,.040, Stucco Emb Alum</t>
  </si>
  <si>
    <t>ALUE040A</t>
  </si>
  <si>
    <t>Notes:</t>
  </si>
  <si>
    <t>1. All sheet or coil stock raw material will be calculated in Square Foot, (Width" X Length") / 144 = SQ. FT.</t>
  </si>
  <si>
    <t>2. Conversions to Pounds or Sheets will be setup in Mapics as a (1 to X) product structure relationship</t>
  </si>
  <si>
    <t>3. The max sheet size is 60 X 144 inches for sheet stock material</t>
  </si>
  <si>
    <t>4. With the exception to standard R259 is that all Galvanized Steel will be Chemically Treated and oiled with a mineral based oil which is easily removable by vapor degreasing or mild alkaline cleaning with a hot water rinse.</t>
  </si>
  <si>
    <t>CHANNEL LOCATION DIMENSIONS (Z_LOCATION)
FROM PRIMARY_Z_PLANE (SEGMENT START)</t>
  </si>
  <si>
    <t>Channel Name</t>
  </si>
  <si>
    <t>Z_LOCATION</t>
  </si>
  <si>
    <t>X_ARRAY_OFFSET</t>
  </si>
  <si>
    <t>X_ARRAY_QTY</t>
  </si>
  <si>
    <t>X_ARRAY_SPACING</t>
  </si>
  <si>
    <t>FLOOR CHANNELS</t>
  </si>
  <si>
    <t>FLOOR_CHAN_1</t>
  </si>
  <si>
    <t>FLOOR_CHAN_2</t>
  </si>
  <si>
    <t>FLOOR_CHAN_3</t>
  </si>
  <si>
    <t>FLOOR_CHAN_4</t>
  </si>
  <si>
    <t>FLOOR_CHAN_5</t>
  </si>
  <si>
    <t>FLOOR_CHAN_6</t>
  </si>
  <si>
    <t>FLOOR_CHAN_7</t>
  </si>
  <si>
    <t>FLOOR_CHAN_8</t>
  </si>
  <si>
    <t>FLOOR_CHAN_9</t>
  </si>
  <si>
    <t>FLOOR_CHAN_10</t>
  </si>
  <si>
    <t>FLOOR_CHAN_11</t>
  </si>
  <si>
    <t>FLOOR_CHAN_12</t>
  </si>
  <si>
    <t>FLOOR_CHAN_13</t>
  </si>
  <si>
    <t>FLOOR_CHAN_14</t>
  </si>
  <si>
    <t>FLOOR_CHAN_15</t>
  </si>
  <si>
    <t>NOT USED</t>
  </si>
  <si>
    <t>ROOF CHANNELS</t>
  </si>
  <si>
    <t>ROOF_CHAN_1</t>
  </si>
  <si>
    <t>ROOF_CHAN_2</t>
  </si>
  <si>
    <t>ROOF_CHAN_3</t>
  </si>
  <si>
    <t>ROOF_CHAN_4</t>
  </si>
  <si>
    <t>ROOF_CHAN_5</t>
  </si>
  <si>
    <t>ROOF_CHAN_6</t>
  </si>
  <si>
    <t>ROOF_CHAN_7</t>
  </si>
  <si>
    <t>ROOF_CHAN_8</t>
  </si>
  <si>
    <t>ROOF_CHAN_9</t>
  </si>
  <si>
    <t>ROOF_CHAN_10</t>
  </si>
  <si>
    <t>ROOF_CHAN_11</t>
  </si>
  <si>
    <t>ROOF_CHAN_12</t>
  </si>
  <si>
    <t>ROOF_CHAN_13</t>
  </si>
  <si>
    <t>ROOF_CHAN_14</t>
  </si>
  <si>
    <t>ROOF_CHAN_15</t>
  </si>
  <si>
    <t>Y_ARRAY_OFFSET</t>
  </si>
  <si>
    <t>Y_ARRAY_QTY</t>
  </si>
  <si>
    <t>Y_ARRAY_SPACING</t>
  </si>
  <si>
    <t>NORTH WALL CHANNELS</t>
  </si>
  <si>
    <t>RIGHT_HAND_CHAN_1</t>
  </si>
  <si>
    <t>RIGHT_HAND_CHAN_2</t>
  </si>
  <si>
    <t>RIGHT_HAND_CHAN_3</t>
  </si>
  <si>
    <t>RIGHT_HAND_CHAN_4</t>
  </si>
  <si>
    <t>RIGHT_HAND_CHAN_5</t>
  </si>
  <si>
    <t>RIGHT_HAND_CHAN_6</t>
  </si>
  <si>
    <t>RIGHT_HAND_CHAN_7</t>
  </si>
  <si>
    <t>RIGHT_HAND_CHAN_8</t>
  </si>
  <si>
    <t>RIGHT_HAND_CHAN_9</t>
  </si>
  <si>
    <t>RIGHT_HAND_CHAN_10</t>
  </si>
  <si>
    <t>SOUTH WALL CHANNELS</t>
  </si>
  <si>
    <t>LEFT_HAND_CHAN_1</t>
  </si>
  <si>
    <t>LEFT_HAND_CHAN_2</t>
  </si>
  <si>
    <t>LEFT_HAND_CHAN_3</t>
  </si>
  <si>
    <t>LEFT_HAND_CHAN_4</t>
  </si>
  <si>
    <t>LEFT_HAND_CHAN_5</t>
  </si>
  <si>
    <t>LEFT_HAND_CHAN_6</t>
  </si>
  <si>
    <t>LEFT_HAND_CHAN_7</t>
  </si>
  <si>
    <t>LEFT_HAND_CHAN_8</t>
  </si>
  <si>
    <t>LEFT_HAND_CHAN_9</t>
  </si>
  <si>
    <t>LEFT_HAND_CHAN_10</t>
  </si>
  <si>
    <t>INPUTS</t>
  </si>
  <si>
    <t>Parameter</t>
  </si>
  <si>
    <t>Value</t>
  </si>
  <si>
    <t>THIS BOX IS OUTPUT ONLY … DO NOT USE AS INPUTS</t>
  </si>
  <si>
    <t>IH</t>
  </si>
  <si>
    <t>Inside Height</t>
  </si>
  <si>
    <t>Thickness Outputs</t>
  </si>
  <si>
    <t>IW</t>
  </si>
  <si>
    <t>Inside Width</t>
  </si>
  <si>
    <t>MaterialStyle</t>
  </si>
  <si>
    <t>Construction</t>
  </si>
  <si>
    <t>TBD</t>
  </si>
  <si>
    <t>UM</t>
  </si>
  <si>
    <t>Comments</t>
  </si>
  <si>
    <t>Inside_Height</t>
  </si>
  <si>
    <t>Inside_Width</t>
  </si>
  <si>
    <t>General</t>
  </si>
  <si>
    <t>Side BH to Shell Clearance</t>
  </si>
  <si>
    <t>Fan Data</t>
  </si>
  <si>
    <t>NO</t>
  </si>
  <si>
    <t>Plate</t>
  </si>
  <si>
    <t>AMSR-2D STANDARD</t>
  </si>
  <si>
    <t>AMSR-2D OFFSET</t>
  </si>
  <si>
    <t>AMSR-2E STANDARD</t>
  </si>
  <si>
    <t>AMSR-2E OFFSET</t>
  </si>
  <si>
    <t>Plate Width</t>
  </si>
  <si>
    <t>Plate Length</t>
  </si>
  <si>
    <t>Plate Thickness</t>
  </si>
  <si>
    <t>PLT_W</t>
  </si>
  <si>
    <t>PLT_L</t>
  </si>
  <si>
    <t>PLT_T</t>
  </si>
  <si>
    <t>122 to 600 Class 1 &amp; 2 182 to 600 Class 3 - EPFN or EPQN only</t>
  </si>
  <si>
    <t>Isolator Data</t>
  </si>
  <si>
    <t>ul</t>
  </si>
  <si>
    <t>INERTIA</t>
  </si>
  <si>
    <t>Isolator Designation</t>
  </si>
  <si>
    <t>Plate Designation</t>
  </si>
  <si>
    <t>PLT_D</t>
  </si>
  <si>
    <t>Base_Fan_Y_Location</t>
  </si>
  <si>
    <t>Base_Fan_X_Location</t>
  </si>
  <si>
    <t>001-07501-000</t>
  </si>
  <si>
    <t>001-07517-000</t>
  </si>
  <si>
    <t>001-07519-000</t>
  </si>
  <si>
    <t>Height</t>
  </si>
  <si>
    <t xml:space="preserve">Rel/Rev Date: </t>
  </si>
  <si>
    <t xml:space="preserve">Revision Level : </t>
  </si>
  <si>
    <t>ECN Number :</t>
  </si>
  <si>
    <t>MAT_LOOKUP</t>
  </si>
  <si>
    <t>MAT_GRP</t>
  </si>
  <si>
    <t>MAT_GA</t>
  </si>
  <si>
    <t>MAT_MINT</t>
  </si>
  <si>
    <t>MAT_DEST</t>
  </si>
  <si>
    <t>MAT_KEYT</t>
  </si>
  <si>
    <t>MAT_XT</t>
  </si>
  <si>
    <t>MAT_YC</t>
  </si>
  <si>
    <t>MAT_PNUM</t>
  </si>
  <si>
    <t>MAT_DESC</t>
  </si>
  <si>
    <t>MAT_TYPE</t>
  </si>
  <si>
    <t>MAT_RSTD</t>
  </si>
  <si>
    <t>MAT_CUT</t>
  </si>
  <si>
    <t>MAT_UMSR</t>
  </si>
  <si>
    <t>MAT_DESG</t>
  </si>
  <si>
    <t>MAT_DXF</t>
  </si>
  <si>
    <t>MAT_HLSZ</t>
  </si>
  <si>
    <t>MAT_STG</t>
  </si>
  <si>
    <t>Sheet Products, Solid</t>
  </si>
  <si>
    <t>STL GALV PPG</t>
  </si>
  <si>
    <t>STL GALV PPC</t>
  </si>
  <si>
    <t>STL GALV PPW</t>
  </si>
  <si>
    <t>Sheet Products, Structural</t>
  </si>
  <si>
    <t>Sheet Products, Perforated</t>
  </si>
  <si>
    <t>Sheet Products, Diamond Tread Plate</t>
  </si>
  <si>
    <t>Sheet Products, Corrugated</t>
  </si>
  <si>
    <t>Plate Products, Solid</t>
  </si>
  <si>
    <t>LBS/FT</t>
  </si>
  <si>
    <t>Web/Wall Thickness</t>
  </si>
  <si>
    <t>Depth</t>
  </si>
  <si>
    <t>Flange Thickness/ Radius</t>
  </si>
  <si>
    <t>STL_LOOKUP</t>
  </si>
  <si>
    <t>STL_GRP</t>
  </si>
  <si>
    <t>STL_LBFT</t>
  </si>
  <si>
    <t>STL_WT</t>
  </si>
  <si>
    <t>STL_H</t>
  </si>
  <si>
    <t>STL_D</t>
  </si>
  <si>
    <t>STL_FTR</t>
  </si>
  <si>
    <t>STL_XT</t>
  </si>
  <si>
    <t>STL_YC</t>
  </si>
  <si>
    <t>STL_PNUM</t>
  </si>
  <si>
    <t>STL_DESC</t>
  </si>
  <si>
    <t>STL_TYPE</t>
  </si>
  <si>
    <t>STL_RSTD</t>
  </si>
  <si>
    <t>STL_CUT</t>
  </si>
  <si>
    <t>STL_UMSR</t>
  </si>
  <si>
    <t>STL_DESG</t>
  </si>
  <si>
    <t>STL_DXF</t>
  </si>
  <si>
    <t>Structural Steel, Shapes</t>
  </si>
  <si>
    <t>Steel, Channel</t>
  </si>
  <si>
    <t>1.000</t>
  </si>
  <si>
    <t>001-07500-000</t>
  </si>
  <si>
    <t xml:space="preserve">Channel 2 X 1 X .19,R-18 Std  </t>
  </si>
  <si>
    <t>A572 HRS</t>
  </si>
  <si>
    <t>R18</t>
  </si>
  <si>
    <t>324 IN length</t>
  </si>
  <si>
    <t>IN</t>
  </si>
  <si>
    <t>Channel 3 X 4.1 Lb/Ft,R-18 Std</t>
  </si>
  <si>
    <t>001 08405 003</t>
  </si>
  <si>
    <t>3" x 5.0# Structural Channel</t>
  </si>
  <si>
    <t>001 08405 004</t>
  </si>
  <si>
    <t>4" x 5.4# Structural Channel</t>
  </si>
  <si>
    <t>001 08405 104</t>
  </si>
  <si>
    <t>4" x 7.25# Structural Channel</t>
  </si>
  <si>
    <t>Channel 5 X 6.7 Lb/Ft,R-18 Std</t>
  </si>
  <si>
    <t>001 08405 006</t>
  </si>
  <si>
    <t>6" x 8.2# Structural Channel</t>
  </si>
  <si>
    <t>001 08405 008</t>
  </si>
  <si>
    <t>8" x 11.5# Structural Channel</t>
  </si>
  <si>
    <t>001 08405 010</t>
  </si>
  <si>
    <t>10" x 15.3# Structural Channel</t>
  </si>
  <si>
    <t>001 08405 012</t>
  </si>
  <si>
    <t>12" x 20.7# Structural Channel</t>
  </si>
  <si>
    <t>Steel, I-Beam</t>
  </si>
  <si>
    <t>001-07638-000</t>
  </si>
  <si>
    <t xml:space="preserve">I-Beam 3 X 5.7 Lb/Ft, R-18 Std     </t>
  </si>
  <si>
    <t>A36 HRS</t>
  </si>
  <si>
    <t xml:space="preserve">I-Beam 4 X 7.7 Lb/Ft,R-18 Std </t>
  </si>
  <si>
    <t>001-07509-000</t>
  </si>
  <si>
    <t>I-Beam 6 X 12.5 Lb/Ft,R-18 Std</t>
  </si>
  <si>
    <t>001-07510-000</t>
  </si>
  <si>
    <t>I-Beam 8 X 18.4 Lb/Ft,R-18 Std</t>
  </si>
  <si>
    <t>Steel, Angle</t>
  </si>
  <si>
    <t>001 08406 100</t>
  </si>
  <si>
    <t>1" x 1" x 1/4" Structural Angle</t>
  </si>
  <si>
    <t>001 08406 125</t>
  </si>
  <si>
    <t>1-1/4" x 1-1/4" x 1/4" Structural Angle</t>
  </si>
  <si>
    <t>001 08406 150</t>
  </si>
  <si>
    <t>1-1/2" x 1-1/2" x 1/4" Structural Angle</t>
  </si>
  <si>
    <t>001 08406 200</t>
  </si>
  <si>
    <t>2" x 2" x 1/4" Structural Angle</t>
  </si>
  <si>
    <t>Steel, AngleCoped</t>
  </si>
  <si>
    <t>001 08407 200</t>
  </si>
  <si>
    <t>2" x 2" x 1/4" Structural Angle, Coped Both Ends</t>
  </si>
  <si>
    <t>001-05057-000</t>
  </si>
  <si>
    <t xml:space="preserve">Angle Blk 2 X 2 X .19         </t>
  </si>
  <si>
    <t>001 07501 064</t>
  </si>
  <si>
    <t>Angle Blk 6 x 4 x .38 thk</t>
  </si>
  <si>
    <t>Steel, Tubing</t>
  </si>
  <si>
    <t xml:space="preserve">Tubing 1 X 1 X .065           </t>
  </si>
  <si>
    <t>A36</t>
  </si>
  <si>
    <t xml:space="preserve">Tubing 3 X 3 X .120           </t>
  </si>
  <si>
    <t xml:space="preserve">Tubing 4 X 4 X .120           </t>
  </si>
  <si>
    <t xml:space="preserve">Tubing 2 X 2 X .120           </t>
  </si>
  <si>
    <t>001 08570 000</t>
  </si>
  <si>
    <t>Tubing, Blk 3/4"x1 1/2"x.120</t>
  </si>
  <si>
    <t>Steel, Flat Bar</t>
  </si>
  <si>
    <t>001-07578-000</t>
  </si>
  <si>
    <t>Aluminum, Extruded, Shapes</t>
  </si>
  <si>
    <t>Alum, Extrude, Track</t>
  </si>
  <si>
    <t>008 02326 010</t>
  </si>
  <si>
    <t>Track,Fltr,Top/Btm,W/2_Pre</t>
  </si>
  <si>
    <t>extru. Al.</t>
  </si>
  <si>
    <t>IN length</t>
  </si>
  <si>
    <t>ALM TRK 12TB</t>
  </si>
  <si>
    <t>ALUT12TB</t>
  </si>
  <si>
    <t>008 02327 010</t>
  </si>
  <si>
    <t>Track,Fltr,Mid,W/2_Pre</t>
  </si>
  <si>
    <t>ALM TRK 12M</t>
  </si>
  <si>
    <t>ALUT12M-</t>
  </si>
  <si>
    <t>008 02328 010</t>
  </si>
  <si>
    <t>Track,Fltr,Top/Btm,W/4_Pre</t>
  </si>
  <si>
    <t>ALM TRK 14TB</t>
  </si>
  <si>
    <t>ALUT14TB</t>
  </si>
  <si>
    <t>008 02329 010</t>
  </si>
  <si>
    <t>Track,Fltr,Mid,W/4_Pre</t>
  </si>
  <si>
    <t>ALM TRK 14M</t>
  </si>
  <si>
    <t>ALUT14M-</t>
  </si>
  <si>
    <t>008 02330 010</t>
  </si>
  <si>
    <t>ALM TRK 42TB</t>
  </si>
  <si>
    <t>ALUT42TB</t>
  </si>
  <si>
    <t>008 02331 010</t>
  </si>
  <si>
    <t>ALM TRK 42M</t>
  </si>
  <si>
    <t>ALUT42M-</t>
  </si>
  <si>
    <t>008 02575 001</t>
  </si>
  <si>
    <t xml:space="preserve">Track,Fltr,Hi-Eff,Top/Btm, 2" Pre, Rigid/Bag Final </t>
  </si>
  <si>
    <t>008 02576 001</t>
  </si>
  <si>
    <t>Track,Fltr,Hi-Eff,Mid, 2" Pre, Rigid/Bag Final</t>
  </si>
  <si>
    <t>008 02577 001</t>
  </si>
  <si>
    <t>Extrusion,Frame,Outswing,2", YC, 204" L</t>
  </si>
  <si>
    <t>008 02578 001</t>
  </si>
  <si>
    <t xml:space="preserve">Extrusion,Frame,Inswing,2", YC, 204" L </t>
  </si>
  <si>
    <t>008 02579 001</t>
  </si>
  <si>
    <t xml:space="preserve">Extrusion,Door,2", YC, 204" L     </t>
  </si>
  <si>
    <t>008 02584 001</t>
  </si>
  <si>
    <t>Extrusion,Frame,Tb,Outswing,2", YC, 204" L</t>
  </si>
  <si>
    <t>008 02585 001</t>
  </si>
  <si>
    <t>Extrusion,Frame,Tb,Inswing,2", YC, 204"</t>
  </si>
  <si>
    <t>008 02586 001</t>
  </si>
  <si>
    <t>Extrusion,Tb,Door,2", YC,204" L</t>
  </si>
  <si>
    <t>008 02587 001</t>
  </si>
  <si>
    <t>Extrusion,Frame,Tb,Outswing,3",YC, 204" L</t>
  </si>
  <si>
    <t>008 02588 001</t>
  </si>
  <si>
    <t>Extrusion,Frame,Tb,Inswing,3", YC, 204" Lg</t>
  </si>
  <si>
    <t>008 02589 001</t>
  </si>
  <si>
    <t>Extrusion,Tb,Door,3", YC, 204" L</t>
  </si>
  <si>
    <t>Copper, Tube</t>
  </si>
  <si>
    <t>007 09019 025</t>
  </si>
  <si>
    <t xml:space="preserve">Tubing,Cu,.25dia              </t>
  </si>
  <si>
    <t>Copper Type L</t>
  </si>
  <si>
    <t>R80</t>
  </si>
  <si>
    <t>007-05770-000</t>
  </si>
  <si>
    <t xml:space="preserve">Tube,Cu,.63od_.020thk         </t>
  </si>
  <si>
    <t>Aluminum, Shapes</t>
  </si>
  <si>
    <t>Alum, Tubing</t>
  </si>
  <si>
    <t>008 02595 001</t>
  </si>
  <si>
    <t>Tubing, Alum, 0.75x1.50x0.125</t>
  </si>
  <si>
    <t>IN Length</t>
  </si>
  <si>
    <t>Alum, Channel</t>
  </si>
  <si>
    <t>008 02592 001</t>
  </si>
  <si>
    <t>Channel Aluminum 10x8.36 Lb/Ft</t>
  </si>
  <si>
    <t>008 02593 001</t>
  </si>
  <si>
    <t>Channel Aluminum 12x11.82lb/Ft</t>
  </si>
  <si>
    <t>008 02590 001</t>
  </si>
  <si>
    <t xml:space="preserve">Channel Aluminum 6x4.03 Lb/Ft </t>
  </si>
  <si>
    <t>008 02591 001</t>
  </si>
  <si>
    <t xml:space="preserve">Channel Aluminum 8x5.79 Lb/Ft </t>
  </si>
  <si>
    <t>Steel, Stainless, Shapes</t>
  </si>
  <si>
    <t>SST, Channel</t>
  </si>
  <si>
    <t>001-07530-006</t>
  </si>
  <si>
    <t xml:space="preserve">Channel,304ss,6_8.3#/Ft, Flange Width = 1.9"    </t>
  </si>
  <si>
    <t>001-07530-008</t>
  </si>
  <si>
    <t xml:space="preserve">Channel,304ss,8_18.8#/Ft, Flange Width = 2.53"      </t>
  </si>
  <si>
    <t>SST, Tubing</t>
  </si>
  <si>
    <t>001-07520-000</t>
  </si>
  <si>
    <t>Tubing 1 x 1 x .065 304 SST</t>
  </si>
  <si>
    <t>Flat Bar 3 x .25 THK</t>
  </si>
  <si>
    <t>001-08408-002</t>
  </si>
  <si>
    <t>001-08408-003</t>
  </si>
  <si>
    <t>001-08409-004</t>
  </si>
  <si>
    <t>001 08405 005</t>
  </si>
  <si>
    <t>001 08406 075</t>
  </si>
  <si>
    <t>3/4" x 3/4" x 1/8" Structural Angle</t>
  </si>
  <si>
    <t>FLOOR_CHAN_16</t>
  </si>
  <si>
    <t>FLOOR_CHAN_17</t>
  </si>
  <si>
    <t>FLOOR_CHAN_18</t>
  </si>
  <si>
    <t>FLOOR_CHAN_19</t>
  </si>
  <si>
    <t>FLOOR_CHAN_20</t>
  </si>
  <si>
    <t>Angle Blk 4 x 3 x .38 thk</t>
  </si>
  <si>
    <t>R19</t>
  </si>
  <si>
    <t>FanBase_Type</t>
  </si>
  <si>
    <t>FanBase_Str_DOA_CHAN_Lookup</t>
  </si>
  <si>
    <t>FanBase_Str_DOA_CHAN_H</t>
  </si>
  <si>
    <t>FanBase_Str_DOA_CHAN_LBFT</t>
  </si>
  <si>
    <t>FanBase_Str_DOA_CHAN_D</t>
  </si>
  <si>
    <t>FanBase_Str_DOA_ANG_H</t>
  </si>
  <si>
    <t>FanBase_Str_DOA_ANG_D</t>
  </si>
  <si>
    <t>FanBase_Str_DOA_ANG_WT</t>
  </si>
  <si>
    <t>001 08406 403</t>
  </si>
  <si>
    <t>SUPANG_D</t>
  </si>
  <si>
    <t>Angle Height</t>
  </si>
  <si>
    <t>SUPANG_H</t>
  </si>
  <si>
    <t>Angle Depth</t>
  </si>
  <si>
    <t>Angle Thickness</t>
  </si>
  <si>
    <t>OPERATING HEIGHT</t>
  </si>
  <si>
    <t>FanBase_Str_IsoSup_ANG_WT</t>
  </si>
  <si>
    <t>SUPANG_L</t>
  </si>
  <si>
    <t>Angle Length</t>
  </si>
  <si>
    <t>SUPANG_WT</t>
  </si>
  <si>
    <t>SUPANG_DESG</t>
  </si>
  <si>
    <t>FanBase_Str_DOA_ANG_Lookup</t>
  </si>
  <si>
    <t>Angle Blk 4 x 4 x .38 thk</t>
  </si>
  <si>
    <t>001 08406 404</t>
  </si>
  <si>
    <t>FAN_X_LOCATION</t>
  </si>
  <si>
    <t>TYPE A</t>
  </si>
  <si>
    <t>TYPE B</t>
  </si>
  <si>
    <t>TYPE C</t>
  </si>
  <si>
    <t>FanBase_Str_IsoSup_ANG_STD_Offset</t>
  </si>
  <si>
    <t>Steel, Rebar</t>
  </si>
  <si>
    <t xml:space="preserve">REBAR .5" RD #4   </t>
  </si>
  <si>
    <t>Sheetmetal Weight lb/sqft/in</t>
  </si>
  <si>
    <t>001-08653-000</t>
  </si>
  <si>
    <t>YES or NO - Default = NO - Smaller fans that default to Type A base are forced to Type B when inertia is selected</t>
  </si>
  <si>
    <t>ISOLATORDEFLECTION</t>
  </si>
  <si>
    <t>1 or 2 - Default = 2</t>
  </si>
  <si>
    <t>Isolator_Deflection</t>
  </si>
  <si>
    <t>AMSR-1C STANDARD</t>
  </si>
  <si>
    <t>AMSR-1C OFFSET</t>
  </si>
  <si>
    <t>FAN_A</t>
  </si>
  <si>
    <t>FAN_B</t>
  </si>
  <si>
    <t>FAN_DC</t>
  </si>
  <si>
    <t>FAN_Q</t>
  </si>
  <si>
    <t>FAN_FanType_Selection</t>
  </si>
  <si>
    <t>FANDISCHARGELOC</t>
  </si>
  <si>
    <t>FAN_Lookup</t>
  </si>
  <si>
    <t>STL HOT ROLL</t>
  </si>
  <si>
    <t>R-777</t>
  </si>
  <si>
    <t>ALM SHT</t>
  </si>
  <si>
    <t>GALV PRFA</t>
  </si>
  <si>
    <t>GALV PRFD</t>
  </si>
  <si>
    <t>GALV PRFE</t>
  </si>
  <si>
    <t>GALV PRFG</t>
  </si>
  <si>
    <t>GALV PRFF</t>
  </si>
  <si>
    <t>GALV PRFH</t>
  </si>
  <si>
    <t>ALM PRF</t>
  </si>
  <si>
    <t>ALM PRFA</t>
  </si>
  <si>
    <t>ALM PRFB</t>
  </si>
  <si>
    <t>Sheet Products, Expanded or Textured</t>
  </si>
  <si>
    <t>GALV EXPA</t>
  </si>
  <si>
    <t>GALV EXPB</t>
  </si>
  <si>
    <t>GALV EXPBY</t>
  </si>
  <si>
    <t>ALM EXP</t>
  </si>
  <si>
    <t>ALM EMB</t>
  </si>
  <si>
    <t>ALM GRATE</t>
  </si>
  <si>
    <t>GALV GRATE</t>
  </si>
  <si>
    <t>Sheet, Cloth</t>
  </si>
  <si>
    <t>19</t>
  </si>
  <si>
    <t>.04</t>
  </si>
  <si>
    <t>005 07112 041</t>
  </si>
  <si>
    <t>Cloth, Hdw, Glv, .5 x .5 x .04</t>
  </si>
  <si>
    <t>Galv</t>
  </si>
  <si>
    <t>GALV CLOTH</t>
  </si>
  <si>
    <t>GLVC040A</t>
  </si>
  <si>
    <t>STL DIA HR</t>
  </si>
  <si>
    <t>ALM DIA</t>
  </si>
  <si>
    <t>ALMB DIA</t>
  </si>
  <si>
    <t>GALV CORA</t>
  </si>
  <si>
    <t>Top Discharge Transition Thickness Override - set to "-" when using defaults - Default = 16ga</t>
  </si>
  <si>
    <t>F</t>
  </si>
  <si>
    <t>Location of "Base" fan in X direction (across width of unit). Dim is from RH origin plane (RH side of IW of unit) to center of Fan Discharge
Default = 0 - Default value centers fan discharge in IW of unit</t>
  </si>
  <si>
    <t>SUPPORT FRAME WORK SHEETMETAL THICKNESS</t>
  </si>
  <si>
    <t>SupFrameThk</t>
  </si>
  <si>
    <t>SupFrameThkO</t>
  </si>
  <si>
    <t>Twin City BAE DWDI Fan Discharge Data</t>
  </si>
  <si>
    <t>F, FI, R, RI, (Front, Front Inverted, Rear, Rear Inverted)</t>
  </si>
  <si>
    <t>Isolator_Operating_Height</t>
  </si>
  <si>
    <t>Segment_Length</t>
  </si>
  <si>
    <t>Plate_Thickness</t>
  </si>
  <si>
    <t>Fan Y Location Calculation Data</t>
  </si>
  <si>
    <t>Type B &amp; C DOA Channel Data</t>
  </si>
  <si>
    <t>Type B &amp; C Isolator Support Angle Data</t>
  </si>
  <si>
    <t>Type A DOA Angle Data</t>
  </si>
  <si>
    <t>Support Frame Data</t>
  </si>
  <si>
    <t>Support Frame Verticals Data</t>
  </si>
  <si>
    <t>SupFrame_VertChan_WebL</t>
  </si>
  <si>
    <t>SupFrame_VertChan_L</t>
  </si>
  <si>
    <t>SupFrame_VertChan_FlngL</t>
  </si>
  <si>
    <t>SupFrame_HorzChan_L</t>
  </si>
  <si>
    <t>SupFrame_HorzChan_WebL</t>
  </si>
  <si>
    <t>SupFrame_HorzChan_FlngL_FIA</t>
  </si>
  <si>
    <t>SupFrame_HorzChan_FlngL_LIA</t>
  </si>
  <si>
    <t>Perf_H</t>
  </si>
  <si>
    <t>Perf_H_Total</t>
  </si>
  <si>
    <t>Perf_W_Total</t>
  </si>
  <si>
    <t>Perf_Direction</t>
  </si>
  <si>
    <t>Perf_Rows_High</t>
  </si>
  <si>
    <t>Perf_Rows_Wide</t>
  </si>
  <si>
    <t>Perf_MaxSize_In_Direction</t>
  </si>
  <si>
    <t>Perf_W</t>
  </si>
  <si>
    <t>SupFrame_VertChan_Thk</t>
  </si>
  <si>
    <t>SupFrame_VertChan_GA</t>
  </si>
  <si>
    <t>SupFrame_HorzChan_GA</t>
  </si>
  <si>
    <t>SupFrame_HorzChan_Thk</t>
  </si>
  <si>
    <t>Support Frame Vertical Stiffener Data</t>
  </si>
  <si>
    <t>Support Frame Vertical Data</t>
  </si>
  <si>
    <t>Support Frame Horizontal Data</t>
  </si>
  <si>
    <t>SupFrame_VertStfnr_WebL</t>
  </si>
  <si>
    <t>SupFrame_VertStfnr_L</t>
  </si>
  <si>
    <t>SupFrame_VertStfnr_Thk</t>
  </si>
  <si>
    <t>SupFrame_VertStfnr_GA</t>
  </si>
  <si>
    <t>SupFrame_Tolerance_Gap</t>
  </si>
  <si>
    <t>Perf Data</t>
  </si>
  <si>
    <t>Perf_Thk</t>
  </si>
  <si>
    <t>Perf_GA</t>
  </si>
  <si>
    <t>STL GALV, SST304, SST304L, SST316L</t>
  </si>
  <si>
    <t>SupFrame_X_Loc</t>
  </si>
  <si>
    <t>SupFrame_Z_Loc</t>
  </si>
  <si>
    <t>SupFrame_Y_Loc</t>
  </si>
  <si>
    <t>SupFrame_Y_FanDisch_Loc</t>
  </si>
  <si>
    <t>SupFrame_VertChan_Hole1_YLoc</t>
  </si>
  <si>
    <t>SupFrame_VertChan_Hole1_XLoc</t>
  </si>
  <si>
    <t>SupFrame_VertChan_Eng_Hole_Dia</t>
  </si>
  <si>
    <t>SupFrame_Clr_Hole_Dia</t>
  </si>
  <si>
    <t>SupFrame_HorzChan_Eng_Hole_Dia</t>
  </si>
  <si>
    <t>SupFrame_HorzChan_Hole1_XLoc</t>
  </si>
  <si>
    <t>SupFrame_HorzChan_Hole1_YLoc</t>
  </si>
  <si>
    <t>SupFrame_HorzChan_Hole1_Yspacing_LIA</t>
  </si>
  <si>
    <t>SupFrame_VertStfnr_Eng_Hole_Dia</t>
  </si>
  <si>
    <t>SupFrameVertChanEngHole</t>
  </si>
  <si>
    <t>SupFrameHorzChanEngHole</t>
  </si>
  <si>
    <t>SupFrameVertStfnrEngHole</t>
  </si>
  <si>
    <t>SupFrame_VertChan_Hole1_YArrayDist</t>
  </si>
  <si>
    <t>SupFrame_VertChan_Hole1_YArrayQty</t>
  </si>
  <si>
    <t>SupFrame_VertStfnr_FlngL_FIA</t>
  </si>
  <si>
    <t>SupFrame_VertStfnr_FlngL_LIA</t>
  </si>
  <si>
    <t>SupFrame_VertStfnr_Qty</t>
  </si>
  <si>
    <t>SupFrame_VertStfnr_Hole1_YLoc</t>
  </si>
  <si>
    <t>SupFrame_VertStfnr_Hole1_XLoc</t>
  </si>
  <si>
    <t>SupFrame_VertStfnr_Hole1_Xspacing_LIA</t>
  </si>
  <si>
    <t>SupFrame_VertStfnr_XArrayQty</t>
  </si>
  <si>
    <t>SupFrame_VertStfnr_XArrayDist</t>
  </si>
  <si>
    <t>FanBase_Str_IsoSup_ANG_Lookup</t>
  </si>
  <si>
    <t>Top Discharge Transition Thickness Override - set to "-" when using defaults - Default = 18ga, 0.500" holes on 0.688" stagger</t>
  </si>
  <si>
    <t>PerfThkO</t>
  </si>
  <si>
    <t>PerfThk</t>
  </si>
  <si>
    <t>15-8703</t>
  </si>
  <si>
    <t>SupFrame_VertChan_Foot_Hole_XLoc</t>
  </si>
  <si>
    <t>SupFrame_VertChan_FootFlngL</t>
  </si>
  <si>
    <t>091-30103-139:1 - RH Vertical</t>
  </si>
  <si>
    <t>091-30103-139:2 - LH Vertical</t>
  </si>
  <si>
    <t>SupFrame_VertChan_Ind_Hole_Dia</t>
  </si>
  <si>
    <t>F, FI, R, RI</t>
  </si>
  <si>
    <t>1, 2</t>
  </si>
  <si>
    <t>YES, NO</t>
  </si>
  <si>
    <t>A</t>
  </si>
  <si>
    <t>ADDED INPUT LISTS FOR DROPDOWN MENU</t>
  </si>
  <si>
    <t>WWO</t>
  </si>
  <si>
    <t>19-10292</t>
  </si>
  <si>
    <t>B</t>
  </si>
  <si>
    <t>SJ</t>
  </si>
  <si>
    <t>23-11434</t>
  </si>
  <si>
    <t>Errors</t>
  </si>
  <si>
    <t>ERRORS</t>
  </si>
  <si>
    <t>SPLIT FORMULA UPDATED AND SPLIT SEAM MADE VERTICAL</t>
  </si>
  <si>
    <t>Cover_VertChan_L</t>
  </si>
  <si>
    <t>Cover_VertChan_ML</t>
  </si>
  <si>
    <t>Cover_VertChan_W</t>
  </si>
  <si>
    <t>Cover_VertChan_MW</t>
  </si>
  <si>
    <t>Cover_VertChan_D</t>
  </si>
  <si>
    <t>Cover_VertChan_Thk</t>
  </si>
  <si>
    <t>Vertical Cover</t>
  </si>
  <si>
    <t>Horz Cover</t>
  </si>
  <si>
    <t>Cover_VertChan_Hole1_Xloc</t>
  </si>
  <si>
    <t>Cover_VertChan_Hole1_Yloc</t>
  </si>
  <si>
    <t>Cover_HorzChan_L</t>
  </si>
  <si>
    <t>Cover_HorzChan_ML</t>
  </si>
  <si>
    <t>Cover_HorzChan_W</t>
  </si>
  <si>
    <t>Cover_HorzChan_MW</t>
  </si>
  <si>
    <t>Cover_HorzChan_D</t>
  </si>
  <si>
    <t>Cover_HorzChan_Thk</t>
  </si>
  <si>
    <t>Cover_HorzChan_Hole1_Xloc</t>
  </si>
  <si>
    <t>Cover_HorzChan_Hole1_Yloc</t>
  </si>
  <si>
    <t>Cover_VertChan_Hole1_YArrayQty</t>
  </si>
  <si>
    <t>Cover_VertChan_Hole1_YArrayDist</t>
  </si>
  <si>
    <t>Cover_HorzChan_Hole1_XArrayQty</t>
  </si>
  <si>
    <t>Cover_HorzChan_Hole1_XArrayDist</t>
  </si>
  <si>
    <t>Cover_VertChan_Hole1_Dia</t>
  </si>
  <si>
    <t>Cover_HorzChan_Hole1_Dia</t>
  </si>
  <si>
    <t>Roof Ang</t>
  </si>
  <si>
    <t>Roof_AngChan_L</t>
  </si>
  <si>
    <t>Roof_AngChan_ML</t>
  </si>
  <si>
    <t>Roof_AngChan_W</t>
  </si>
  <si>
    <t>Roof_AngChan_MW</t>
  </si>
  <si>
    <t>Roof_AngChan_D</t>
  </si>
  <si>
    <t>Roof_AngChan_Thk</t>
  </si>
  <si>
    <t>Roof_AngChan_Hole1_Dia</t>
  </si>
  <si>
    <t>Roof_AngChan_Hole1_Xloc</t>
  </si>
  <si>
    <t>Roof_AngChan_Hole1_XArrayDist</t>
  </si>
  <si>
    <t>Roof_AngChan_Hole1_XArrayQty</t>
  </si>
  <si>
    <t>Roof_AngChan_Hole1_Yloc</t>
  </si>
  <si>
    <t>Roof_AngChan_Hole2_Dia</t>
  </si>
  <si>
    <t>Roof_AngChan_Hole2_Xloc</t>
  </si>
  <si>
    <t>Roof_AngChan_Hole2_Yloc</t>
  </si>
  <si>
    <t>SupFrame_VertChan_Hole2_XLoc</t>
  </si>
  <si>
    <t>SupFrame_VertChan_Hole2_YLoc</t>
  </si>
  <si>
    <t>SupFrame_VertChan_Hole2_Dia</t>
  </si>
  <si>
    <t>SupFrame_VertChan_Hole2_Yspac</t>
  </si>
  <si>
    <t>C</t>
  </si>
  <si>
    <t>ROOF ANGLE AND PERF EDGE COVER ADDED</t>
  </si>
  <si>
    <t>24-11496</t>
  </si>
  <si>
    <t>Roof_AngChan_Cutout_Depth</t>
  </si>
  <si>
    <t>SupFrame_VertChan_Mid_Plane</t>
  </si>
  <si>
    <t>SupFrame_VertChan_Ind_Hole_Spac</t>
  </si>
  <si>
    <t>SupFrame_HorzChan_Mid_Plane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</si>
</sst>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
    <numFmt numFmtId="165" formatCode="0.00000"/>
    <numFmt numFmtId="166" formatCode="dd\-mmm\-yy_)"/>
    <numFmt numFmtId="167" formatCode="0.0000"/>
  </numFmts>
  <fonts count="42" x14ac:knownFonts="1">
    <font>
      <sz val="10"/>
      <color theme="1"/>
      <name val="Arial"/>
      <family val="2"/>
    </font>
    <font>
      <sz val="10"/>
      <name val="Arial"/>
      <family val="2"/>
    </font>
    <font>
      <sz val="12"/>
      <name val="Arial"/>
      <family val="2"/>
    </font>
    <font>
      <b/>
      <sz val="10"/>
      <name val="Arial"/>
      <family val="2"/>
    </font>
    <font>
      <sz val="10"/>
      <color indexed="8"/>
      <name val="Arial"/>
      <family val="2"/>
    </font>
    <font>
      <b/>
      <sz val="10"/>
      <color indexed="8"/>
      <name val="Arial"/>
      <family val="2"/>
    </font>
    <font>
      <sz val="10"/>
      <name val="Arial"/>
      <family val="2"/>
    </font>
    <font>
      <u/>
      <sz val="10"/>
      <color indexed="12"/>
      <name val="Arial"/>
      <family val="2"/>
    </font>
    <font>
      <b/>
      <sz val="16"/>
      <name val="Arial"/>
      <family val="2"/>
    </font>
    <font>
      <b/>
      <sz val="14"/>
      <name val="Arial"/>
      <family val="2"/>
    </font>
    <font>
      <sz val="14"/>
      <name val="Arial"/>
      <family val="2"/>
    </font>
    <font>
      <sz val="14"/>
      <color indexed="81"/>
      <name val="Arial"/>
      <family val="2"/>
    </font>
    <font>
      <b/>
      <sz val="12"/>
      <color indexed="8"/>
      <name val="Arial"/>
      <family val="2"/>
    </font>
    <font>
      <sz val="10"/>
      <color theme="1"/>
      <name val="Arial"/>
      <family val="2"/>
    </font>
    <font>
      <sz val="12"/>
      <color theme="1"/>
      <name val="Arial"/>
      <family val="2"/>
    </font>
    <font>
      <sz val="12"/>
      <color theme="0"/>
      <name val="Arial"/>
      <family val="2"/>
    </font>
    <font>
      <sz val="12"/>
      <color rgb="FF9C0006"/>
      <name val="Arial"/>
      <family val="2"/>
    </font>
    <font>
      <b/>
      <sz val="12"/>
      <color rgb="FFFA7D00"/>
      <name val="Arial"/>
      <family val="2"/>
    </font>
    <font>
      <b/>
      <sz val="12"/>
      <color theme="0"/>
      <name val="Arial"/>
      <family val="2"/>
    </font>
    <font>
      <i/>
      <sz val="12"/>
      <color rgb="FF7F7F7F"/>
      <name val="Arial"/>
      <family val="2"/>
    </font>
    <font>
      <sz val="12"/>
      <color rgb="FF006100"/>
      <name val="Arial"/>
      <family val="2"/>
    </font>
    <font>
      <b/>
      <sz val="15"/>
      <color theme="3"/>
      <name val="Arial"/>
      <family val="2"/>
    </font>
    <font>
      <b/>
      <sz val="13"/>
      <color theme="3"/>
      <name val="Arial"/>
      <family val="2"/>
    </font>
    <font>
      <b/>
      <sz val="11"/>
      <color theme="3"/>
      <name val="Arial"/>
      <family val="2"/>
    </font>
    <font>
      <sz val="12"/>
      <color rgb="FF3F3F76"/>
      <name val="Arial"/>
      <family val="2"/>
    </font>
    <font>
      <sz val="12"/>
      <color rgb="FFFA7D00"/>
      <name val="Arial"/>
      <family val="2"/>
    </font>
    <font>
      <sz val="12"/>
      <color rgb="FF9C6500"/>
      <name val="Arial"/>
      <family val="2"/>
    </font>
    <font>
      <sz val="12"/>
      <color theme="1"/>
      <name val="Calibri"/>
      <family val="2"/>
      <scheme val="minor"/>
    </font>
    <font>
      <sz val="11"/>
      <color theme="1"/>
      <name val="Calibri"/>
      <family val="2"/>
      <scheme val="minor"/>
    </font>
    <font>
      <b/>
      <sz val="12"/>
      <color rgb="FF3F3F3F"/>
      <name val="Arial"/>
      <family val="2"/>
    </font>
    <font>
      <b/>
      <sz val="18"/>
      <color theme="3"/>
      <name val="Cambria"/>
      <family val="2"/>
      <scheme val="major"/>
    </font>
    <font>
      <b/>
      <sz val="12"/>
      <color theme="1"/>
      <name val="Arial"/>
      <family val="2"/>
    </font>
    <font>
      <sz val="12"/>
      <color rgb="FFFF0000"/>
      <name val="Arial"/>
      <family val="2"/>
    </font>
    <font>
      <sz val="11"/>
      <name val="Calibri"/>
      <family val="2"/>
      <scheme val="minor"/>
    </font>
    <font>
      <sz val="10"/>
      <color rgb="FFFF0000"/>
      <name val="Arial"/>
      <family val="2"/>
    </font>
    <font>
      <b/>
      <sz val="10"/>
      <color theme="1"/>
      <name val="Arial"/>
      <family val="2"/>
    </font>
    <font>
      <sz val="10"/>
      <color theme="0"/>
      <name val="Arial"/>
      <family val="2"/>
    </font>
    <font>
      <b/>
      <sz val="14"/>
      <color theme="1"/>
      <name val="Arial"/>
      <family val="2"/>
    </font>
    <font>
      <b/>
      <sz val="12"/>
      <color indexed="81"/>
      <name val="Calibri"/>
      <family val="2"/>
      <scheme val="minor"/>
    </font>
    <font>
      <b/>
      <sz val="14"/>
      <color theme="1"/>
      <name val="Calibri"/>
      <family val="2"/>
      <scheme val="minor"/>
    </font>
    <font>
      <sz val="14"/>
      <color theme="1"/>
      <name val="Calibri"/>
      <family val="2"/>
      <scheme val="minor"/>
    </font>
    <font>
      <sz val="14"/>
      <name val="Calibri"/>
      <family val="2"/>
      <scheme val="minor"/>
    </font>
  </fonts>
  <fills count="41">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2" tint="-0.749992370372631"/>
        <bgColor indexed="64"/>
      </patternFill>
    </fill>
  </fills>
  <borders count="8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double">
        <color indexed="64"/>
      </left>
      <right style="double">
        <color indexed="64"/>
      </right>
      <top style="double">
        <color indexed="64"/>
      </top>
      <bottom style="double">
        <color indexed="64"/>
      </bottom>
      <diagonal/>
    </border>
    <border>
      <left/>
      <right/>
      <top style="double">
        <color indexed="64"/>
      </top>
      <bottom style="double">
        <color indexed="64"/>
      </bottom>
      <diagonal/>
    </border>
    <border>
      <left/>
      <right/>
      <top style="medium">
        <color indexed="64"/>
      </top>
      <bottom/>
      <diagonal/>
    </border>
    <border>
      <left/>
      <right/>
      <top style="medium">
        <color indexed="64"/>
      </top>
      <bottom style="medium">
        <color indexed="64"/>
      </bottom>
      <diagonal/>
    </border>
    <border>
      <left style="double">
        <color indexed="64"/>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double">
        <color indexed="64"/>
      </left>
      <right/>
      <top style="double">
        <color indexed="64"/>
      </top>
      <bottom/>
      <diagonal/>
    </border>
    <border>
      <left style="double">
        <color indexed="64"/>
      </left>
      <right style="double">
        <color indexed="64"/>
      </right>
      <top/>
      <bottom/>
      <diagonal/>
    </border>
    <border>
      <left style="double">
        <color indexed="64"/>
      </left>
      <right style="double">
        <color indexed="64"/>
      </right>
      <top style="double">
        <color indexed="64"/>
      </top>
      <bottom/>
      <diagonal/>
    </border>
    <border>
      <left style="double">
        <color indexed="64"/>
      </left>
      <right/>
      <top style="double">
        <color indexed="64"/>
      </top>
      <bottom style="double">
        <color indexed="64"/>
      </bottom>
      <diagonal/>
    </border>
    <border>
      <left style="double">
        <color indexed="64"/>
      </left>
      <right style="double">
        <color indexed="64"/>
      </right>
      <top/>
      <bottom style="double">
        <color indexed="64"/>
      </bottom>
      <diagonal/>
    </border>
    <border>
      <left/>
      <right style="double">
        <color indexed="64"/>
      </right>
      <top/>
      <bottom/>
      <diagonal/>
    </border>
    <border>
      <left/>
      <right/>
      <top style="double">
        <color indexed="64"/>
      </top>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double">
        <color indexed="64"/>
      </left>
      <right/>
      <top style="thin">
        <color indexed="64"/>
      </top>
      <bottom style="thin">
        <color indexed="64"/>
      </bottom>
      <diagonal/>
    </border>
    <border>
      <left style="double">
        <color indexed="64"/>
      </left>
      <right/>
      <top style="thin">
        <color indexed="64"/>
      </top>
      <bottom style="double">
        <color indexed="64"/>
      </bottom>
      <diagonal/>
    </border>
    <border>
      <left/>
      <right style="double">
        <color indexed="64"/>
      </right>
      <top style="double">
        <color indexed="64"/>
      </top>
      <bottom style="double">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right style="thin">
        <color indexed="64"/>
      </right>
      <top style="medium">
        <color indexed="64"/>
      </top>
      <bottom/>
      <diagonal/>
    </border>
  </borders>
  <cellStyleXfs count="57">
    <xf numFmtId="0" fontId="0" fillId="0" borderId="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5" fillId="26" borderId="0" applyNumberFormat="0" applyBorder="0" applyAlignment="0" applyProtection="0"/>
    <xf numFmtId="0" fontId="15" fillId="27" borderId="0" applyNumberFormat="0" applyBorder="0" applyAlignment="0" applyProtection="0"/>
    <xf numFmtId="0" fontId="16" fillId="28" borderId="0" applyNumberFormat="0" applyBorder="0" applyAlignment="0" applyProtection="0"/>
    <xf numFmtId="0" fontId="17" fillId="29" borderId="74" applyNumberFormat="0" applyAlignment="0" applyProtection="0"/>
    <xf numFmtId="0" fontId="18" fillId="30" borderId="75"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9" fillId="0" borderId="0" applyNumberFormat="0" applyFill="0" applyBorder="0" applyAlignment="0" applyProtection="0"/>
    <xf numFmtId="0" fontId="20" fillId="31" borderId="0" applyNumberFormat="0" applyBorder="0" applyAlignment="0" applyProtection="0"/>
    <xf numFmtId="0" fontId="21" fillId="0" borderId="76" applyNumberFormat="0" applyFill="0" applyAlignment="0" applyProtection="0"/>
    <xf numFmtId="0" fontId="22" fillId="0" borderId="77" applyNumberFormat="0" applyFill="0" applyAlignment="0" applyProtection="0"/>
    <xf numFmtId="0" fontId="23" fillId="0" borderId="78" applyNumberFormat="0" applyFill="0" applyAlignment="0" applyProtection="0"/>
    <xf numFmtId="0" fontId="23" fillId="0" borderId="0" applyNumberFormat="0" applyFill="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24" fillId="32" borderId="74" applyNumberFormat="0" applyAlignment="0" applyProtection="0"/>
    <xf numFmtId="0" fontId="25" fillId="0" borderId="79" applyNumberFormat="0" applyFill="0" applyAlignment="0" applyProtection="0"/>
    <xf numFmtId="0" fontId="26" fillId="33" borderId="0" applyNumberFormat="0" applyBorder="0" applyAlignment="0" applyProtection="0"/>
    <xf numFmtId="0" fontId="1" fillId="0" borderId="0"/>
    <xf numFmtId="0" fontId="1" fillId="0" borderId="0"/>
    <xf numFmtId="0" fontId="1" fillId="0" borderId="0"/>
    <xf numFmtId="0" fontId="6" fillId="0" borderId="0"/>
    <xf numFmtId="0" fontId="27" fillId="0" borderId="0"/>
    <xf numFmtId="0" fontId="28" fillId="0" borderId="0"/>
    <xf numFmtId="0" fontId="1" fillId="0" borderId="0"/>
    <xf numFmtId="0" fontId="6" fillId="0" borderId="0"/>
    <xf numFmtId="0" fontId="2" fillId="0" borderId="0"/>
    <xf numFmtId="0" fontId="14" fillId="34" borderId="80" applyNumberFormat="0" applyFont="0" applyAlignment="0" applyProtection="0"/>
    <xf numFmtId="0" fontId="29" fillId="29" borderId="81" applyNumberFormat="0" applyAlignment="0" applyProtection="0"/>
    <xf numFmtId="0" fontId="30" fillId="0" borderId="0" applyNumberFormat="0" applyFill="0" applyBorder="0" applyAlignment="0" applyProtection="0"/>
    <xf numFmtId="0" fontId="31" fillId="0" borderId="82" applyNumberFormat="0" applyFill="0" applyAlignment="0" applyProtection="0"/>
    <xf numFmtId="0" fontId="32" fillId="0" borderId="0" applyNumberFormat="0" applyFill="0" applyBorder="0" applyAlignment="0" applyProtection="0"/>
  </cellStyleXfs>
  <cellXfs count="593">
    <xf numFmtId="0" fontId="0" fillId="0" borderId="0" xfId="0"/>
    <xf numFmtId="0" fontId="0" fillId="0" borderId="0" xfId="0"/>
    <xf numFmtId="0" fontId="0" fillId="0" borderId="1" xfId="0" applyFill="1" applyBorder="1"/>
    <xf numFmtId="0" fontId="1" fillId="0" borderId="0" xfId="43"/>
    <xf numFmtId="0" fontId="1" fillId="0" borderId="0" xfId="43" applyFont="1"/>
    <xf numFmtId="0" fontId="6" fillId="0" borderId="0" xfId="46"/>
    <xf numFmtId="0" fontId="6" fillId="0" borderId="0" xfId="46" applyAlignment="1">
      <alignment horizontal="center"/>
    </xf>
    <xf numFmtId="0" fontId="1" fillId="0" borderId="0" xfId="46" applyFont="1"/>
    <xf numFmtId="0" fontId="3" fillId="0" borderId="2" xfId="46" applyFont="1" applyBorder="1"/>
    <xf numFmtId="0" fontId="3" fillId="0" borderId="3" xfId="46" applyFont="1" applyBorder="1"/>
    <xf numFmtId="0" fontId="3" fillId="0" borderId="4" xfId="46" applyFont="1" applyBorder="1"/>
    <xf numFmtId="0" fontId="6" fillId="0" borderId="1" xfId="46" applyBorder="1" applyAlignment="1">
      <alignment horizontal="center"/>
    </xf>
    <xf numFmtId="0" fontId="1" fillId="0" borderId="0" xfId="46" applyFont="1" applyFill="1"/>
    <xf numFmtId="0" fontId="1" fillId="0" borderId="0" xfId="46" applyFont="1" applyFill="1" applyAlignment="1">
      <alignment horizontal="center"/>
    </xf>
    <xf numFmtId="0" fontId="1" fillId="0" borderId="1" xfId="46" applyFont="1" applyBorder="1" applyAlignment="1">
      <alignment horizontal="center"/>
    </xf>
    <xf numFmtId="0" fontId="6" fillId="0" borderId="0" xfId="46" applyBorder="1" applyAlignment="1">
      <alignment horizontal="center" vertical="center" wrapText="1"/>
    </xf>
    <xf numFmtId="49" fontId="5" fillId="0" borderId="6" xfId="46" applyNumberFormat="1" applyFont="1" applyFill="1" applyBorder="1" applyAlignment="1">
      <alignment horizontal="center" vertical="center" wrapText="1"/>
    </xf>
    <xf numFmtId="49" fontId="3" fillId="0" borderId="6" xfId="46" applyNumberFormat="1" applyFont="1" applyFill="1" applyBorder="1" applyAlignment="1">
      <alignment horizontal="center" vertical="center" wrapText="1"/>
    </xf>
    <xf numFmtId="0" fontId="3" fillId="0" borderId="6" xfId="46" applyFont="1" applyFill="1" applyBorder="1" applyAlignment="1">
      <alignment horizontal="center" vertical="center" wrapText="1"/>
    </xf>
    <xf numFmtId="0" fontId="1" fillId="0" borderId="7" xfId="46" applyFont="1" applyFill="1" applyBorder="1" applyAlignment="1">
      <alignment horizontal="center"/>
    </xf>
    <xf numFmtId="0" fontId="6" fillId="0" borderId="1" xfId="46" applyBorder="1"/>
    <xf numFmtId="0" fontId="3" fillId="0" borderId="1" xfId="46" quotePrefix="1" applyFont="1" applyBorder="1"/>
    <xf numFmtId="0" fontId="6" fillId="0" borderId="1" xfId="46" applyFill="1" applyBorder="1"/>
    <xf numFmtId="164" fontId="6" fillId="0" borderId="1" xfId="46" applyNumberFormat="1" applyFill="1" applyBorder="1"/>
    <xf numFmtId="0" fontId="3" fillId="0" borderId="1" xfId="46" quotePrefix="1" applyFont="1" applyFill="1" applyBorder="1"/>
    <xf numFmtId="0" fontId="1" fillId="0" borderId="1" xfId="46" applyFont="1" applyFill="1" applyBorder="1"/>
    <xf numFmtId="0" fontId="1" fillId="0" borderId="8" xfId="45" applyFont="1" applyFill="1" applyBorder="1" applyProtection="1">
      <protection locked="0"/>
    </xf>
    <xf numFmtId="0" fontId="13" fillId="0" borderId="8" xfId="46" applyFont="1" applyBorder="1" applyAlignment="1">
      <alignment horizontal="center"/>
    </xf>
    <xf numFmtId="0" fontId="1" fillId="0" borderId="8" xfId="46" applyFont="1" applyBorder="1" applyAlignment="1">
      <alignment horizontal="center" vertical="center" textRotation="90" wrapText="1"/>
    </xf>
    <xf numFmtId="0" fontId="6" fillId="0" borderId="0" xfId="46" applyBorder="1"/>
    <xf numFmtId="0" fontId="1" fillId="0" borderId="1" xfId="50" applyFont="1" applyFill="1" applyBorder="1"/>
    <xf numFmtId="164" fontId="1" fillId="0" borderId="1" xfId="50" applyNumberFormat="1" applyFont="1" applyFill="1" applyBorder="1" applyAlignment="1">
      <alignment horizontal="left"/>
    </xf>
    <xf numFmtId="0" fontId="3" fillId="0" borderId="9" xfId="51" applyFont="1" applyFill="1" applyBorder="1" applyAlignment="1">
      <alignment horizontal="center"/>
    </xf>
    <xf numFmtId="165" fontId="3" fillId="0" borderId="9" xfId="51" applyNumberFormat="1" applyFont="1" applyFill="1" applyBorder="1" applyAlignment="1">
      <alignment horizontal="center"/>
    </xf>
    <xf numFmtId="0" fontId="2" fillId="0" borderId="0" xfId="51" applyFont="1" applyFill="1"/>
    <xf numFmtId="0" fontId="1" fillId="0" borderId="0" xfId="46" applyFont="1" applyFill="1" applyAlignment="1">
      <alignment horizontal="left"/>
    </xf>
    <xf numFmtId="0" fontId="1" fillId="0" borderId="0" xfId="46" applyFont="1" applyFill="1" applyAlignment="1">
      <alignment wrapText="1"/>
    </xf>
    <xf numFmtId="0" fontId="8" fillId="0" borderId="7" xfId="46" applyFont="1" applyFill="1" applyBorder="1" applyAlignment="1">
      <alignment horizontal="left"/>
    </xf>
    <xf numFmtId="0" fontId="9" fillId="0" borderId="7" xfId="46" applyFont="1" applyFill="1" applyBorder="1"/>
    <xf numFmtId="0" fontId="10" fillId="0" borderId="7" xfId="46" applyFont="1" applyFill="1" applyBorder="1" applyAlignment="1">
      <alignment horizontal="center"/>
    </xf>
    <xf numFmtId="0" fontId="1" fillId="0" borderId="7" xfId="46" applyFont="1" applyFill="1" applyBorder="1"/>
    <xf numFmtId="0" fontId="3" fillId="0" borderId="0" xfId="46" applyFont="1" applyFill="1" applyAlignment="1">
      <alignment horizontal="center" wrapText="1"/>
    </xf>
    <xf numFmtId="0" fontId="3" fillId="0" borderId="0" xfId="46" applyNumberFormat="1" applyFont="1" applyFill="1" applyAlignment="1">
      <alignment horizontal="center"/>
    </xf>
    <xf numFmtId="0" fontId="1" fillId="0" borderId="0" xfId="46" applyFont="1" applyFill="1" applyAlignment="1"/>
    <xf numFmtId="0" fontId="1" fillId="0" borderId="10" xfId="46" applyFont="1" applyFill="1" applyBorder="1" applyAlignment="1"/>
    <xf numFmtId="165" fontId="1" fillId="0" borderId="0" xfId="46" applyNumberFormat="1" applyFont="1" applyFill="1" applyAlignment="1">
      <alignment horizontal="center"/>
    </xf>
    <xf numFmtId="0" fontId="1" fillId="0" borderId="0" xfId="43" applyAlignment="1">
      <alignment horizontal="center"/>
    </xf>
    <xf numFmtId="0" fontId="3" fillId="0" borderId="11" xfId="43" applyFont="1" applyBorder="1" applyAlignment="1">
      <alignment horizontal="center"/>
    </xf>
    <xf numFmtId="0" fontId="3" fillId="0" borderId="4" xfId="43" applyFont="1" applyBorder="1" applyAlignment="1">
      <alignment horizontal="center"/>
    </xf>
    <xf numFmtId="0" fontId="3" fillId="0" borderId="12" xfId="43" applyFont="1" applyBorder="1" applyAlignment="1">
      <alignment horizontal="center"/>
    </xf>
    <xf numFmtId="0" fontId="3" fillId="0" borderId="17" xfId="43" applyFont="1" applyFill="1" applyBorder="1" applyAlignment="1">
      <alignment horizontal="center"/>
    </xf>
    <xf numFmtId="0" fontId="1" fillId="0" borderId="0" xfId="43" applyFill="1"/>
    <xf numFmtId="0" fontId="1" fillId="0" borderId="0" xfId="43" applyFont="1" applyAlignment="1">
      <alignment horizontal="center"/>
    </xf>
    <xf numFmtId="0" fontId="1" fillId="0" borderId="1" xfId="43" applyFont="1" applyBorder="1"/>
    <xf numFmtId="0" fontId="1" fillId="0" borderId="0" xfId="43" applyAlignment="1">
      <alignment horizontal="left"/>
    </xf>
    <xf numFmtId="0" fontId="1" fillId="0" borderId="1" xfId="43" applyFont="1" applyFill="1" applyBorder="1"/>
    <xf numFmtId="0" fontId="3" fillId="0" borderId="0" xfId="43" applyFont="1"/>
    <xf numFmtId="0" fontId="1" fillId="0" borderId="0" xfId="43" applyFont="1" applyFill="1" applyBorder="1" applyAlignment="1">
      <alignment horizontal="center"/>
    </xf>
    <xf numFmtId="164" fontId="1" fillId="0" borderId="0" xfId="43" applyNumberFormat="1" applyFont="1" applyFill="1" applyBorder="1" applyAlignment="1">
      <alignment horizontal="center"/>
    </xf>
    <xf numFmtId="164" fontId="1" fillId="0" borderId="0" xfId="43" applyNumberFormat="1" applyAlignment="1">
      <alignment horizontal="left"/>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164" fontId="1" fillId="0" borderId="1" xfId="0" applyNumberFormat="1" applyFont="1" applyFill="1" applyBorder="1" applyAlignment="1">
      <alignment horizontal="center" vertical="center"/>
    </xf>
    <xf numFmtId="164" fontId="1" fillId="0" borderId="16" xfId="0" applyNumberFormat="1" applyFont="1" applyFill="1" applyBorder="1" applyAlignment="1">
      <alignment horizontal="center" vertical="center"/>
    </xf>
    <xf numFmtId="164" fontId="1" fillId="0" borderId="22" xfId="0" applyNumberFormat="1" applyFont="1" applyFill="1" applyBorder="1" applyAlignment="1">
      <alignment horizontal="center" vertical="center"/>
    </xf>
    <xf numFmtId="164" fontId="1" fillId="0" borderId="23" xfId="0" applyNumberFormat="1" applyFont="1" applyFill="1" applyBorder="1" applyAlignment="1">
      <alignment horizontal="center" vertical="center"/>
    </xf>
    <xf numFmtId="0" fontId="0" fillId="0" borderId="0" xfId="0" applyFont="1"/>
    <xf numFmtId="0" fontId="1" fillId="0" borderId="0" xfId="0" applyFont="1"/>
    <xf numFmtId="164" fontId="0" fillId="0" borderId="0" xfId="0" applyNumberFormat="1" applyFont="1"/>
    <xf numFmtId="0" fontId="0" fillId="0" borderId="0" xfId="0" applyFont="1" applyFill="1"/>
    <xf numFmtId="0" fontId="13" fillId="0" borderId="0" xfId="48" applyFont="1" applyFill="1" applyBorder="1" applyAlignment="1">
      <alignment horizontal="center"/>
    </xf>
    <xf numFmtId="0" fontId="34" fillId="0" borderId="0" xfId="48" applyFont="1" applyFill="1" applyBorder="1" applyAlignment="1">
      <alignment horizontal="center"/>
    </xf>
    <xf numFmtId="164" fontId="13" fillId="0" borderId="0" xfId="48" applyNumberFormat="1" applyFont="1" applyFill="1" applyBorder="1" applyAlignment="1">
      <alignment horizontal="center"/>
    </xf>
    <xf numFmtId="0" fontId="1" fillId="0" borderId="0" xfId="0" applyFont="1" applyFill="1"/>
    <xf numFmtId="0" fontId="1" fillId="0" borderId="0" xfId="0" applyFont="1" applyAlignment="1">
      <alignment horizontal="center"/>
    </xf>
    <xf numFmtId="0" fontId="1" fillId="0" borderId="0" xfId="0" applyFont="1" applyFill="1" applyAlignment="1">
      <alignment horizontal="center"/>
    </xf>
    <xf numFmtId="0" fontId="1" fillId="0" borderId="0" xfId="43" applyFont="1" applyFill="1"/>
    <xf numFmtId="0" fontId="1" fillId="0" borderId="0" xfId="43" applyFont="1" applyFill="1" applyBorder="1"/>
    <xf numFmtId="164" fontId="1" fillId="0" borderId="0" xfId="43" applyNumberFormat="1" applyFont="1" applyBorder="1" applyAlignment="1">
      <alignment horizontal="center"/>
    </xf>
    <xf numFmtId="0" fontId="1" fillId="0" borderId="0" xfId="43" applyFont="1" applyFill="1" applyAlignment="1">
      <alignment horizontal="center"/>
    </xf>
    <xf numFmtId="164" fontId="1" fillId="0" borderId="1" xfId="43" applyNumberFormat="1" applyFont="1" applyFill="1" applyBorder="1" applyAlignment="1">
      <alignment horizontal="center"/>
    </xf>
    <xf numFmtId="0" fontId="3" fillId="0" borderId="2" xfId="48" applyFont="1" applyFill="1" applyBorder="1" applyAlignment="1">
      <alignment horizontal="center" vertical="center" wrapText="1"/>
    </xf>
    <xf numFmtId="0" fontId="3" fillId="0" borderId="31" xfId="48" applyFont="1" applyFill="1" applyBorder="1" applyAlignment="1">
      <alignment horizontal="center" wrapText="1"/>
    </xf>
    <xf numFmtId="0" fontId="3" fillId="0" borderId="4" xfId="48" applyFont="1" applyFill="1" applyBorder="1" applyAlignment="1">
      <alignment horizontal="center" vertical="center" wrapText="1"/>
    </xf>
    <xf numFmtId="0" fontId="1" fillId="37" borderId="0" xfId="0" applyFont="1" applyFill="1" applyAlignment="1">
      <alignment wrapText="1"/>
    </xf>
    <xf numFmtId="0" fontId="1" fillId="37" borderId="0" xfId="0" applyFont="1" applyFill="1"/>
    <xf numFmtId="0" fontId="1" fillId="37" borderId="0" xfId="0" applyFont="1" applyFill="1" applyAlignment="1">
      <alignment horizontal="center" wrapText="1"/>
    </xf>
    <xf numFmtId="0" fontId="1" fillId="37" borderId="0" xfId="0" applyFont="1" applyFill="1" applyAlignment="1">
      <alignment horizontal="center"/>
    </xf>
    <xf numFmtId="0" fontId="33" fillId="37" borderId="0" xfId="0" applyFont="1" applyFill="1" applyAlignment="1">
      <alignment wrapText="1"/>
    </xf>
    <xf numFmtId="0" fontId="33" fillId="37" borderId="0" xfId="0" applyFont="1" applyFill="1" applyAlignment="1">
      <alignment horizontal="center" wrapText="1"/>
    </xf>
    <xf numFmtId="0" fontId="1" fillId="0" borderId="1" xfId="43" applyNumberFormat="1" applyFont="1" applyFill="1" applyBorder="1" applyAlignment="1">
      <alignment horizontal="center"/>
    </xf>
    <xf numFmtId="0" fontId="3" fillId="0" borderId="12" xfId="48" applyFont="1" applyFill="1" applyBorder="1" applyAlignment="1">
      <alignment horizontal="center" wrapText="1"/>
    </xf>
    <xf numFmtId="0" fontId="13" fillId="0" borderId="32" xfId="47" applyFont="1" applyFill="1" applyBorder="1" applyAlignment="1">
      <alignment horizontal="center"/>
    </xf>
    <xf numFmtId="0" fontId="3" fillId="0" borderId="34" xfId="48" applyFont="1" applyFill="1" applyBorder="1" applyAlignment="1">
      <alignment horizontal="center" wrapText="1"/>
    </xf>
    <xf numFmtId="0" fontId="3" fillId="0" borderId="3" xfId="48" applyFont="1" applyFill="1" applyBorder="1" applyAlignment="1">
      <alignment horizontal="center" vertical="center" wrapText="1"/>
    </xf>
    <xf numFmtId="164" fontId="1" fillId="0" borderId="0" xfId="43" applyNumberFormat="1" applyFont="1" applyAlignment="1">
      <alignment horizontal="center"/>
    </xf>
    <xf numFmtId="0" fontId="3" fillId="2" borderId="12" xfId="0" applyFont="1" applyFill="1" applyBorder="1" applyAlignment="1">
      <alignment horizontal="center" vertical="center" wrapText="1"/>
    </xf>
    <xf numFmtId="0" fontId="1" fillId="0" borderId="33" xfId="0" applyNumberFormat="1" applyFont="1" applyFill="1" applyBorder="1" applyAlignment="1">
      <alignment horizontal="center" vertical="center"/>
    </xf>
    <xf numFmtId="0" fontId="1" fillId="0" borderId="35" xfId="0" applyNumberFormat="1" applyFont="1" applyFill="1" applyBorder="1" applyAlignment="1">
      <alignment horizontal="center" vertical="center"/>
    </xf>
    <xf numFmtId="164" fontId="1" fillId="0" borderId="18" xfId="48" applyNumberFormat="1" applyFont="1" applyFill="1" applyBorder="1" applyAlignment="1">
      <alignment horizontal="center"/>
    </xf>
    <xf numFmtId="0" fontId="8" fillId="0" borderId="37" xfId="46" applyFont="1" applyFill="1" applyBorder="1"/>
    <xf numFmtId="165" fontId="1" fillId="0" borderId="7" xfId="46" applyNumberFormat="1" applyFont="1" applyFill="1" applyBorder="1" applyAlignment="1">
      <alignment horizontal="center"/>
    </xf>
    <xf numFmtId="0" fontId="1" fillId="0" borderId="10" xfId="46" applyFont="1" applyFill="1" applyBorder="1"/>
    <xf numFmtId="0" fontId="3" fillId="0" borderId="38" xfId="46" applyFont="1" applyFill="1" applyBorder="1" applyAlignment="1">
      <alignment horizontal="center" wrapText="1"/>
    </xf>
    <xf numFmtId="49" fontId="5" fillId="0" borderId="39" xfId="46" applyNumberFormat="1" applyFont="1" applyFill="1" applyBorder="1" applyAlignment="1">
      <alignment horizontal="center" vertical="top" wrapText="1"/>
    </xf>
    <xf numFmtId="165" fontId="5" fillId="0" borderId="6" xfId="46" applyNumberFormat="1" applyFont="1" applyFill="1" applyBorder="1" applyAlignment="1">
      <alignment horizontal="center" vertical="center" wrapText="1"/>
    </xf>
    <xf numFmtId="49" fontId="3" fillId="0" borderId="40" xfId="46" applyNumberFormat="1" applyFont="1" applyFill="1" applyBorder="1" applyAlignment="1">
      <alignment horizontal="center" vertical="center" wrapText="1"/>
    </xf>
    <xf numFmtId="0" fontId="3" fillId="0" borderId="10" xfId="46" applyFont="1" applyFill="1" applyBorder="1" applyAlignment="1">
      <alignment horizontal="center" wrapText="1"/>
    </xf>
    <xf numFmtId="0" fontId="3" fillId="0" borderId="6" xfId="46" applyNumberFormat="1" applyFont="1" applyFill="1" applyBorder="1" applyAlignment="1">
      <alignment horizontal="center"/>
    </xf>
    <xf numFmtId="0" fontId="3" fillId="0" borderId="38" xfId="46" applyNumberFormat="1" applyFont="1" applyFill="1" applyBorder="1" applyAlignment="1">
      <alignment horizontal="center"/>
    </xf>
    <xf numFmtId="0" fontId="5" fillId="0" borderId="41" xfId="46" applyNumberFormat="1" applyFont="1" applyFill="1" applyBorder="1" applyAlignment="1">
      <alignment horizontal="center" vertical="top"/>
    </xf>
    <xf numFmtId="0" fontId="5" fillId="0" borderId="39" xfId="46" applyNumberFormat="1" applyFont="1" applyFill="1" applyBorder="1" applyAlignment="1">
      <alignment horizontal="center" vertical="center"/>
    </xf>
    <xf numFmtId="0" fontId="3" fillId="0" borderId="39" xfId="46" applyNumberFormat="1" applyFont="1" applyFill="1" applyBorder="1" applyAlignment="1">
      <alignment horizontal="center" vertical="center"/>
    </xf>
    <xf numFmtId="0" fontId="3" fillId="0" borderId="10" xfId="46" applyNumberFormat="1" applyFont="1" applyFill="1" applyBorder="1" applyAlignment="1">
      <alignment horizontal="center"/>
    </xf>
    <xf numFmtId="0" fontId="3" fillId="0" borderId="39" xfId="46" applyNumberFormat="1" applyFont="1" applyFill="1" applyBorder="1" applyAlignment="1">
      <alignment horizontal="center"/>
    </xf>
    <xf numFmtId="0" fontId="12" fillId="0" borderId="10" xfId="46" applyNumberFormat="1" applyFont="1" applyFill="1" applyBorder="1" applyAlignment="1">
      <alignment horizontal="left" vertical="center"/>
    </xf>
    <xf numFmtId="0" fontId="5" fillId="0" borderId="7" xfId="46" applyNumberFormat="1" applyFont="1" applyFill="1" applyBorder="1" applyAlignment="1">
      <alignment horizontal="center" vertical="center"/>
    </xf>
    <xf numFmtId="0" fontId="3" fillId="0" borderId="7" xfId="46" applyNumberFormat="1" applyFont="1" applyFill="1" applyBorder="1" applyAlignment="1">
      <alignment horizontal="center" vertical="center"/>
    </xf>
    <xf numFmtId="0" fontId="1" fillId="0" borderId="0" xfId="43" applyFont="1" applyFill="1" applyAlignment="1">
      <alignment horizontal="left"/>
    </xf>
    <xf numFmtId="165" fontId="1" fillId="0" borderId="0" xfId="43" applyNumberFormat="1" applyFont="1" applyFill="1" applyAlignment="1">
      <alignment horizontal="center"/>
    </xf>
    <xf numFmtId="0" fontId="1" fillId="0" borderId="0" xfId="43" applyFont="1" applyFill="1" applyAlignment="1">
      <alignment wrapText="1"/>
    </xf>
    <xf numFmtId="0" fontId="8" fillId="0" borderId="37" xfId="43" applyFont="1" applyFill="1" applyBorder="1"/>
    <xf numFmtId="0" fontId="1" fillId="0" borderId="7" xfId="43" applyFont="1" applyFill="1" applyBorder="1"/>
    <xf numFmtId="0" fontId="8" fillId="0" borderId="7" xfId="43" applyFont="1" applyFill="1" applyBorder="1" applyAlignment="1">
      <alignment horizontal="left"/>
    </xf>
    <xf numFmtId="0" fontId="9" fillId="0" borderId="7" xfId="43" applyFont="1" applyFill="1" applyBorder="1"/>
    <xf numFmtId="0" fontId="1" fillId="0" borderId="7" xfId="43" applyFont="1" applyFill="1" applyBorder="1" applyAlignment="1">
      <alignment horizontal="center"/>
    </xf>
    <xf numFmtId="165" fontId="1" fillId="0" borderId="7" xfId="43" applyNumberFormat="1" applyFont="1" applyFill="1" applyBorder="1" applyAlignment="1">
      <alignment horizontal="center"/>
    </xf>
    <xf numFmtId="0" fontId="10" fillId="0" borderId="7" xfId="43" applyFont="1" applyFill="1" applyBorder="1" applyAlignment="1">
      <alignment horizontal="center"/>
    </xf>
    <xf numFmtId="0" fontId="1" fillId="0" borderId="10" xfId="43" applyFont="1" applyFill="1" applyBorder="1"/>
    <xf numFmtId="0" fontId="3" fillId="0" borderId="0" xfId="43" applyFont="1" applyFill="1" applyAlignment="1">
      <alignment horizontal="center" wrapText="1"/>
    </xf>
    <xf numFmtId="0" fontId="3" fillId="0" borderId="38" xfId="43" applyFont="1" applyFill="1" applyBorder="1" applyAlignment="1">
      <alignment horizontal="center" wrapText="1"/>
    </xf>
    <xf numFmtId="49" fontId="5" fillId="0" borderId="39" xfId="43" applyNumberFormat="1" applyFont="1" applyFill="1" applyBorder="1" applyAlignment="1">
      <alignment horizontal="center" vertical="top" wrapText="1"/>
    </xf>
    <xf numFmtId="49" fontId="5" fillId="0" borderId="6" xfId="43" applyNumberFormat="1" applyFont="1" applyFill="1" applyBorder="1" applyAlignment="1">
      <alignment horizontal="center" vertical="center" wrapText="1"/>
    </xf>
    <xf numFmtId="165" fontId="5" fillId="0" borderId="6" xfId="43" applyNumberFormat="1" applyFont="1" applyFill="1" applyBorder="1" applyAlignment="1">
      <alignment horizontal="center" vertical="center" wrapText="1"/>
    </xf>
    <xf numFmtId="49" fontId="3" fillId="0" borderId="6" xfId="43" applyNumberFormat="1" applyFont="1" applyFill="1" applyBorder="1" applyAlignment="1">
      <alignment horizontal="center" vertical="center" wrapText="1"/>
    </xf>
    <xf numFmtId="0" fontId="3" fillId="0" borderId="10" xfId="43" applyFont="1" applyFill="1" applyBorder="1" applyAlignment="1">
      <alignment horizontal="center" wrapText="1"/>
    </xf>
    <xf numFmtId="0" fontId="3" fillId="0" borderId="6" xfId="43" applyNumberFormat="1" applyFont="1" applyFill="1" applyBorder="1" applyAlignment="1">
      <alignment horizontal="center"/>
    </xf>
    <xf numFmtId="0" fontId="3" fillId="0" borderId="42" xfId="43" applyNumberFormat="1" applyFont="1" applyFill="1" applyBorder="1" applyAlignment="1">
      <alignment horizontal="center"/>
    </xf>
    <xf numFmtId="0" fontId="5" fillId="0" borderId="41" xfId="43" applyNumberFormat="1" applyFont="1" applyFill="1" applyBorder="1" applyAlignment="1">
      <alignment horizontal="center"/>
    </xf>
    <xf numFmtId="0" fontId="5" fillId="0" borderId="39" xfId="43" applyNumberFormat="1" applyFont="1" applyFill="1" applyBorder="1" applyAlignment="1">
      <alignment horizontal="center"/>
    </xf>
    <xf numFmtId="0" fontId="5" fillId="0" borderId="6" xfId="43" applyNumberFormat="1" applyFont="1" applyFill="1" applyBorder="1" applyAlignment="1">
      <alignment horizontal="center"/>
    </xf>
    <xf numFmtId="0" fontId="3" fillId="0" borderId="39" xfId="43" applyNumberFormat="1" applyFont="1" applyFill="1" applyBorder="1" applyAlignment="1">
      <alignment horizontal="center"/>
    </xf>
    <xf numFmtId="0" fontId="3" fillId="0" borderId="10" xfId="43" applyNumberFormat="1" applyFont="1" applyFill="1" applyBorder="1" applyAlignment="1">
      <alignment horizontal="center"/>
    </xf>
    <xf numFmtId="0" fontId="3" fillId="0" borderId="0" xfId="43" applyNumberFormat="1" applyFont="1" applyFill="1" applyAlignment="1">
      <alignment horizontal="center"/>
    </xf>
    <xf numFmtId="49" fontId="12" fillId="0" borderId="37" xfId="43" applyNumberFormat="1" applyFont="1" applyFill="1" applyBorder="1" applyAlignment="1"/>
    <xf numFmtId="49" fontId="4" fillId="0" borderId="43" xfId="43" applyNumberFormat="1" applyFont="1" applyFill="1" applyBorder="1" applyAlignment="1"/>
    <xf numFmtId="49" fontId="4" fillId="0" borderId="43" xfId="43" applyNumberFormat="1" applyFont="1" applyFill="1" applyBorder="1" applyAlignment="1">
      <alignment horizontal="center"/>
    </xf>
    <xf numFmtId="49" fontId="4" fillId="0" borderId="0" xfId="43" applyNumberFormat="1" applyFont="1" applyFill="1" applyBorder="1" applyAlignment="1">
      <alignment horizontal="center"/>
    </xf>
    <xf numFmtId="0" fontId="1" fillId="0" borderId="43" xfId="43" applyFont="1" applyFill="1" applyBorder="1" applyAlignment="1">
      <alignment horizontal="center"/>
    </xf>
    <xf numFmtId="49" fontId="1" fillId="0" borderId="43" xfId="43" applyNumberFormat="1" applyFont="1" applyFill="1" applyBorder="1" applyAlignment="1">
      <alignment horizontal="center"/>
    </xf>
    <xf numFmtId="0" fontId="1" fillId="0" borderId="44" xfId="43" applyNumberFormat="1" applyFont="1" applyFill="1" applyBorder="1" applyAlignment="1">
      <alignment horizontal="center"/>
    </xf>
    <xf numFmtId="49" fontId="4" fillId="0" borderId="38" xfId="43" applyNumberFormat="1" applyFont="1" applyFill="1" applyBorder="1" applyAlignment="1">
      <alignment horizontal="center"/>
    </xf>
    <xf numFmtId="0" fontId="1" fillId="0" borderId="44" xfId="43" applyFont="1" applyFill="1" applyBorder="1" applyAlignment="1"/>
    <xf numFmtId="164" fontId="4" fillId="0" borderId="44" xfId="43" applyNumberFormat="1" applyFont="1" applyFill="1" applyBorder="1" applyAlignment="1">
      <alignment horizontal="center"/>
    </xf>
    <xf numFmtId="49" fontId="4" fillId="0" borderId="44" xfId="43" applyNumberFormat="1" applyFont="1" applyFill="1" applyBorder="1" applyAlignment="1">
      <alignment horizontal="center"/>
    </xf>
    <xf numFmtId="0" fontId="1" fillId="0" borderId="44" xfId="43" applyFont="1" applyFill="1" applyBorder="1" applyAlignment="1">
      <alignment horizontal="center"/>
    </xf>
    <xf numFmtId="0" fontId="1" fillId="0" borderId="44" xfId="43" applyFill="1" applyBorder="1" applyAlignment="1">
      <alignment horizontal="center"/>
    </xf>
    <xf numFmtId="0" fontId="1" fillId="0" borderId="44" xfId="43" applyFill="1" applyBorder="1" applyAlignment="1"/>
    <xf numFmtId="0" fontId="1" fillId="0" borderId="45" xfId="43" applyNumberFormat="1" applyFont="1" applyFill="1" applyBorder="1" applyAlignment="1">
      <alignment horizontal="center"/>
    </xf>
    <xf numFmtId="0" fontId="1" fillId="0" borderId="45" xfId="43" applyFont="1" applyFill="1" applyBorder="1" applyAlignment="1"/>
    <xf numFmtId="164" fontId="1" fillId="0" borderId="45" xfId="43" applyNumberFormat="1" applyFont="1" applyFill="1" applyBorder="1" applyAlignment="1">
      <alignment horizontal="center"/>
    </xf>
    <xf numFmtId="164" fontId="4" fillId="0" borderId="45" xfId="43" applyNumberFormat="1" applyFont="1" applyFill="1" applyBorder="1" applyAlignment="1">
      <alignment horizontal="center"/>
    </xf>
    <xf numFmtId="0" fontId="1" fillId="0" borderId="45" xfId="43" applyFont="1" applyFill="1" applyBorder="1" applyAlignment="1">
      <alignment horizontal="center"/>
    </xf>
    <xf numFmtId="0" fontId="1" fillId="0" borderId="45" xfId="43" applyFill="1" applyBorder="1" applyAlignment="1">
      <alignment horizontal="center"/>
    </xf>
    <xf numFmtId="0" fontId="1" fillId="0" borderId="45" xfId="43" applyFill="1" applyBorder="1" applyAlignment="1"/>
    <xf numFmtId="49" fontId="4" fillId="0" borderId="45" xfId="43" applyNumberFormat="1" applyFont="1" applyFill="1" applyBorder="1" applyAlignment="1">
      <alignment horizontal="center"/>
    </xf>
    <xf numFmtId="49" fontId="4" fillId="0" borderId="45" xfId="43" applyNumberFormat="1" applyFont="1" applyFill="1" applyBorder="1" applyAlignment="1"/>
    <xf numFmtId="164" fontId="4" fillId="0" borderId="45" xfId="43" quotePrefix="1" applyNumberFormat="1" applyFont="1" applyFill="1" applyBorder="1" applyAlignment="1">
      <alignment horizontal="center"/>
    </xf>
    <xf numFmtId="0" fontId="5" fillId="0" borderId="10" xfId="43" applyNumberFormat="1" applyFont="1" applyFill="1" applyBorder="1" applyAlignment="1">
      <alignment horizontal="center"/>
    </xf>
    <xf numFmtId="0" fontId="4" fillId="0" borderId="45" xfId="43" applyNumberFormat="1" applyFont="1" applyFill="1" applyBorder="1" applyAlignment="1"/>
    <xf numFmtId="14" fontId="1" fillId="0" borderId="45" xfId="43" applyNumberFormat="1" applyFont="1" applyFill="1" applyBorder="1" applyAlignment="1">
      <alignment horizontal="center"/>
    </xf>
    <xf numFmtId="0" fontId="1" fillId="0" borderId="41" xfId="43" applyNumberFormat="1" applyFont="1" applyFill="1" applyBorder="1" applyAlignment="1">
      <alignment horizontal="center"/>
    </xf>
    <xf numFmtId="0" fontId="1" fillId="0" borderId="42" xfId="43" applyFont="1" applyFill="1" applyBorder="1" applyAlignment="1">
      <alignment horizontal="center"/>
    </xf>
    <xf numFmtId="49" fontId="4" fillId="0" borderId="46" xfId="43" applyNumberFormat="1" applyFont="1" applyFill="1" applyBorder="1" applyAlignment="1"/>
    <xf numFmtId="164" fontId="4" fillId="0" borderId="46" xfId="43" applyNumberFormat="1" applyFont="1" applyFill="1" applyBorder="1" applyAlignment="1">
      <alignment horizontal="center"/>
    </xf>
    <xf numFmtId="49" fontId="4" fillId="0" borderId="46" xfId="43" applyNumberFormat="1" applyFont="1" applyFill="1" applyBorder="1" applyAlignment="1">
      <alignment horizontal="center"/>
    </xf>
    <xf numFmtId="0" fontId="1" fillId="0" borderId="46" xfId="43" applyFill="1" applyBorder="1" applyAlignment="1">
      <alignment horizontal="center"/>
    </xf>
    <xf numFmtId="0" fontId="1" fillId="0" borderId="46" xfId="43" applyFont="1" applyFill="1" applyBorder="1" applyAlignment="1"/>
    <xf numFmtId="49" fontId="1" fillId="0" borderId="46" xfId="43" applyNumberFormat="1" applyFont="1" applyFill="1" applyBorder="1" applyAlignment="1">
      <alignment horizontal="center"/>
    </xf>
    <xf numFmtId="0" fontId="1" fillId="0" borderId="46" xfId="43" applyFont="1" applyFill="1" applyBorder="1" applyAlignment="1">
      <alignment horizontal="center"/>
    </xf>
    <xf numFmtId="0" fontId="1" fillId="0" borderId="10" xfId="43" applyFont="1" applyFill="1" applyBorder="1" applyAlignment="1">
      <alignment horizontal="center"/>
    </xf>
    <xf numFmtId="0" fontId="1" fillId="0" borderId="42" xfId="43" applyNumberFormat="1" applyFont="1" applyFill="1" applyBorder="1" applyAlignment="1">
      <alignment horizontal="center"/>
    </xf>
    <xf numFmtId="49" fontId="4" fillId="0" borderId="47" xfId="43" applyNumberFormat="1" applyFont="1" applyFill="1" applyBorder="1" applyAlignment="1">
      <alignment horizontal="center"/>
    </xf>
    <xf numFmtId="0" fontId="1" fillId="0" borderId="48" xfId="43" applyFont="1" applyFill="1" applyBorder="1" applyAlignment="1"/>
    <xf numFmtId="164" fontId="1" fillId="0" borderId="48" xfId="43" applyNumberFormat="1" applyFont="1" applyFill="1" applyBorder="1" applyAlignment="1">
      <alignment horizontal="center"/>
    </xf>
    <xf numFmtId="0" fontId="1" fillId="0" borderId="48" xfId="43" applyFont="1" applyFill="1" applyBorder="1" applyAlignment="1">
      <alignment horizontal="center"/>
    </xf>
    <xf numFmtId="0" fontId="1" fillId="0" borderId="49" xfId="43" applyNumberFormat="1" applyFont="1" applyFill="1" applyBorder="1" applyAlignment="1">
      <alignment horizontal="center"/>
    </xf>
    <xf numFmtId="0" fontId="1" fillId="0" borderId="0" xfId="43" applyFont="1" applyFill="1" applyAlignment="1"/>
    <xf numFmtId="164" fontId="1" fillId="0" borderId="0" xfId="43" applyNumberFormat="1" applyFont="1" applyFill="1" applyAlignment="1">
      <alignment horizontal="center"/>
    </xf>
    <xf numFmtId="49" fontId="4" fillId="0" borderId="44" xfId="43" applyNumberFormat="1" applyFont="1" applyFill="1" applyBorder="1" applyAlignment="1"/>
    <xf numFmtId="4" fontId="1" fillId="0" borderId="45" xfId="43" applyNumberFormat="1" applyFont="1" applyFill="1" applyBorder="1" applyAlignment="1">
      <alignment horizontal="center"/>
    </xf>
    <xf numFmtId="0" fontId="1" fillId="0" borderId="46" xfId="43" applyNumberFormat="1" applyFont="1" applyFill="1" applyBorder="1" applyAlignment="1">
      <alignment horizontal="center"/>
    </xf>
    <xf numFmtId="49" fontId="4" fillId="0" borderId="10" xfId="43" applyNumberFormat="1" applyFont="1" applyFill="1" applyBorder="1" applyAlignment="1">
      <alignment horizontal="center"/>
    </xf>
    <xf numFmtId="49" fontId="12" fillId="0" borderId="10" xfId="43" applyNumberFormat="1" applyFont="1" applyFill="1" applyBorder="1" applyAlignment="1"/>
    <xf numFmtId="164" fontId="1" fillId="0" borderId="44" xfId="43" applyNumberFormat="1" applyFont="1" applyFill="1" applyBorder="1" applyAlignment="1">
      <alignment horizontal="center"/>
    </xf>
    <xf numFmtId="0" fontId="1" fillId="0" borderId="50" xfId="43" applyNumberFormat="1" applyFont="1" applyFill="1" applyBorder="1" applyAlignment="1">
      <alignment horizontal="center"/>
    </xf>
    <xf numFmtId="164" fontId="1" fillId="0" borderId="46" xfId="43" applyNumberFormat="1" applyFont="1" applyFill="1" applyBorder="1" applyAlignment="1">
      <alignment horizontal="center"/>
    </xf>
    <xf numFmtId="0" fontId="1" fillId="0" borderId="41" xfId="43" applyFont="1" applyFill="1" applyBorder="1" applyAlignment="1">
      <alignment horizontal="center"/>
    </xf>
    <xf numFmtId="49" fontId="4" fillId="0" borderId="51" xfId="43" applyNumberFormat="1" applyFont="1" applyFill="1" applyBorder="1" applyAlignment="1"/>
    <xf numFmtId="164" fontId="4" fillId="0" borderId="51" xfId="43" applyNumberFormat="1" applyFont="1" applyFill="1" applyBorder="1" applyAlignment="1">
      <alignment horizontal="center"/>
    </xf>
    <xf numFmtId="49" fontId="4" fillId="0" borderId="51" xfId="43" applyNumberFormat="1" applyFont="1" applyFill="1" applyBorder="1" applyAlignment="1">
      <alignment horizontal="center"/>
    </xf>
    <xf numFmtId="164" fontId="1" fillId="0" borderId="45" xfId="43" quotePrefix="1" applyNumberFormat="1" applyFont="1" applyFill="1" applyBorder="1" applyAlignment="1">
      <alignment horizontal="center"/>
    </xf>
    <xf numFmtId="164" fontId="1" fillId="0" borderId="46" xfId="43" quotePrefix="1" applyNumberFormat="1" applyFont="1" applyFill="1" applyBorder="1" applyAlignment="1">
      <alignment horizontal="center"/>
    </xf>
    <xf numFmtId="49" fontId="1" fillId="0" borderId="44" xfId="43" applyNumberFormat="1" applyFont="1" applyFill="1" applyBorder="1" applyAlignment="1">
      <alignment horizontal="center"/>
    </xf>
    <xf numFmtId="49" fontId="1" fillId="0" borderId="51" xfId="43" applyNumberFormat="1" applyFont="1" applyFill="1" applyBorder="1" applyAlignment="1">
      <alignment horizontal="center"/>
    </xf>
    <xf numFmtId="164" fontId="4" fillId="0" borderId="51" xfId="43" quotePrefix="1" applyNumberFormat="1" applyFont="1" applyFill="1" applyBorder="1" applyAlignment="1">
      <alignment horizontal="center"/>
    </xf>
    <xf numFmtId="164" fontId="4" fillId="0" borderId="46" xfId="43" quotePrefix="1" applyNumberFormat="1" applyFont="1" applyFill="1" applyBorder="1" applyAlignment="1">
      <alignment horizontal="center"/>
    </xf>
    <xf numFmtId="49" fontId="4" fillId="0" borderId="41" xfId="43" applyNumberFormat="1" applyFont="1" applyFill="1" applyBorder="1" applyAlignment="1">
      <alignment horizontal="center"/>
    </xf>
    <xf numFmtId="0" fontId="1" fillId="0" borderId="39" xfId="43" applyFont="1" applyFill="1" applyBorder="1" applyAlignment="1">
      <alignment horizontal="center"/>
    </xf>
    <xf numFmtId="0" fontId="1" fillId="0" borderId="38" xfId="43" applyFont="1" applyFill="1" applyBorder="1" applyAlignment="1">
      <alignment horizontal="center"/>
    </xf>
    <xf numFmtId="49" fontId="4" fillId="0" borderId="10" xfId="43" applyNumberFormat="1" applyFont="1" applyFill="1" applyBorder="1" applyAlignment="1"/>
    <xf numFmtId="0" fontId="1" fillId="0" borderId="0" xfId="43" applyFont="1" applyFill="1" applyBorder="1" applyAlignment="1"/>
    <xf numFmtId="0" fontId="1" fillId="0" borderId="52" xfId="43" applyFont="1" applyFill="1" applyBorder="1" applyAlignment="1">
      <alignment horizontal="center"/>
    </xf>
    <xf numFmtId="49" fontId="1" fillId="0" borderId="10" xfId="43" applyNumberFormat="1" applyFont="1" applyFill="1" applyBorder="1" applyAlignment="1"/>
    <xf numFmtId="49" fontId="3" fillId="0" borderId="0" xfId="43" applyNumberFormat="1" applyFont="1" applyFill="1" applyBorder="1" applyAlignment="1"/>
    <xf numFmtId="49" fontId="1" fillId="0" borderId="0" xfId="43" applyNumberFormat="1" applyFont="1" applyFill="1" applyBorder="1" applyAlignment="1"/>
    <xf numFmtId="165" fontId="1" fillId="0" borderId="0" xfId="43" applyNumberFormat="1" applyFont="1" applyFill="1" applyBorder="1" applyAlignment="1"/>
    <xf numFmtId="49" fontId="1" fillId="0" borderId="0" xfId="43" applyNumberFormat="1" applyFont="1" applyFill="1" applyBorder="1" applyAlignment="1">
      <alignment horizontal="center"/>
    </xf>
    <xf numFmtId="49" fontId="4" fillId="0" borderId="0" xfId="43" applyNumberFormat="1" applyFont="1" applyFill="1" applyBorder="1" applyAlignment="1"/>
    <xf numFmtId="165" fontId="4" fillId="0" borderId="0" xfId="43" applyNumberFormat="1" applyFont="1" applyFill="1" applyBorder="1" applyAlignment="1"/>
    <xf numFmtId="0" fontId="1" fillId="0" borderId="10" xfId="43" applyFont="1" applyFill="1" applyBorder="1" applyAlignment="1"/>
    <xf numFmtId="0" fontId="1" fillId="0" borderId="49" xfId="43" applyFont="1" applyFill="1" applyBorder="1" applyAlignment="1">
      <alignment horizontal="center"/>
    </xf>
    <xf numFmtId="0" fontId="1" fillId="0" borderId="47" xfId="43" applyFont="1" applyFill="1" applyBorder="1" applyAlignment="1"/>
    <xf numFmtId="165" fontId="1" fillId="0" borderId="48" xfId="43" applyNumberFormat="1" applyFont="1" applyFill="1" applyBorder="1" applyAlignment="1"/>
    <xf numFmtId="0" fontId="6" fillId="0" borderId="0" xfId="46" applyFill="1"/>
    <xf numFmtId="49" fontId="4" fillId="0" borderId="45" xfId="0" applyNumberFormat="1" applyFont="1" applyFill="1" applyBorder="1" applyAlignment="1">
      <alignment horizontal="center"/>
    </xf>
    <xf numFmtId="164" fontId="1" fillId="0" borderId="45" xfId="0" applyNumberFormat="1" applyFont="1" applyFill="1" applyBorder="1" applyAlignment="1">
      <alignment horizontal="center"/>
    </xf>
    <xf numFmtId="164" fontId="4" fillId="0" borderId="45" xfId="0" applyNumberFormat="1" applyFont="1" applyFill="1" applyBorder="1" applyAlignment="1">
      <alignment horizontal="center"/>
    </xf>
    <xf numFmtId="0" fontId="1" fillId="0" borderId="45" xfId="0" applyNumberFormat="1" applyFont="1" applyFill="1" applyBorder="1" applyAlignment="1">
      <alignment horizontal="center"/>
    </xf>
    <xf numFmtId="49" fontId="4" fillId="0" borderId="45" xfId="0" applyNumberFormat="1" applyFont="1" applyFill="1" applyBorder="1" applyAlignment="1"/>
    <xf numFmtId="0" fontId="1" fillId="0" borderId="45" xfId="0" applyFont="1" applyFill="1" applyBorder="1" applyAlignment="1">
      <alignment horizontal="center"/>
    </xf>
    <xf numFmtId="0" fontId="3" fillId="35" borderId="53" xfId="43" applyFont="1" applyFill="1" applyBorder="1" applyAlignment="1">
      <alignment horizontal="center"/>
    </xf>
    <xf numFmtId="0" fontId="1" fillId="35" borderId="55" xfId="43" applyFont="1" applyFill="1" applyBorder="1" applyAlignment="1">
      <alignment horizontal="center"/>
    </xf>
    <xf numFmtId="0" fontId="13" fillId="0" borderId="8" xfId="46" applyFont="1" applyFill="1" applyBorder="1" applyAlignment="1">
      <alignment horizontal="center"/>
    </xf>
    <xf numFmtId="0" fontId="1" fillId="0" borderId="0" xfId="46" applyFont="1" applyFill="1" applyBorder="1" applyAlignment="1">
      <alignment horizontal="center" vertical="center" textRotation="90" wrapText="1"/>
    </xf>
    <xf numFmtId="0" fontId="35" fillId="0" borderId="12" xfId="46" applyFont="1" applyFill="1" applyBorder="1" applyAlignment="1">
      <alignment horizontal="center"/>
    </xf>
    <xf numFmtId="0" fontId="35" fillId="0" borderId="20" xfId="46" applyFont="1" applyFill="1" applyBorder="1" applyAlignment="1">
      <alignment horizontal="center"/>
    </xf>
    <xf numFmtId="0" fontId="1" fillId="0" borderId="32" xfId="45" applyFont="1" applyFill="1" applyBorder="1" applyProtection="1">
      <protection locked="0"/>
    </xf>
    <xf numFmtId="164" fontId="13" fillId="0" borderId="32" xfId="46" applyNumberFormat="1" applyFont="1" applyFill="1" applyBorder="1" applyAlignment="1">
      <alignment horizontal="center"/>
    </xf>
    <xf numFmtId="0" fontId="13" fillId="0" borderId="0" xfId="46" applyFont="1" applyFill="1" applyBorder="1" applyAlignment="1">
      <alignment horizontal="left"/>
    </xf>
    <xf numFmtId="0" fontId="1" fillId="0" borderId="33" xfId="45" applyFont="1" applyFill="1" applyBorder="1" applyProtection="1">
      <protection locked="0"/>
    </xf>
    <xf numFmtId="164" fontId="13" fillId="0" borderId="33" xfId="46" applyNumberFormat="1" applyFont="1" applyFill="1" applyBorder="1" applyAlignment="1">
      <alignment horizontal="center"/>
    </xf>
    <xf numFmtId="164" fontId="13" fillId="0" borderId="56" xfId="46" applyNumberFormat="1" applyFont="1" applyFill="1" applyBorder="1" applyAlignment="1">
      <alignment horizontal="center"/>
    </xf>
    <xf numFmtId="0" fontId="6" fillId="0" borderId="8" xfId="46" applyFill="1" applyBorder="1"/>
    <xf numFmtId="164" fontId="13" fillId="0" borderId="35" xfId="46" applyNumberFormat="1" applyFont="1" applyFill="1" applyBorder="1" applyAlignment="1">
      <alignment horizontal="center"/>
    </xf>
    <xf numFmtId="0" fontId="1" fillId="0" borderId="9" xfId="45" applyFont="1" applyFill="1" applyBorder="1" applyProtection="1">
      <protection locked="0"/>
    </xf>
    <xf numFmtId="0" fontId="13" fillId="0" borderId="9" xfId="46" applyFont="1" applyFill="1" applyBorder="1" applyAlignment="1">
      <alignment horizontal="center"/>
    </xf>
    <xf numFmtId="0" fontId="1" fillId="0" borderId="9" xfId="46" applyFont="1" applyFill="1" applyBorder="1" applyAlignment="1">
      <alignment horizontal="center" vertical="center" textRotation="90" wrapText="1"/>
    </xf>
    <xf numFmtId="0" fontId="35" fillId="0" borderId="9" xfId="46" applyFont="1" applyFill="1" applyBorder="1" applyAlignment="1">
      <alignment horizontal="center"/>
    </xf>
    <xf numFmtId="0" fontId="1" fillId="0" borderId="57" xfId="45" applyFont="1" applyFill="1" applyBorder="1" applyProtection="1">
      <protection locked="0"/>
    </xf>
    <xf numFmtId="0" fontId="1" fillId="0" borderId="58" xfId="45" applyFont="1" applyFill="1" applyBorder="1" applyProtection="1">
      <protection locked="0"/>
    </xf>
    <xf numFmtId="164" fontId="13" fillId="0" borderId="58" xfId="46" applyNumberFormat="1" applyFont="1" applyFill="1" applyBorder="1" applyAlignment="1">
      <alignment horizontal="center"/>
    </xf>
    <xf numFmtId="164" fontId="13" fillId="0" borderId="59" xfId="46" applyNumberFormat="1" applyFont="1" applyFill="1" applyBorder="1" applyAlignment="1">
      <alignment horizontal="center"/>
    </xf>
    <xf numFmtId="0" fontId="1" fillId="0" borderId="59" xfId="45" applyFont="1" applyFill="1" applyBorder="1" applyProtection="1">
      <protection locked="0"/>
    </xf>
    <xf numFmtId="0" fontId="0" fillId="0" borderId="0" xfId="0" applyAlignment="1">
      <alignment wrapText="1"/>
    </xf>
    <xf numFmtId="0" fontId="1" fillId="0" borderId="63" xfId="46" applyFont="1" applyFill="1" applyBorder="1"/>
    <xf numFmtId="164" fontId="13" fillId="0" borderId="36" xfId="46" applyNumberFormat="1" applyFont="1" applyFill="1" applyBorder="1" applyAlignment="1">
      <alignment horizontal="center"/>
    </xf>
    <xf numFmtId="0" fontId="1" fillId="0" borderId="63" xfId="45" applyFont="1" applyFill="1" applyBorder="1" applyProtection="1">
      <protection locked="0"/>
    </xf>
    <xf numFmtId="0" fontId="1" fillId="0" borderId="0" xfId="43" applyNumberFormat="1" applyFont="1" applyFill="1" applyBorder="1" applyAlignment="1">
      <alignment horizontal="center"/>
    </xf>
    <xf numFmtId="164" fontId="1" fillId="0" borderId="21" xfId="48" applyNumberFormat="1" applyFont="1" applyFill="1" applyBorder="1" applyAlignment="1">
      <alignment horizontal="center"/>
    </xf>
    <xf numFmtId="164" fontId="1" fillId="0" borderId="68" xfId="48" applyNumberFormat="1" applyFont="1" applyFill="1" applyBorder="1" applyAlignment="1">
      <alignment horizontal="center"/>
    </xf>
    <xf numFmtId="164" fontId="1" fillId="0" borderId="25" xfId="48" applyNumberFormat="1" applyFont="1" applyFill="1" applyBorder="1" applyAlignment="1">
      <alignment horizontal="center"/>
    </xf>
    <xf numFmtId="0" fontId="3" fillId="0" borderId="12" xfId="48" applyFont="1" applyFill="1" applyBorder="1" applyAlignment="1">
      <alignment horizontal="center" vertical="center" wrapText="1"/>
    </xf>
    <xf numFmtId="164" fontId="1" fillId="0" borderId="24" xfId="48" applyNumberFormat="1" applyFont="1" applyFill="1" applyBorder="1" applyAlignment="1">
      <alignment horizontal="center"/>
    </xf>
    <xf numFmtId="164" fontId="34" fillId="0" borderId="0" xfId="43" applyNumberFormat="1" applyFont="1" applyFill="1" applyBorder="1" applyAlignment="1">
      <alignment horizontal="center"/>
    </xf>
    <xf numFmtId="49" fontId="1" fillId="0" borderId="36" xfId="43" applyNumberFormat="1" applyFont="1" applyFill="1" applyBorder="1" applyAlignment="1">
      <alignment horizontal="center"/>
    </xf>
    <xf numFmtId="49" fontId="1" fillId="0" borderId="33" xfId="43" applyNumberFormat="1" applyBorder="1" applyAlignment="1">
      <alignment horizontal="center"/>
    </xf>
    <xf numFmtId="49" fontId="1" fillId="0" borderId="33" xfId="43" applyNumberFormat="1" applyFont="1" applyBorder="1" applyAlignment="1">
      <alignment horizontal="center"/>
    </xf>
    <xf numFmtId="49" fontId="1" fillId="0" borderId="33" xfId="43" applyNumberFormat="1" applyFont="1" applyFill="1" applyBorder="1" applyAlignment="1">
      <alignment horizontal="center"/>
    </xf>
    <xf numFmtId="49" fontId="1" fillId="0" borderId="33" xfId="43" applyNumberFormat="1" applyFill="1" applyBorder="1" applyAlignment="1">
      <alignment horizontal="center"/>
    </xf>
    <xf numFmtId="0" fontId="1" fillId="0" borderId="38" xfId="43" applyNumberFormat="1" applyFont="1" applyFill="1" applyBorder="1" applyAlignment="1">
      <alignment horizontal="center"/>
    </xf>
    <xf numFmtId="49" fontId="4" fillId="0" borderId="48" xfId="43" applyNumberFormat="1" applyFont="1" applyFill="1" applyBorder="1" applyAlignment="1"/>
    <xf numFmtId="164" fontId="4" fillId="0" borderId="48" xfId="43" quotePrefix="1" applyNumberFormat="1" applyFont="1" applyFill="1" applyBorder="1" applyAlignment="1">
      <alignment horizontal="center"/>
    </xf>
    <xf numFmtId="164" fontId="4" fillId="0" borderId="48" xfId="43" applyNumberFormat="1" applyFont="1" applyFill="1" applyBorder="1" applyAlignment="1">
      <alignment horizontal="center"/>
    </xf>
    <xf numFmtId="49" fontId="4" fillId="0" borderId="48" xfId="43" applyNumberFormat="1" applyFont="1" applyFill="1" applyBorder="1" applyAlignment="1">
      <alignment horizontal="center"/>
    </xf>
    <xf numFmtId="164" fontId="4" fillId="0" borderId="6" xfId="43" applyNumberFormat="1" applyFont="1" applyFill="1" applyBorder="1" applyAlignment="1">
      <alignment horizontal="center"/>
    </xf>
    <xf numFmtId="49" fontId="4" fillId="0" borderId="6" xfId="43" applyNumberFormat="1" applyFont="1" applyFill="1" applyBorder="1" applyAlignment="1">
      <alignment horizontal="center"/>
    </xf>
    <xf numFmtId="49" fontId="4" fillId="0" borderId="6" xfId="43" applyNumberFormat="1" applyFont="1" applyFill="1" applyBorder="1" applyAlignment="1"/>
    <xf numFmtId="49" fontId="1" fillId="0" borderId="6" xfId="43" applyNumberFormat="1" applyFont="1" applyFill="1" applyBorder="1" applyAlignment="1">
      <alignment horizontal="center"/>
    </xf>
    <xf numFmtId="0" fontId="1" fillId="0" borderId="39" xfId="43" applyNumberFormat="1" applyFont="1" applyFill="1" applyBorder="1" applyAlignment="1">
      <alignment horizontal="center"/>
    </xf>
    <xf numFmtId="164" fontId="1" fillId="0" borderId="26" xfId="0" applyNumberFormat="1" applyFont="1" applyFill="1" applyBorder="1" applyAlignment="1">
      <alignment horizontal="center" vertical="center"/>
    </xf>
    <xf numFmtId="164" fontId="1" fillId="0" borderId="14" xfId="0" applyNumberFormat="1" applyFont="1" applyFill="1" applyBorder="1" applyAlignment="1">
      <alignment horizontal="center" vertical="center"/>
    </xf>
    <xf numFmtId="0" fontId="1" fillId="0" borderId="36" xfId="0" applyNumberFormat="1" applyFont="1" applyFill="1" applyBorder="1" applyAlignment="1">
      <alignment horizontal="center" vertical="center"/>
    </xf>
    <xf numFmtId="164" fontId="1" fillId="0" borderId="5" xfId="48" applyNumberFormat="1" applyFont="1" applyFill="1" applyBorder="1" applyAlignment="1">
      <alignment horizontal="center"/>
    </xf>
    <xf numFmtId="0" fontId="1" fillId="0" borderId="32" xfId="0" applyFont="1" applyFill="1" applyBorder="1" applyAlignment="1">
      <alignment horizontal="center" vertical="center" wrapText="1"/>
    </xf>
    <xf numFmtId="0" fontId="1" fillId="0" borderId="33" xfId="0" applyFont="1" applyFill="1" applyBorder="1" applyAlignment="1">
      <alignment horizontal="center" vertical="center" wrapText="1"/>
    </xf>
    <xf numFmtId="0" fontId="1" fillId="0" borderId="28" xfId="43" applyFont="1" applyFill="1" applyBorder="1" applyAlignment="1">
      <alignment horizontal="left"/>
    </xf>
    <xf numFmtId="0" fontId="3" fillId="0" borderId="15" xfId="43" applyFont="1" applyFill="1" applyBorder="1" applyAlignment="1">
      <alignment horizontal="center"/>
    </xf>
    <xf numFmtId="164" fontId="3" fillId="0" borderId="0" xfId="43" applyNumberFormat="1" applyFont="1" applyAlignment="1">
      <alignment horizontal="center"/>
    </xf>
    <xf numFmtId="0" fontId="3" fillId="0" borderId="38" xfId="0" applyNumberFormat="1" applyFont="1" applyFill="1" applyBorder="1" applyAlignment="1">
      <alignment horizontal="center"/>
    </xf>
    <xf numFmtId="0" fontId="5" fillId="0" borderId="10" xfId="0" applyNumberFormat="1" applyFont="1" applyFill="1" applyBorder="1" applyAlignment="1">
      <alignment horizontal="center" vertical="top"/>
    </xf>
    <xf numFmtId="49" fontId="4" fillId="0" borderId="51" xfId="0" applyNumberFormat="1" applyFont="1" applyFill="1" applyBorder="1" applyAlignment="1">
      <alignment horizontal="left" vertical="top"/>
    </xf>
    <xf numFmtId="49" fontId="4" fillId="0" borderId="45" xfId="0" applyNumberFormat="1" applyFont="1" applyFill="1" applyBorder="1" applyAlignment="1">
      <alignment horizontal="left" vertical="top"/>
    </xf>
    <xf numFmtId="49" fontId="4" fillId="0" borderId="45" xfId="0" applyNumberFormat="1" applyFont="1" applyFill="1" applyBorder="1" applyAlignment="1">
      <alignment horizontal="center" vertical="top"/>
    </xf>
    <xf numFmtId="165" fontId="4" fillId="0" borderId="45" xfId="0" applyNumberFormat="1" applyFont="1" applyFill="1" applyBorder="1" applyAlignment="1">
      <alignment horizontal="center" vertical="top"/>
    </xf>
    <xf numFmtId="49" fontId="4" fillId="35" borderId="45" xfId="0" applyNumberFormat="1" applyFont="1" applyFill="1" applyBorder="1" applyAlignment="1">
      <alignment horizontal="center" vertical="top"/>
    </xf>
    <xf numFmtId="49" fontId="1" fillId="0" borderId="45" xfId="0" applyNumberFormat="1" applyFont="1" applyFill="1" applyBorder="1" applyAlignment="1">
      <alignment horizontal="center" vertical="top"/>
    </xf>
    <xf numFmtId="0" fontId="1" fillId="0" borderId="69" xfId="0" applyFont="1" applyFill="1" applyBorder="1" applyAlignment="1">
      <alignment horizontal="center"/>
    </xf>
    <xf numFmtId="49" fontId="1" fillId="0" borderId="45" xfId="0" applyNumberFormat="1" applyFont="1" applyFill="1" applyBorder="1" applyAlignment="1">
      <alignment horizontal="center"/>
    </xf>
    <xf numFmtId="49" fontId="4" fillId="0" borderId="51" xfId="0" applyNumberFormat="1" applyFont="1" applyFill="1" applyBorder="1" applyAlignment="1">
      <alignment horizontal="center" vertical="top"/>
    </xf>
    <xf numFmtId="165" fontId="4" fillId="0" borderId="51" xfId="0" applyNumberFormat="1" applyFont="1" applyFill="1" applyBorder="1" applyAlignment="1">
      <alignment horizontal="center" vertical="top"/>
    </xf>
    <xf numFmtId="0" fontId="1" fillId="0" borderId="51" xfId="0" applyFont="1" applyFill="1" applyBorder="1" applyAlignment="1">
      <alignment horizontal="center"/>
    </xf>
    <xf numFmtId="49" fontId="4" fillId="0" borderId="69" xfId="0" applyNumberFormat="1" applyFont="1" applyFill="1" applyBorder="1" applyAlignment="1">
      <alignment horizontal="center" vertical="top"/>
    </xf>
    <xf numFmtId="49" fontId="4" fillId="0" borderId="0" xfId="0" applyNumberFormat="1" applyFont="1" applyFill="1" applyBorder="1" applyAlignment="1">
      <alignment horizontal="center" vertical="top"/>
    </xf>
    <xf numFmtId="49" fontId="4" fillId="0" borderId="51" xfId="0" quotePrefix="1" applyNumberFormat="1" applyFont="1" applyFill="1" applyBorder="1" applyAlignment="1">
      <alignment horizontal="center" vertical="top"/>
    </xf>
    <xf numFmtId="0" fontId="0" fillId="0" borderId="45" xfId="0" applyFill="1" applyBorder="1" applyAlignment="1">
      <alignment horizontal="center"/>
    </xf>
    <xf numFmtId="0" fontId="0" fillId="0" borderId="45" xfId="0" applyFill="1" applyBorder="1"/>
    <xf numFmtId="0" fontId="1" fillId="35" borderId="45" xfId="0" applyFont="1" applyFill="1" applyBorder="1" applyAlignment="1">
      <alignment horizontal="center"/>
    </xf>
    <xf numFmtId="0" fontId="1" fillId="0" borderId="38" xfId="0" applyFont="1" applyFill="1" applyBorder="1" applyAlignment="1"/>
    <xf numFmtId="49" fontId="4" fillId="0" borderId="38" xfId="0" applyNumberFormat="1" applyFont="1" applyFill="1" applyBorder="1" applyAlignment="1">
      <alignment horizontal="left" vertical="top"/>
    </xf>
    <xf numFmtId="0" fontId="1" fillId="0" borderId="45" xfId="0" applyFont="1" applyFill="1" applyBorder="1" applyAlignment="1"/>
    <xf numFmtId="0" fontId="1" fillId="0" borderId="50" xfId="0" applyNumberFormat="1" applyFont="1" applyFill="1" applyBorder="1" applyAlignment="1">
      <alignment horizontal="center"/>
    </xf>
    <xf numFmtId="0" fontId="1" fillId="0" borderId="46" xfId="0" applyNumberFormat="1" applyFont="1" applyFill="1" applyBorder="1" applyAlignment="1">
      <alignment horizontal="center"/>
    </xf>
    <xf numFmtId="49" fontId="4" fillId="0" borderId="38" xfId="0" applyNumberFormat="1" applyFont="1" applyFill="1" applyBorder="1" applyAlignment="1">
      <alignment horizontal="center" vertical="top"/>
    </xf>
    <xf numFmtId="49" fontId="4" fillId="0" borderId="46" xfId="0" applyNumberFormat="1" applyFont="1" applyFill="1" applyBorder="1" applyAlignment="1">
      <alignment horizontal="left" vertical="top"/>
    </xf>
    <xf numFmtId="49" fontId="4" fillId="0" borderId="46" xfId="0" applyNumberFormat="1" applyFont="1" applyFill="1" applyBorder="1" applyAlignment="1">
      <alignment horizontal="center" vertical="top"/>
    </xf>
    <xf numFmtId="165" fontId="4" fillId="0" borderId="46" xfId="0" applyNumberFormat="1" applyFont="1" applyFill="1" applyBorder="1" applyAlignment="1">
      <alignment horizontal="center" vertical="top"/>
    </xf>
    <xf numFmtId="0" fontId="0" fillId="0" borderId="46" xfId="0" applyFill="1" applyBorder="1" applyAlignment="1">
      <alignment horizontal="center"/>
    </xf>
    <xf numFmtId="0" fontId="1" fillId="0" borderId="46" xfId="0" applyFont="1" applyFill="1" applyBorder="1" applyAlignment="1"/>
    <xf numFmtId="49" fontId="1" fillId="0" borderId="46" xfId="0" applyNumberFormat="1" applyFont="1" applyFill="1" applyBorder="1" applyAlignment="1">
      <alignment horizontal="center"/>
    </xf>
    <xf numFmtId="0" fontId="1" fillId="0" borderId="46" xfId="0" applyFont="1" applyFill="1" applyBorder="1" applyAlignment="1">
      <alignment horizontal="center"/>
    </xf>
    <xf numFmtId="0" fontId="1" fillId="0" borderId="70" xfId="0" applyFont="1" applyFill="1" applyBorder="1" applyAlignment="1">
      <alignment horizontal="center"/>
    </xf>
    <xf numFmtId="0" fontId="1" fillId="0" borderId="38" xfId="0" applyNumberFormat="1" applyFont="1" applyFill="1" applyBorder="1" applyAlignment="1">
      <alignment horizontal="center"/>
    </xf>
    <xf numFmtId="49" fontId="4" fillId="0" borderId="47" xfId="0" applyNumberFormat="1" applyFont="1" applyFill="1" applyBorder="1" applyAlignment="1">
      <alignment horizontal="left" vertical="top"/>
    </xf>
    <xf numFmtId="0" fontId="1" fillId="0" borderId="48" xfId="0" applyFont="1" applyFill="1" applyBorder="1" applyAlignment="1"/>
    <xf numFmtId="0" fontId="1" fillId="0" borderId="48" xfId="0" applyFont="1" applyFill="1" applyBorder="1" applyAlignment="1">
      <alignment horizontal="center"/>
    </xf>
    <xf numFmtId="49" fontId="12" fillId="0" borderId="37" xfId="0" applyNumberFormat="1" applyFont="1" applyFill="1" applyBorder="1" applyAlignment="1">
      <alignment horizontal="left" vertical="center"/>
    </xf>
    <xf numFmtId="0" fontId="1" fillId="0" borderId="0" xfId="0" applyFont="1" applyFill="1" applyAlignment="1"/>
    <xf numFmtId="0" fontId="1" fillId="0" borderId="44" xfId="0" applyNumberFormat="1" applyFont="1" applyFill="1" applyBorder="1" applyAlignment="1">
      <alignment horizontal="center"/>
    </xf>
    <xf numFmtId="49" fontId="4" fillId="0" borderId="44" xfId="0" applyNumberFormat="1" applyFont="1" applyFill="1" applyBorder="1" applyAlignment="1">
      <alignment horizontal="left" vertical="top"/>
    </xf>
    <xf numFmtId="49" fontId="4" fillId="0" borderId="44" xfId="0" applyNumberFormat="1" applyFont="1" applyFill="1" applyBorder="1" applyAlignment="1">
      <alignment horizontal="center" vertical="top"/>
    </xf>
    <xf numFmtId="165" fontId="4" fillId="0" borderId="44" xfId="0" applyNumberFormat="1" applyFont="1" applyFill="1" applyBorder="1" applyAlignment="1">
      <alignment horizontal="center" vertical="top"/>
    </xf>
    <xf numFmtId="0" fontId="1" fillId="0" borderId="44" xfId="0" applyFont="1" applyFill="1" applyBorder="1" applyAlignment="1">
      <alignment horizontal="center"/>
    </xf>
    <xf numFmtId="49" fontId="1" fillId="0" borderId="44" xfId="0" applyNumberFormat="1" applyFont="1" applyFill="1" applyBorder="1" applyAlignment="1">
      <alignment horizontal="center" vertical="top"/>
    </xf>
    <xf numFmtId="0" fontId="1" fillId="0" borderId="39" xfId="0" applyFont="1" applyFill="1" applyBorder="1" applyAlignment="1">
      <alignment horizontal="center"/>
    </xf>
    <xf numFmtId="49" fontId="4" fillId="0" borderId="41" xfId="0" applyNumberFormat="1" applyFont="1" applyFill="1" applyBorder="1" applyAlignment="1">
      <alignment horizontal="left" vertical="top"/>
    </xf>
    <xf numFmtId="49" fontId="4" fillId="0" borderId="41" xfId="0" applyNumberFormat="1" applyFont="1" applyFill="1" applyBorder="1" applyAlignment="1">
      <alignment horizontal="center" vertical="top"/>
    </xf>
    <xf numFmtId="165" fontId="4" fillId="0" borderId="41" xfId="0" applyNumberFormat="1" applyFont="1" applyFill="1" applyBorder="1" applyAlignment="1">
      <alignment horizontal="center" vertical="top"/>
    </xf>
    <xf numFmtId="49" fontId="1" fillId="0" borderId="46" xfId="0" applyNumberFormat="1" applyFont="1" applyFill="1" applyBorder="1" applyAlignment="1">
      <alignment horizontal="center" vertical="top"/>
    </xf>
    <xf numFmtId="0" fontId="1" fillId="0" borderId="7" xfId="0" applyFont="1" applyFill="1" applyBorder="1" applyAlignment="1"/>
    <xf numFmtId="0" fontId="1" fillId="0" borderId="7" xfId="0" applyFont="1" applyFill="1" applyBorder="1" applyAlignment="1">
      <alignment horizontal="center"/>
    </xf>
    <xf numFmtId="0" fontId="1" fillId="0" borderId="71" xfId="0" applyFont="1" applyFill="1" applyBorder="1" applyAlignment="1">
      <alignment horizontal="center"/>
    </xf>
    <xf numFmtId="49" fontId="12" fillId="0" borderId="38" xfId="0" applyNumberFormat="1" applyFont="1" applyFill="1" applyBorder="1" applyAlignment="1">
      <alignment horizontal="left" vertical="center"/>
    </xf>
    <xf numFmtId="0" fontId="4" fillId="0" borderId="51" xfId="0" applyNumberFormat="1" applyFont="1" applyFill="1" applyBorder="1" applyAlignment="1">
      <alignment horizontal="left" vertical="top"/>
    </xf>
    <xf numFmtId="49" fontId="4" fillId="0" borderId="10" xfId="0" applyNumberFormat="1" applyFont="1" applyFill="1" applyBorder="1" applyAlignment="1">
      <alignment horizontal="left" vertical="top"/>
    </xf>
    <xf numFmtId="0" fontId="1" fillId="0" borderId="49" xfId="0" applyFont="1" applyFill="1" applyBorder="1" applyAlignment="1">
      <alignment horizontal="center"/>
    </xf>
    <xf numFmtId="49" fontId="12" fillId="0" borderId="10" xfId="0" applyNumberFormat="1" applyFont="1" applyFill="1" applyBorder="1" applyAlignment="1">
      <alignment horizontal="left" vertical="center"/>
    </xf>
    <xf numFmtId="49" fontId="1" fillId="0" borderId="51" xfId="0" applyNumberFormat="1" applyFont="1" applyFill="1" applyBorder="1" applyAlignment="1">
      <alignment horizontal="center"/>
    </xf>
    <xf numFmtId="49" fontId="4" fillId="0" borderId="47" xfId="0" applyNumberFormat="1" applyFont="1" applyFill="1" applyBorder="1" applyAlignment="1">
      <alignment horizontal="left" vertical="center"/>
    </xf>
    <xf numFmtId="0" fontId="1" fillId="0" borderId="48" xfId="0" applyFont="1" applyFill="1" applyBorder="1" applyAlignment="1">
      <alignment vertical="center"/>
    </xf>
    <xf numFmtId="0" fontId="1" fillId="0" borderId="48" xfId="0" applyFont="1" applyFill="1" applyBorder="1" applyAlignment="1">
      <alignment horizontal="center" vertical="center"/>
    </xf>
    <xf numFmtId="0" fontId="1" fillId="0" borderId="49" xfId="0" applyFont="1" applyFill="1" applyBorder="1" applyAlignment="1">
      <alignment horizontal="center" vertical="center"/>
    </xf>
    <xf numFmtId="49" fontId="4" fillId="0" borderId="44" xfId="0" applyNumberFormat="1" applyFont="1" applyFill="1" applyBorder="1" applyAlignment="1">
      <alignment horizontal="left" vertical="center"/>
    </xf>
    <xf numFmtId="49" fontId="4" fillId="0" borderId="44" xfId="0" applyNumberFormat="1" applyFont="1" applyFill="1" applyBorder="1" applyAlignment="1">
      <alignment horizontal="center" vertical="center"/>
    </xf>
    <xf numFmtId="165" fontId="4" fillId="0" borderId="44" xfId="0" applyNumberFormat="1" applyFont="1" applyFill="1" applyBorder="1" applyAlignment="1">
      <alignment horizontal="center" vertical="center"/>
    </xf>
    <xf numFmtId="0" fontId="1" fillId="0" borderId="44" xfId="0" applyFont="1" applyFill="1" applyBorder="1" applyAlignment="1">
      <alignment horizontal="center" vertical="center"/>
    </xf>
    <xf numFmtId="49" fontId="4" fillId="0" borderId="45" xfId="0" applyNumberFormat="1" applyFont="1" applyFill="1" applyBorder="1" applyAlignment="1">
      <alignment horizontal="left" vertical="center"/>
    </xf>
    <xf numFmtId="49" fontId="4" fillId="0" borderId="45" xfId="0" applyNumberFormat="1" applyFont="1" applyFill="1" applyBorder="1" applyAlignment="1">
      <alignment horizontal="center" vertical="center"/>
    </xf>
    <xf numFmtId="165" fontId="4" fillId="0" borderId="45" xfId="0" applyNumberFormat="1" applyFont="1" applyFill="1" applyBorder="1" applyAlignment="1">
      <alignment horizontal="center" vertical="center"/>
    </xf>
    <xf numFmtId="0" fontId="1" fillId="0" borderId="51" xfId="0" applyFont="1" applyFill="1" applyBorder="1" applyAlignment="1">
      <alignment horizontal="center" vertical="center"/>
    </xf>
    <xf numFmtId="49" fontId="4" fillId="0" borderId="51" xfId="0" applyNumberFormat="1" applyFont="1" applyFill="1" applyBorder="1" applyAlignment="1">
      <alignment horizontal="center" vertical="center"/>
    </xf>
    <xf numFmtId="0" fontId="1" fillId="0" borderId="45" xfId="0" applyFont="1" applyFill="1" applyBorder="1" applyAlignment="1">
      <alignment horizontal="center" vertical="center"/>
    </xf>
    <xf numFmtId="0" fontId="0" fillId="0" borderId="45" xfId="0" applyFill="1" applyBorder="1" applyAlignment="1">
      <alignment horizontal="center" vertical="center"/>
    </xf>
    <xf numFmtId="0" fontId="0" fillId="0" borderId="45" xfId="0" applyFill="1" applyBorder="1" applyAlignment="1">
      <alignment vertical="center"/>
    </xf>
    <xf numFmtId="49" fontId="4" fillId="0" borderId="45" xfId="0" quotePrefix="1" applyNumberFormat="1" applyFont="1" applyFill="1" applyBorder="1" applyAlignment="1">
      <alignment horizontal="center" vertical="center"/>
    </xf>
    <xf numFmtId="16" fontId="1" fillId="0" borderId="45" xfId="0" quotePrefix="1" applyNumberFormat="1" applyFont="1" applyFill="1" applyBorder="1" applyAlignment="1">
      <alignment horizontal="left" vertical="center"/>
    </xf>
    <xf numFmtId="0" fontId="1" fillId="0" borderId="45" xfId="0" quotePrefix="1" applyFont="1" applyFill="1" applyBorder="1" applyAlignment="1">
      <alignment horizontal="center" vertical="center"/>
    </xf>
    <xf numFmtId="165" fontId="1" fillId="0" borderId="45" xfId="0" applyNumberFormat="1" applyFont="1" applyFill="1" applyBorder="1" applyAlignment="1">
      <alignment horizontal="center" vertical="center"/>
    </xf>
    <xf numFmtId="49" fontId="4" fillId="0" borderId="46" xfId="0" applyNumberFormat="1" applyFont="1" applyFill="1" applyBorder="1" applyAlignment="1">
      <alignment horizontal="left" vertical="center"/>
    </xf>
    <xf numFmtId="0" fontId="1" fillId="0" borderId="46" xfId="0" quotePrefix="1" applyFont="1" applyFill="1" applyBorder="1" applyAlignment="1">
      <alignment horizontal="left" vertical="center"/>
    </xf>
    <xf numFmtId="0" fontId="1" fillId="0" borderId="46" xfId="0" quotePrefix="1" applyFont="1" applyFill="1" applyBorder="1" applyAlignment="1">
      <alignment horizontal="center" vertical="center"/>
    </xf>
    <xf numFmtId="165" fontId="1" fillId="0" borderId="46" xfId="0" applyNumberFormat="1" applyFont="1" applyFill="1" applyBorder="1" applyAlignment="1">
      <alignment horizontal="center" vertical="center"/>
    </xf>
    <xf numFmtId="0" fontId="1" fillId="0" borderId="46" xfId="0" applyFont="1" applyFill="1" applyBorder="1" applyAlignment="1">
      <alignment horizontal="center" vertical="center"/>
    </xf>
    <xf numFmtId="49" fontId="4" fillId="0" borderId="46" xfId="0" applyNumberFormat="1" applyFont="1" applyFill="1" applyBorder="1" applyAlignment="1">
      <alignment horizontal="center" vertical="center"/>
    </xf>
    <xf numFmtId="0" fontId="1" fillId="0" borderId="41" xfId="0" applyFont="1" applyFill="1" applyBorder="1" applyAlignment="1">
      <alignment horizontal="center" vertical="center"/>
    </xf>
    <xf numFmtId="49" fontId="4" fillId="0" borderId="41" xfId="0" applyNumberFormat="1" applyFont="1" applyFill="1" applyBorder="1" applyAlignment="1">
      <alignment horizontal="center" vertical="center"/>
    </xf>
    <xf numFmtId="0" fontId="1" fillId="0" borderId="6" xfId="0" applyNumberFormat="1" applyFont="1" applyFill="1" applyBorder="1" applyAlignment="1">
      <alignment horizontal="center"/>
    </xf>
    <xf numFmtId="49" fontId="4" fillId="0" borderId="6" xfId="0" applyNumberFormat="1" applyFont="1" applyFill="1" applyBorder="1" applyAlignment="1">
      <alignment horizontal="left" vertical="top"/>
    </xf>
    <xf numFmtId="49" fontId="4" fillId="0" borderId="6" xfId="0" applyNumberFormat="1" applyFont="1" applyFill="1" applyBorder="1" applyAlignment="1">
      <alignment horizontal="center" vertical="top"/>
    </xf>
    <xf numFmtId="165" fontId="4" fillId="0" borderId="6" xfId="0" applyNumberFormat="1" applyFont="1" applyFill="1" applyBorder="1" applyAlignment="1">
      <alignment horizontal="center" vertical="top"/>
    </xf>
    <xf numFmtId="49" fontId="4" fillId="0" borderId="6" xfId="0" quotePrefix="1" applyNumberFormat="1" applyFont="1" applyFill="1" applyBorder="1" applyAlignment="1">
      <alignment horizontal="center" vertical="top"/>
    </xf>
    <xf numFmtId="0" fontId="1" fillId="0" borderId="6" xfId="0" applyFont="1" applyFill="1" applyBorder="1" applyAlignment="1">
      <alignment horizontal="center"/>
    </xf>
    <xf numFmtId="0" fontId="0" fillId="0" borderId="44" xfId="0" applyFill="1" applyBorder="1" applyAlignment="1">
      <alignment horizontal="center"/>
    </xf>
    <xf numFmtId="0" fontId="0" fillId="0" borderId="44" xfId="0" applyFill="1" applyBorder="1" applyAlignment="1"/>
    <xf numFmtId="49" fontId="1" fillId="0" borderId="44" xfId="0" applyNumberFormat="1" applyFont="1" applyFill="1" applyBorder="1" applyAlignment="1">
      <alignment horizontal="center"/>
    </xf>
    <xf numFmtId="0" fontId="0" fillId="0" borderId="45" xfId="0" applyFill="1" applyBorder="1" applyAlignment="1"/>
    <xf numFmtId="49" fontId="4" fillId="0" borderId="45" xfId="0" quotePrefix="1" applyNumberFormat="1" applyFont="1" applyFill="1" applyBorder="1" applyAlignment="1">
      <alignment horizontal="center" vertical="top"/>
    </xf>
    <xf numFmtId="165" fontId="1" fillId="0" borderId="45" xfId="0" applyNumberFormat="1" applyFont="1" applyFill="1" applyBorder="1" applyAlignment="1">
      <alignment horizontal="center"/>
    </xf>
    <xf numFmtId="49" fontId="4" fillId="0" borderId="46" xfId="0" quotePrefix="1" applyNumberFormat="1" applyFont="1" applyFill="1" applyBorder="1" applyAlignment="1">
      <alignment horizontal="left" vertical="top"/>
    </xf>
    <xf numFmtId="0" fontId="1" fillId="0" borderId="39" xfId="0" applyFont="1" applyFill="1" applyBorder="1"/>
    <xf numFmtId="0" fontId="1" fillId="0" borderId="49" xfId="0" applyFont="1" applyFill="1" applyBorder="1" applyAlignment="1"/>
    <xf numFmtId="0" fontId="1" fillId="0" borderId="38" xfId="0" applyFont="1" applyFill="1" applyBorder="1"/>
    <xf numFmtId="0" fontId="1" fillId="0" borderId="0" xfId="0" applyFont="1" applyFill="1" applyBorder="1" applyAlignment="1"/>
    <xf numFmtId="49" fontId="1" fillId="0" borderId="10" xfId="0" applyNumberFormat="1" applyFont="1" applyFill="1" applyBorder="1" applyAlignment="1">
      <alignment vertical="top"/>
    </xf>
    <xf numFmtId="49" fontId="3" fillId="0" borderId="0" xfId="0" applyNumberFormat="1" applyFont="1" applyFill="1" applyBorder="1" applyAlignment="1">
      <alignment vertical="top"/>
    </xf>
    <xf numFmtId="49" fontId="1" fillId="0" borderId="0" xfId="0" applyNumberFormat="1" applyFont="1" applyFill="1" applyBorder="1" applyAlignment="1">
      <alignment horizontal="center" vertical="top"/>
    </xf>
    <xf numFmtId="165" fontId="1" fillId="0" borderId="0" xfId="0" applyNumberFormat="1" applyFont="1" applyFill="1" applyBorder="1" applyAlignment="1">
      <alignment horizontal="center" vertical="top"/>
    </xf>
    <xf numFmtId="49" fontId="1" fillId="0" borderId="0" xfId="0" applyNumberFormat="1" applyFont="1" applyFill="1" applyBorder="1" applyAlignment="1">
      <alignment vertical="top"/>
    </xf>
    <xf numFmtId="49" fontId="4" fillId="0" borderId="10" xfId="0" applyNumberFormat="1" applyFont="1" applyFill="1" applyBorder="1" applyAlignment="1">
      <alignment vertical="top"/>
    </xf>
    <xf numFmtId="49" fontId="4" fillId="0" borderId="0" xfId="0" applyNumberFormat="1" applyFont="1" applyFill="1" applyBorder="1" applyAlignment="1">
      <alignment vertical="top"/>
    </xf>
    <xf numFmtId="165" fontId="4" fillId="0" borderId="0" xfId="0" applyNumberFormat="1" applyFont="1" applyFill="1" applyBorder="1" applyAlignment="1">
      <alignment horizontal="center" vertical="top"/>
    </xf>
    <xf numFmtId="0" fontId="1" fillId="0" borderId="10" xfId="0" applyFont="1" applyFill="1" applyBorder="1" applyAlignment="1"/>
    <xf numFmtId="0" fontId="1" fillId="0" borderId="41" xfId="0" applyFont="1" applyFill="1" applyBorder="1"/>
    <xf numFmtId="0" fontId="1" fillId="0" borderId="47" xfId="0" applyFont="1" applyFill="1" applyBorder="1"/>
    <xf numFmtId="0" fontId="1" fillId="0" borderId="48" xfId="0" applyFont="1" applyFill="1" applyBorder="1" applyAlignment="1">
      <alignment horizontal="left"/>
    </xf>
    <xf numFmtId="0" fontId="1" fillId="0" borderId="48" xfId="0" applyFont="1" applyFill="1" applyBorder="1"/>
    <xf numFmtId="165" fontId="1" fillId="0" borderId="48" xfId="0" applyNumberFormat="1" applyFont="1" applyFill="1" applyBorder="1" applyAlignment="1">
      <alignment horizontal="center"/>
    </xf>
    <xf numFmtId="0" fontId="3" fillId="0" borderId="13" xfId="43" applyFont="1" applyFill="1" applyBorder="1" applyAlignment="1">
      <alignment horizontal="center"/>
    </xf>
    <xf numFmtId="49" fontId="1" fillId="0" borderId="33" xfId="43" applyNumberFormat="1" applyFont="1" applyFill="1" applyBorder="1" applyAlignment="1">
      <alignment horizontal="center" wrapText="1"/>
    </xf>
    <xf numFmtId="0" fontId="2" fillId="0" borderId="0" xfId="0" applyFont="1" applyFill="1" applyAlignment="1">
      <alignment horizontal="center"/>
    </xf>
    <xf numFmtId="0" fontId="2" fillId="0" borderId="0" xfId="0" applyFont="1" applyAlignment="1">
      <alignment horizontal="center"/>
    </xf>
    <xf numFmtId="0" fontId="2" fillId="0" borderId="0" xfId="0" applyFont="1" applyFill="1"/>
    <xf numFmtId="0" fontId="2" fillId="0" borderId="0" xfId="0" applyFont="1" applyFill="1" applyBorder="1"/>
    <xf numFmtId="49" fontId="4" fillId="35" borderId="46" xfId="0" applyNumberFormat="1" applyFont="1" applyFill="1" applyBorder="1" applyAlignment="1">
      <alignment horizontal="left" vertical="top"/>
    </xf>
    <xf numFmtId="49" fontId="4" fillId="35" borderId="46" xfId="0" applyNumberFormat="1" applyFont="1" applyFill="1" applyBorder="1" applyAlignment="1">
      <alignment horizontal="center" vertical="top"/>
    </xf>
    <xf numFmtId="0" fontId="1" fillId="35" borderId="46" xfId="0" applyFont="1" applyFill="1" applyBorder="1" applyAlignment="1">
      <alignment horizontal="center"/>
    </xf>
    <xf numFmtId="49" fontId="4" fillId="35" borderId="51" xfId="0" applyNumberFormat="1" applyFont="1" applyFill="1" applyBorder="1" applyAlignment="1">
      <alignment horizontal="center" vertical="top"/>
    </xf>
    <xf numFmtId="49" fontId="4" fillId="35" borderId="45" xfId="0" applyNumberFormat="1" applyFont="1" applyFill="1" applyBorder="1" applyAlignment="1">
      <alignment horizontal="left" vertical="top"/>
    </xf>
    <xf numFmtId="0" fontId="6" fillId="0" borderId="0" xfId="46" applyAlignment="1">
      <alignment wrapText="1"/>
    </xf>
    <xf numFmtId="0" fontId="0" fillId="0" borderId="0" xfId="0" applyAlignment="1">
      <alignment wrapText="1"/>
    </xf>
    <xf numFmtId="0" fontId="13" fillId="0" borderId="63" xfId="46" applyFont="1" applyFill="1" applyBorder="1" applyAlignment="1">
      <alignment horizontal="left"/>
    </xf>
    <xf numFmtId="0" fontId="3" fillId="0" borderId="83" xfId="48" applyFont="1" applyFill="1" applyBorder="1" applyAlignment="1">
      <alignment horizontal="center" wrapText="1"/>
    </xf>
    <xf numFmtId="0" fontId="13" fillId="0" borderId="61" xfId="47" applyFont="1" applyFill="1" applyBorder="1" applyAlignment="1">
      <alignment horizontal="center"/>
    </xf>
    <xf numFmtId="164" fontId="1" fillId="0" borderId="84" xfId="48" applyNumberFormat="1" applyFont="1" applyFill="1" applyBorder="1" applyAlignment="1">
      <alignment horizontal="center"/>
    </xf>
    <xf numFmtId="164" fontId="1" fillId="0" borderId="85" xfId="48" applyNumberFormat="1" applyFont="1" applyFill="1" applyBorder="1" applyAlignment="1">
      <alignment horizontal="center"/>
    </xf>
    <xf numFmtId="2" fontId="1" fillId="0" borderId="64" xfId="0" applyNumberFormat="1" applyFont="1" applyFill="1" applyBorder="1" applyAlignment="1">
      <alignment horizontal="center" vertical="center"/>
    </xf>
    <xf numFmtId="2" fontId="1" fillId="0" borderId="58" xfId="0" applyNumberFormat="1" applyFont="1" applyFill="1" applyBorder="1" applyAlignment="1">
      <alignment horizontal="center" vertical="center"/>
    </xf>
    <xf numFmtId="2" fontId="1" fillId="0" borderId="65" xfId="0" applyNumberFormat="1" applyFont="1" applyFill="1" applyBorder="1" applyAlignment="1">
      <alignment horizontal="center" vertical="center"/>
    </xf>
    <xf numFmtId="164" fontId="1" fillId="0" borderId="13" xfId="0" applyNumberFormat="1" applyFont="1" applyFill="1" applyBorder="1" applyAlignment="1">
      <alignment horizontal="center" vertical="center"/>
    </xf>
    <xf numFmtId="164" fontId="1" fillId="0" borderId="15" xfId="0" applyNumberFormat="1" applyFont="1" applyFill="1" applyBorder="1" applyAlignment="1">
      <alignment horizontal="center" vertical="center"/>
    </xf>
    <xf numFmtId="164" fontId="1" fillId="0" borderId="21" xfId="0" applyNumberFormat="1" applyFont="1" applyFill="1" applyBorder="1" applyAlignment="1">
      <alignment horizontal="center" vertical="center"/>
    </xf>
    <xf numFmtId="0" fontId="40" fillId="0" borderId="0" xfId="0" applyFont="1"/>
    <xf numFmtId="0" fontId="40" fillId="0" borderId="0" xfId="0" applyFont="1" applyFill="1"/>
    <xf numFmtId="0" fontId="41" fillId="0" borderId="0" xfId="0" applyFont="1" applyAlignment="1">
      <alignment horizontal="center"/>
    </xf>
    <xf numFmtId="0" fontId="41" fillId="0" borderId="0" xfId="0" applyFont="1" applyFill="1" applyAlignment="1">
      <alignment horizontal="center"/>
    </xf>
    <xf numFmtId="0" fontId="41" fillId="0" borderId="12" xfId="0" applyFont="1" applyFill="1" applyBorder="1" applyAlignment="1">
      <alignment horizontal="center" textRotation="90"/>
    </xf>
    <xf numFmtId="0" fontId="41" fillId="0" borderId="19" xfId="0" applyFont="1" applyFill="1" applyBorder="1" applyAlignment="1">
      <alignment horizontal="center" textRotation="90"/>
    </xf>
    <xf numFmtId="0" fontId="41" fillId="0" borderId="3" xfId="0" applyFont="1" applyFill="1" applyBorder="1" applyAlignment="1">
      <alignment horizontal="center" textRotation="90"/>
    </xf>
    <xf numFmtId="0" fontId="41" fillId="0" borderId="4" xfId="0" applyFont="1" applyFill="1" applyBorder="1" applyAlignment="1">
      <alignment horizontal="center" textRotation="90"/>
    </xf>
    <xf numFmtId="0" fontId="41" fillId="0" borderId="24" xfId="0" applyFont="1" applyFill="1" applyBorder="1" applyAlignment="1">
      <alignment horizontal="center" wrapText="1"/>
    </xf>
    <xf numFmtId="2" fontId="41" fillId="0" borderId="24" xfId="0" applyNumberFormat="1" applyFont="1" applyFill="1" applyBorder="1" applyAlignment="1">
      <alignment horizontal="center"/>
    </xf>
    <xf numFmtId="164" fontId="41" fillId="0" borderId="18" xfId="0" applyNumberFormat="1" applyFont="1" applyFill="1" applyBorder="1" applyAlignment="1">
      <alignment horizontal="center"/>
    </xf>
    <xf numFmtId="164" fontId="41" fillId="0" borderId="25" xfId="0" applyNumberFormat="1" applyFont="1" applyFill="1" applyBorder="1" applyAlignment="1">
      <alignment horizontal="center"/>
    </xf>
    <xf numFmtId="0" fontId="41" fillId="0" borderId="13" xfId="0" applyFont="1" applyFill="1" applyBorder="1" applyAlignment="1">
      <alignment horizontal="center" wrapText="1"/>
    </xf>
    <xf numFmtId="2" fontId="41" fillId="0" borderId="13" xfId="0" applyNumberFormat="1" applyFont="1" applyFill="1" applyBorder="1" applyAlignment="1">
      <alignment horizontal="center"/>
    </xf>
    <xf numFmtId="164" fontId="41" fillId="0" borderId="26" xfId="0" applyNumberFormat="1" applyFont="1" applyFill="1" applyBorder="1" applyAlignment="1">
      <alignment horizontal="center"/>
    </xf>
    <xf numFmtId="164" fontId="41" fillId="0" borderId="14" xfId="0" applyNumberFormat="1" applyFont="1" applyFill="1" applyBorder="1" applyAlignment="1">
      <alignment horizontal="center"/>
    </xf>
    <xf numFmtId="0" fontId="41" fillId="0" borderId="15" xfId="0" applyFont="1" applyFill="1" applyBorder="1" applyAlignment="1">
      <alignment horizontal="center" wrapText="1"/>
    </xf>
    <xf numFmtId="2" fontId="41" fillId="0" borderId="15" xfId="0" applyNumberFormat="1" applyFont="1" applyFill="1" applyBorder="1" applyAlignment="1">
      <alignment horizontal="center"/>
    </xf>
    <xf numFmtId="164" fontId="41" fillId="0" borderId="1" xfId="0" applyNumberFormat="1" applyFont="1" applyFill="1" applyBorder="1" applyAlignment="1">
      <alignment horizontal="center"/>
    </xf>
    <xf numFmtId="164" fontId="41" fillId="0" borderId="16" xfId="0" applyNumberFormat="1" applyFont="1" applyFill="1" applyBorder="1" applyAlignment="1">
      <alignment horizontal="center"/>
    </xf>
    <xf numFmtId="0" fontId="41" fillId="0" borderId="30" xfId="0" applyFont="1" applyFill="1" applyBorder="1" applyAlignment="1">
      <alignment horizontal="center"/>
    </xf>
    <xf numFmtId="2" fontId="41" fillId="0" borderId="21" xfId="0" applyNumberFormat="1" applyFont="1" applyFill="1" applyBorder="1" applyAlignment="1">
      <alignment horizontal="center"/>
    </xf>
    <xf numFmtId="164" fontId="41" fillId="0" borderId="29" xfId="0" applyNumberFormat="1" applyFont="1" applyFill="1" applyBorder="1" applyAlignment="1">
      <alignment horizontal="center"/>
    </xf>
    <xf numFmtId="164" fontId="41" fillId="0" borderId="66" xfId="0" applyNumberFormat="1" applyFont="1" applyFill="1" applyBorder="1" applyAlignment="1">
      <alignment horizontal="center"/>
    </xf>
    <xf numFmtId="0" fontId="41" fillId="39" borderId="24" xfId="0" applyFont="1" applyFill="1" applyBorder="1" applyAlignment="1">
      <alignment horizontal="center" wrapText="1"/>
    </xf>
    <xf numFmtId="2" fontId="41" fillId="39" borderId="13" xfId="0" applyNumberFormat="1" applyFont="1" applyFill="1" applyBorder="1" applyAlignment="1">
      <alignment horizontal="center"/>
    </xf>
    <xf numFmtId="164" fontId="41" fillId="39" borderId="18" xfId="0" applyNumberFormat="1" applyFont="1" applyFill="1" applyBorder="1" applyAlignment="1">
      <alignment horizontal="center"/>
    </xf>
    <xf numFmtId="164" fontId="41" fillId="39" borderId="25" xfId="0" applyNumberFormat="1" applyFont="1" applyFill="1" applyBorder="1" applyAlignment="1">
      <alignment horizontal="center"/>
    </xf>
    <xf numFmtId="0" fontId="41" fillId="0" borderId="0" xfId="0" applyFont="1"/>
    <xf numFmtId="0" fontId="41" fillId="39" borderId="13" xfId="0" applyFont="1" applyFill="1" applyBorder="1" applyAlignment="1">
      <alignment horizontal="center" wrapText="1"/>
    </xf>
    <xf numFmtId="2" fontId="41" fillId="39" borderId="15" xfId="0" applyNumberFormat="1" applyFont="1" applyFill="1" applyBorder="1" applyAlignment="1">
      <alignment horizontal="center"/>
    </xf>
    <xf numFmtId="164" fontId="41" fillId="39" borderId="26" xfId="0" applyNumberFormat="1" applyFont="1" applyFill="1" applyBorder="1" applyAlignment="1">
      <alignment horizontal="center"/>
    </xf>
    <xf numFmtId="164" fontId="41" fillId="39" borderId="14" xfId="0" applyNumberFormat="1" applyFont="1" applyFill="1" applyBorder="1" applyAlignment="1">
      <alignment horizontal="center"/>
    </xf>
    <xf numFmtId="0" fontId="41" fillId="39" borderId="15" xfId="0" applyFont="1" applyFill="1" applyBorder="1" applyAlignment="1">
      <alignment horizontal="center" wrapText="1"/>
    </xf>
    <xf numFmtId="164" fontId="41" fillId="39" borderId="1" xfId="0" applyNumberFormat="1" applyFont="1" applyFill="1" applyBorder="1" applyAlignment="1">
      <alignment horizontal="center"/>
    </xf>
    <xf numFmtId="164" fontId="41" fillId="39" borderId="16" xfId="0" applyNumberFormat="1" applyFont="1" applyFill="1" applyBorder="1" applyAlignment="1">
      <alignment horizontal="center"/>
    </xf>
    <xf numFmtId="0" fontId="41" fillId="39" borderId="21" xfId="0" applyFont="1" applyFill="1" applyBorder="1" applyAlignment="1">
      <alignment horizontal="center" wrapText="1"/>
    </xf>
    <xf numFmtId="2" fontId="41" fillId="39" borderId="21" xfId="0" applyNumberFormat="1" applyFont="1" applyFill="1" applyBorder="1" applyAlignment="1">
      <alignment horizontal="center"/>
    </xf>
    <xf numFmtId="164" fontId="41" fillId="39" borderId="22" xfId="0" applyNumberFormat="1" applyFont="1" applyFill="1" applyBorder="1" applyAlignment="1">
      <alignment horizontal="center"/>
    </xf>
    <xf numFmtId="164" fontId="41" fillId="39" borderId="23" xfId="0" applyNumberFormat="1" applyFont="1" applyFill="1" applyBorder="1" applyAlignment="1">
      <alignment horizontal="center"/>
    </xf>
    <xf numFmtId="0" fontId="41" fillId="38" borderId="13" xfId="0" applyFont="1" applyFill="1" applyBorder="1" applyAlignment="1">
      <alignment horizontal="center" wrapText="1"/>
    </xf>
    <xf numFmtId="2" fontId="41" fillId="38" borderId="13" xfId="0" applyNumberFormat="1" applyFont="1" applyFill="1" applyBorder="1" applyAlignment="1">
      <alignment horizontal="center"/>
    </xf>
    <xf numFmtId="164" fontId="41" fillId="38" borderId="26" xfId="0" applyNumberFormat="1" applyFont="1" applyFill="1" applyBorder="1" applyAlignment="1">
      <alignment horizontal="center"/>
    </xf>
    <xf numFmtId="164" fontId="41" fillId="38" borderId="14" xfId="0" applyNumberFormat="1" applyFont="1" applyFill="1" applyBorder="1" applyAlignment="1">
      <alignment horizontal="center"/>
    </xf>
    <xf numFmtId="0" fontId="41" fillId="38" borderId="15" xfId="0" applyFont="1" applyFill="1" applyBorder="1" applyAlignment="1">
      <alignment horizontal="center" wrapText="1"/>
    </xf>
    <xf numFmtId="2" fontId="41" fillId="38" borderId="15" xfId="0" applyNumberFormat="1" applyFont="1" applyFill="1" applyBorder="1" applyAlignment="1">
      <alignment horizontal="center"/>
    </xf>
    <xf numFmtId="164" fontId="41" fillId="38" borderId="1" xfId="0" applyNumberFormat="1" applyFont="1" applyFill="1" applyBorder="1" applyAlignment="1">
      <alignment horizontal="center"/>
    </xf>
    <xf numFmtId="164" fontId="41" fillId="38" borderId="16" xfId="0" applyNumberFormat="1" applyFont="1" applyFill="1" applyBorder="1" applyAlignment="1">
      <alignment horizontal="center"/>
    </xf>
    <xf numFmtId="0" fontId="41" fillId="38" borderId="21" xfId="0" applyFont="1" applyFill="1" applyBorder="1" applyAlignment="1">
      <alignment horizontal="center" wrapText="1"/>
    </xf>
    <xf numFmtId="2" fontId="41" fillId="38" borderId="21" xfId="0" applyNumberFormat="1" applyFont="1" applyFill="1" applyBorder="1" applyAlignment="1">
      <alignment horizontal="center"/>
    </xf>
    <xf numFmtId="164" fontId="41" fillId="38" borderId="22" xfId="0" applyNumberFormat="1" applyFont="1" applyFill="1" applyBorder="1" applyAlignment="1">
      <alignment horizontal="center"/>
    </xf>
    <xf numFmtId="164" fontId="41" fillId="38" borderId="23" xfId="0" applyNumberFormat="1" applyFont="1" applyFill="1" applyBorder="1" applyAlignment="1">
      <alignment horizontal="center"/>
    </xf>
    <xf numFmtId="165" fontId="1" fillId="35" borderId="54" xfId="43" applyNumberFormat="1" applyFont="1" applyFill="1" applyBorder="1" applyAlignment="1">
      <alignment horizontal="center"/>
    </xf>
    <xf numFmtId="0" fontId="1" fillId="0" borderId="21" xfId="43" applyFont="1" applyFill="1" applyBorder="1" applyAlignment="1">
      <alignment horizontal="center"/>
    </xf>
    <xf numFmtId="164" fontId="1" fillId="0" borderId="23" xfId="43" applyNumberFormat="1" applyFont="1" applyFill="1" applyBorder="1" applyAlignment="1">
      <alignment horizontal="center"/>
    </xf>
    <xf numFmtId="49" fontId="1" fillId="0" borderId="35" xfId="43" applyNumberFormat="1" applyFont="1" applyFill="1" applyBorder="1" applyAlignment="1">
      <alignment horizontal="center"/>
    </xf>
    <xf numFmtId="0" fontId="6" fillId="0" borderId="1" xfId="46" applyFill="1" applyBorder="1" applyAlignment="1">
      <alignment horizontal="center"/>
    </xf>
    <xf numFmtId="0" fontId="36" fillId="0" borderId="0" xfId="43" applyFont="1" applyFill="1" applyBorder="1" applyAlignment="1">
      <alignment horizontal="center"/>
    </xf>
    <xf numFmtId="0" fontId="1" fillId="0" borderId="15" xfId="43" applyFont="1" applyFill="1" applyBorder="1" applyAlignment="1">
      <alignment horizontal="center"/>
    </xf>
    <xf numFmtId="164" fontId="1" fillId="0" borderId="16" xfId="43" applyNumberFormat="1" applyFont="1" applyFill="1" applyBorder="1" applyAlignment="1">
      <alignment horizontal="center"/>
    </xf>
    <xf numFmtId="0" fontId="3" fillId="35" borderId="63" xfId="43" applyFont="1" applyFill="1" applyBorder="1" applyAlignment="1">
      <alignment horizontal="center"/>
    </xf>
    <xf numFmtId="165" fontId="1" fillId="35" borderId="0" xfId="43" applyNumberFormat="1" applyFont="1" applyFill="1" applyBorder="1" applyAlignment="1">
      <alignment horizontal="center"/>
    </xf>
    <xf numFmtId="0" fontId="1" fillId="35" borderId="86" xfId="43" applyFont="1" applyFill="1" applyBorder="1" applyAlignment="1">
      <alignment horizontal="center"/>
    </xf>
    <xf numFmtId="165" fontId="4" fillId="0" borderId="51" xfId="0" quotePrefix="1" applyNumberFormat="1" applyFont="1" applyFill="1" applyBorder="1" applyAlignment="1">
      <alignment horizontal="center" vertical="top"/>
    </xf>
    <xf numFmtId="164" fontId="1" fillId="35" borderId="1" xfId="43" applyNumberFormat="1" applyFont="1" applyFill="1" applyBorder="1" applyAlignment="1">
      <alignment horizontal="center"/>
    </xf>
    <xf numFmtId="0" fontId="0" fillId="0" borderId="63" xfId="46" applyFont="1" applyFill="1" applyBorder="1" applyAlignment="1">
      <alignment horizontal="left"/>
    </xf>
    <xf numFmtId="164" fontId="13" fillId="0" borderId="57" xfId="46" applyNumberFormat="1" applyFont="1" applyFill="1" applyBorder="1" applyAlignment="1">
      <alignment horizontal="center"/>
    </xf>
    <xf numFmtId="0" fontId="1" fillId="0" borderId="34" xfId="46" applyFont="1" applyBorder="1" applyAlignment="1">
      <alignment horizontal="center"/>
    </xf>
    <xf numFmtId="14" fontId="1" fillId="0" borderId="87" xfId="46" applyNumberFormat="1" applyFont="1" applyBorder="1" applyAlignment="1">
      <alignment horizontal="center"/>
    </xf>
    <xf numFmtId="0" fontId="1" fillId="0" borderId="87" xfId="46" applyFont="1" applyBorder="1"/>
    <xf numFmtId="0" fontId="1" fillId="0" borderId="87" xfId="46" applyFont="1" applyBorder="1" applyAlignment="1">
      <alignment horizontal="center"/>
    </xf>
    <xf numFmtId="0" fontId="1" fillId="0" borderId="87" xfId="46" applyFont="1" applyFill="1" applyBorder="1" applyAlignment="1">
      <alignment horizontal="center"/>
    </xf>
    <xf numFmtId="14" fontId="1" fillId="0" borderId="17" xfId="46" applyNumberFormat="1" applyFont="1" applyBorder="1" applyAlignment="1">
      <alignment horizontal="center"/>
    </xf>
    <xf numFmtId="0" fontId="1" fillId="0" borderId="17" xfId="46" applyFont="1" applyBorder="1"/>
    <xf numFmtId="0" fontId="1" fillId="0" borderId="17" xfId="46" applyFont="1" applyBorder="1" applyAlignment="1">
      <alignment horizontal="center"/>
    </xf>
    <xf numFmtId="0" fontId="1" fillId="0" borderId="17" xfId="46" applyFont="1" applyFill="1" applyBorder="1" applyAlignment="1">
      <alignment horizontal="center"/>
    </xf>
    <xf numFmtId="0" fontId="1" fillId="35" borderId="15" xfId="43" applyFill="1" applyBorder="1"/>
    <xf numFmtId="0" fontId="1" fillId="35" borderId="15" xfId="43" applyFont="1" applyFill="1" applyBorder="1"/>
    <xf numFmtId="0" fontId="1" fillId="35" borderId="1" xfId="46" applyFont="1" applyFill="1" applyBorder="1" applyAlignment="1">
      <alignment horizontal="center"/>
    </xf>
    <xf numFmtId="14" fontId="1" fillId="35" borderId="1" xfId="46" applyNumberFormat="1" applyFont="1" applyFill="1" applyBorder="1" applyAlignment="1">
      <alignment horizontal="center"/>
    </xf>
    <xf numFmtId="0" fontId="1" fillId="35" borderId="1" xfId="46" applyFont="1" applyFill="1" applyBorder="1"/>
    <xf numFmtId="0" fontId="1" fillId="0" borderId="1" xfId="43" applyBorder="1" applyAlignment="1">
      <alignment horizontal="center"/>
    </xf>
    <xf numFmtId="0" fontId="1" fillId="35" borderId="14" xfId="43" applyFill="1" applyBorder="1" applyAlignment="1">
      <alignment horizontal="center"/>
    </xf>
    <xf numFmtId="0" fontId="1" fillId="35" borderId="16" xfId="43" applyFont="1" applyFill="1" applyBorder="1" applyAlignment="1">
      <alignment horizontal="center"/>
    </xf>
    <xf numFmtId="0" fontId="1" fillId="35" borderId="16" xfId="43" applyFill="1" applyBorder="1" applyAlignment="1">
      <alignment horizontal="center"/>
    </xf>
    <xf numFmtId="0" fontId="1" fillId="35" borderId="16" xfId="43" applyNumberFormat="1" applyFont="1" applyFill="1" applyBorder="1" applyAlignment="1">
      <alignment horizontal="center"/>
    </xf>
    <xf numFmtId="0" fontId="1" fillId="0" borderId="1" xfId="43" applyFont="1" applyBorder="1" applyAlignment="1">
      <alignment horizontal="center"/>
    </xf>
    <xf numFmtId="0" fontId="36" fillId="40" borderId="28" xfId="43" applyFont="1" applyFill="1" applyBorder="1" applyAlignment="1">
      <alignment horizontal="center"/>
    </xf>
    <xf numFmtId="0" fontId="36" fillId="40" borderId="17" xfId="43" applyFont="1" applyFill="1" applyBorder="1" applyAlignment="1">
      <alignment horizontal="center"/>
    </xf>
    <xf numFmtId="0" fontId="1" fillId="35" borderId="1" xfId="43" applyFont="1" applyFill="1" applyBorder="1"/>
    <xf numFmtId="0" fontId="1" fillId="35" borderId="1" xfId="43" applyFont="1" applyFill="1" applyBorder="1" applyAlignment="1">
      <alignment horizontal="center"/>
    </xf>
    <xf numFmtId="167" fontId="1" fillId="35" borderId="1" xfId="43" applyNumberFormat="1" applyFont="1" applyFill="1" applyBorder="1" applyAlignment="1">
      <alignment horizontal="center"/>
    </xf>
    <xf numFmtId="165" fontId="1" fillId="35" borderId="1" xfId="43" applyNumberFormat="1" applyFont="1" applyFill="1" applyBorder="1" applyAlignment="1">
      <alignment horizontal="center"/>
    </xf>
    <xf numFmtId="0" fontId="1" fillId="0" borderId="1" xfId="46" applyFont="1" applyFill="1" applyBorder="1" applyAlignment="1">
      <alignment horizontal="center"/>
    </xf>
    <xf numFmtId="14" fontId="1" fillId="0" borderId="1" xfId="46" applyNumberFormat="1" applyFont="1" applyFill="1" applyBorder="1" applyAlignment="1">
      <alignment horizontal="center"/>
    </xf>
    <xf numFmtId="164" fontId="1" fillId="0" borderId="0" xfId="43" applyNumberFormat="1" applyFont="1"/>
    <xf numFmtId="165" fontId="1" fillId="0" borderId="0" xfId="43" applyNumberFormat="1" applyFont="1" applyFill="1" applyBorder="1" applyAlignment="1">
      <alignment horizontal="center"/>
    </xf>
    <xf numFmtId="0" fontId="3" fillId="0" borderId="1" xfId="43" applyFont="1" applyFill="1" applyBorder="1"/>
    <xf numFmtId="164" fontId="3" fillId="0" borderId="1" xfId="43" applyNumberFormat="1" applyFont="1" applyFill="1" applyBorder="1" applyAlignment="1">
      <alignment horizontal="left"/>
    </xf>
    <xf numFmtId="0" fontId="3" fillId="0" borderId="1" xfId="43" applyFont="1" applyFill="1" applyBorder="1" applyAlignment="1">
      <alignment horizontal="center"/>
    </xf>
    <xf numFmtId="0" fontId="3" fillId="0" borderId="1" xfId="43" applyFont="1" applyFill="1" applyBorder="1" applyAlignment="1">
      <alignment horizontal="left"/>
    </xf>
    <xf numFmtId="164" fontId="1" fillId="0" borderId="0" xfId="43" applyNumberFormat="1" applyFill="1" applyAlignment="1">
      <alignment horizontal="left"/>
    </xf>
    <xf numFmtId="0" fontId="1" fillId="0" borderId="0" xfId="43" applyFill="1" applyAlignment="1">
      <alignment horizontal="center"/>
    </xf>
    <xf numFmtId="0" fontId="1" fillId="0" borderId="0" xfId="43" applyFill="1" applyAlignment="1">
      <alignment horizontal="left"/>
    </xf>
    <xf numFmtId="165" fontId="1" fillId="0" borderId="0" xfId="43" applyNumberFormat="1" applyFill="1" applyAlignment="1">
      <alignment horizontal="left"/>
    </xf>
    <xf numFmtId="0" fontId="1" fillId="0" borderId="11" xfId="43" applyFont="1" applyBorder="1" applyAlignment="1">
      <alignment horizontal="center"/>
    </xf>
    <xf numFmtId="0" fontId="1" fillId="0" borderId="20" xfId="43" applyBorder="1" applyAlignment="1">
      <alignment horizontal="center"/>
    </xf>
    <xf numFmtId="0" fontId="3" fillId="35" borderId="11" xfId="43" applyFont="1" applyFill="1" applyBorder="1" applyAlignment="1">
      <alignment horizontal="center"/>
    </xf>
    <xf numFmtId="0" fontId="3" fillId="35" borderId="9" xfId="43" applyFont="1" applyFill="1" applyBorder="1" applyAlignment="1">
      <alignment horizontal="center"/>
    </xf>
    <xf numFmtId="0" fontId="3" fillId="35" borderId="20" xfId="43" applyFont="1" applyFill="1" applyBorder="1" applyAlignment="1">
      <alignment horizontal="center"/>
    </xf>
    <xf numFmtId="0" fontId="3" fillId="35" borderId="62" xfId="43" applyFont="1" applyFill="1" applyBorder="1" applyAlignment="1">
      <alignment horizontal="center"/>
    </xf>
    <xf numFmtId="0" fontId="3" fillId="35" borderId="8" xfId="43" applyFont="1" applyFill="1" applyBorder="1" applyAlignment="1">
      <alignment horizontal="center"/>
    </xf>
    <xf numFmtId="0" fontId="3" fillId="35" borderId="72" xfId="43" applyFont="1" applyFill="1" applyBorder="1" applyAlignment="1">
      <alignment horizontal="center"/>
    </xf>
    <xf numFmtId="0" fontId="1" fillId="36" borderId="28" xfId="43" applyFont="1" applyFill="1" applyBorder="1" applyAlignment="1">
      <alignment horizontal="center"/>
    </xf>
    <xf numFmtId="0" fontId="1" fillId="36" borderId="17" xfId="43" applyFont="1" applyFill="1" applyBorder="1" applyAlignment="1">
      <alignment horizontal="center"/>
    </xf>
    <xf numFmtId="0" fontId="36" fillId="40" borderId="28" xfId="43" applyFont="1" applyFill="1" applyBorder="1" applyAlignment="1">
      <alignment horizontal="center"/>
    </xf>
    <xf numFmtId="0" fontId="36" fillId="40" borderId="17" xfId="43" applyFont="1" applyFill="1" applyBorder="1" applyAlignment="1">
      <alignment horizontal="center"/>
    </xf>
    <xf numFmtId="0" fontId="36" fillId="40" borderId="67" xfId="43" applyFont="1" applyFill="1" applyBorder="1" applyAlignment="1">
      <alignment horizontal="center"/>
    </xf>
    <xf numFmtId="0" fontId="41" fillId="0" borderId="32" xfId="0" applyFont="1" applyFill="1" applyBorder="1" applyAlignment="1">
      <alignment horizontal="center" vertical="center" textRotation="90" wrapText="1"/>
    </xf>
    <xf numFmtId="0" fontId="40" fillId="0" borderId="33" xfId="0" applyFont="1" applyBorder="1" applyAlignment="1">
      <alignment horizontal="center" vertical="center" textRotation="90" wrapText="1"/>
    </xf>
    <xf numFmtId="0" fontId="40" fillId="0" borderId="35" xfId="0" applyFont="1" applyBorder="1" applyAlignment="1">
      <alignment horizontal="center" vertical="center" textRotation="90" wrapText="1"/>
    </xf>
    <xf numFmtId="0" fontId="41" fillId="0" borderId="36" xfId="0" applyFont="1" applyFill="1" applyBorder="1" applyAlignment="1">
      <alignment horizontal="center" vertical="center" textRotation="90" wrapText="1"/>
    </xf>
    <xf numFmtId="0" fontId="39" fillId="0" borderId="11" xfId="0" applyNumberFormat="1" applyFont="1" applyBorder="1" applyAlignment="1">
      <alignment horizontal="left" vertical="center" wrapText="1"/>
    </xf>
    <xf numFmtId="0" fontId="39" fillId="0" borderId="9" xfId="0" applyNumberFormat="1" applyFont="1" applyBorder="1" applyAlignment="1">
      <alignment horizontal="left" vertical="center" wrapText="1"/>
    </xf>
    <xf numFmtId="0" fontId="40" fillId="0" borderId="20" xfId="0" applyFont="1" applyBorder="1" applyAlignment="1">
      <alignment horizontal="left" vertical="center" wrapText="1"/>
    </xf>
    <xf numFmtId="0" fontId="40" fillId="0" borderId="56" xfId="0" applyFont="1" applyBorder="1" applyAlignment="1">
      <alignment horizontal="center" vertical="center" textRotation="90" wrapText="1"/>
    </xf>
    <xf numFmtId="0" fontId="35" fillId="0" borderId="60" xfId="46" applyFont="1" applyFill="1" applyBorder="1" applyAlignment="1">
      <alignment horizontal="center" vertical="center" textRotation="90" wrapText="1"/>
    </xf>
    <xf numFmtId="0" fontId="1" fillId="0" borderId="73" xfId="46" applyFont="1" applyFill="1" applyBorder="1" applyAlignment="1">
      <alignment horizontal="center" vertical="center" wrapText="1"/>
    </xf>
    <xf numFmtId="0" fontId="37" fillId="0" borderId="62" xfId="46" applyFont="1" applyFill="1" applyBorder="1" applyAlignment="1">
      <alignment horizontal="center" vertical="center" wrapText="1"/>
    </xf>
    <xf numFmtId="0" fontId="6" fillId="0" borderId="8" xfId="46" applyBorder="1"/>
    <xf numFmtId="0" fontId="6" fillId="0" borderId="72" xfId="46" applyBorder="1"/>
    <xf numFmtId="0" fontId="6" fillId="0" borderId="53" xfId="46" applyBorder="1"/>
    <xf numFmtId="0" fontId="6" fillId="0" borderId="54" xfId="46" applyBorder="1"/>
    <xf numFmtId="0" fontId="6" fillId="0" borderId="55" xfId="46" applyBorder="1"/>
    <xf numFmtId="0" fontId="6" fillId="0" borderId="73" xfId="46" applyFill="1" applyBorder="1" applyAlignment="1">
      <alignment horizontal="center" vertical="center" wrapText="1"/>
    </xf>
    <xf numFmtId="0" fontId="6" fillId="0" borderId="61" xfId="46" applyFill="1" applyBorder="1" applyAlignment="1">
      <alignment horizontal="center" vertical="center" wrapText="1"/>
    </xf>
    <xf numFmtId="0" fontId="1" fillId="0" borderId="61" xfId="46" applyFont="1" applyFill="1" applyBorder="1" applyAlignment="1">
      <alignment horizontal="center" vertical="center" wrapText="1"/>
    </xf>
    <xf numFmtId="0" fontId="35" fillId="0" borderId="62" xfId="46" applyFont="1" applyFill="1" applyBorder="1" applyAlignment="1">
      <alignment horizontal="center" vertical="center" textRotation="90" wrapText="1"/>
    </xf>
    <xf numFmtId="0" fontId="1" fillId="0" borderId="63" xfId="46" applyFont="1" applyFill="1" applyBorder="1" applyAlignment="1">
      <alignment horizontal="center" vertical="center" wrapText="1"/>
    </xf>
    <xf numFmtId="0" fontId="6" fillId="0" borderId="63" xfId="46" applyFill="1" applyBorder="1" applyAlignment="1">
      <alignment horizontal="center" vertical="center" wrapText="1"/>
    </xf>
    <xf numFmtId="0" fontId="0" fillId="0" borderId="63" xfId="0" applyBorder="1" applyAlignment="1">
      <alignment horizontal="center" vertical="center" wrapText="1"/>
    </xf>
    <xf numFmtId="0" fontId="0" fillId="0" borderId="53" xfId="0" applyBorder="1" applyAlignment="1">
      <alignment horizontal="center" vertical="center" wrapText="1"/>
    </xf>
    <xf numFmtId="0" fontId="6" fillId="3" borderId="0" xfId="46" applyFill="1" applyAlignment="1">
      <alignment horizontal="center"/>
    </xf>
    <xf numFmtId="0" fontId="6" fillId="0" borderId="28" xfId="46" applyFill="1" applyBorder="1" applyAlignment="1">
      <alignment horizontal="center"/>
    </xf>
    <xf numFmtId="0" fontId="6" fillId="0" borderId="27" xfId="46" applyFill="1" applyBorder="1" applyAlignment="1">
      <alignment horizontal="center"/>
    </xf>
    <xf numFmtId="0" fontId="6" fillId="0" borderId="17" xfId="46" applyFill="1" applyBorder="1" applyAlignment="1">
      <alignment horizontal="center"/>
    </xf>
    <xf numFmtId="0" fontId="3" fillId="0" borderId="11" xfId="51" applyFont="1" applyFill="1" applyBorder="1" applyAlignment="1">
      <alignment horizontal="left"/>
    </xf>
    <xf numFmtId="0" fontId="3" fillId="0" borderId="9" xfId="51" applyFont="1" applyFill="1" applyBorder="1" applyAlignment="1">
      <alignment horizontal="left"/>
    </xf>
    <xf numFmtId="0" fontId="3" fillId="0" borderId="20" xfId="51" applyFont="1" applyFill="1" applyBorder="1" applyAlignment="1">
      <alignment horizontal="left"/>
    </xf>
    <xf numFmtId="0" fontId="7" fillId="0" borderId="62" xfId="38" applyFont="1" applyFill="1" applyBorder="1" applyAlignment="1" applyProtection="1">
      <alignment horizontal="left" vertical="center" wrapText="1"/>
    </xf>
    <xf numFmtId="0" fontId="7" fillId="0" borderId="8" xfId="38" applyFont="1" applyFill="1" applyBorder="1" applyAlignment="1" applyProtection="1">
      <alignment horizontal="left" vertical="center" wrapText="1"/>
    </xf>
    <xf numFmtId="0" fontId="7" fillId="0" borderId="8" xfId="38" applyFill="1" applyBorder="1" applyAlignment="1" applyProtection="1">
      <alignment horizontal="left" vertical="center" wrapText="1"/>
    </xf>
    <xf numFmtId="0" fontId="7" fillId="0" borderId="72" xfId="38" applyFill="1" applyBorder="1" applyAlignment="1" applyProtection="1">
      <alignment horizontal="left" vertical="center" wrapText="1"/>
    </xf>
    <xf numFmtId="0" fontId="7" fillId="0" borderId="53" xfId="38" applyFill="1" applyBorder="1" applyAlignment="1" applyProtection="1">
      <alignment horizontal="left" vertical="center" wrapText="1"/>
    </xf>
    <xf numFmtId="0" fontId="7" fillId="0" borderId="54" xfId="38" applyFill="1" applyBorder="1" applyAlignment="1" applyProtection="1">
      <alignment horizontal="left" vertical="center" wrapText="1"/>
    </xf>
    <xf numFmtId="0" fontId="7" fillId="0" borderId="55" xfId="38" applyFill="1" applyBorder="1" applyAlignment="1" applyProtection="1">
      <alignment horizontal="left" vertical="center" wrapText="1"/>
    </xf>
    <xf numFmtId="166" fontId="3" fillId="0" borderId="11" xfId="51" applyNumberFormat="1" applyFont="1" applyFill="1" applyBorder="1" applyAlignment="1" applyProtection="1">
      <alignment horizontal="left"/>
    </xf>
    <xf numFmtId="166" fontId="3" fillId="0" borderId="9" xfId="51" applyNumberFormat="1" applyFont="1" applyFill="1" applyBorder="1" applyAlignment="1" applyProtection="1">
      <alignment horizontal="left"/>
    </xf>
    <xf numFmtId="166" fontId="3" fillId="0" borderId="20" xfId="51" applyNumberFormat="1" applyFont="1" applyFill="1" applyBorder="1" applyAlignment="1" applyProtection="1">
      <alignment horizontal="left"/>
    </xf>
    <xf numFmtId="0" fontId="3" fillId="0" borderId="11" xfId="51" applyFont="1" applyFill="1" applyBorder="1" applyAlignment="1">
      <alignment horizontal="left" wrapText="1"/>
    </xf>
  </cellXfs>
  <cellStyles count="5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00000000-0005-0000-0000-00001B000000}"/>
    <cellStyle name="Comma 2 2" xfId="29" xr:uid="{00000000-0005-0000-0000-00001C000000}"/>
    <cellStyle name="Comma 3" xfId="30" xr:uid="{00000000-0005-0000-0000-00001D000000}"/>
    <cellStyle name="Comma 3 2" xfId="31" xr:uid="{00000000-0005-0000-0000-00001E000000}"/>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Hyperlink 2" xfId="38" xr:uid="{00000000-0005-0000-0000-000025000000}"/>
    <cellStyle name="Hyperlink 3" xfId="39" xr:uid="{00000000-0005-0000-0000-000026000000}"/>
    <cellStyle name="Input" xfId="40" builtinId="20" customBuiltin="1"/>
    <cellStyle name="Linked Cell" xfId="41" builtinId="24" customBuiltin="1"/>
    <cellStyle name="Neutral" xfId="42" builtinId="28" customBuiltin="1"/>
    <cellStyle name="Normal" xfId="0" builtinId="0" customBuiltin="1"/>
    <cellStyle name="Normal 2" xfId="43" xr:uid="{00000000-0005-0000-0000-00002B000000}"/>
    <cellStyle name="Normal 2 2" xfId="44" xr:uid="{00000000-0005-0000-0000-00002C000000}"/>
    <cellStyle name="Normal 3" xfId="45" xr:uid="{00000000-0005-0000-0000-00002D000000}"/>
    <cellStyle name="Normal 4" xfId="46" xr:uid="{00000000-0005-0000-0000-00002E000000}"/>
    <cellStyle name="Normal 4 2" xfId="47" xr:uid="{00000000-0005-0000-0000-00002F000000}"/>
    <cellStyle name="Normal 5" xfId="48" xr:uid="{00000000-0005-0000-0000-000030000000}"/>
    <cellStyle name="Normal 5 2" xfId="49" xr:uid="{00000000-0005-0000-0000-000031000000}"/>
    <cellStyle name="Normal_138-001-001" xfId="50" xr:uid="{00000000-0005-0000-0000-000032000000}"/>
    <cellStyle name="Normal_EDITINDXlinked" xfId="51" xr:uid="{00000000-0005-0000-0000-000033000000}"/>
    <cellStyle name="Note" xfId="52" builtinId="10" customBuiltin="1"/>
    <cellStyle name="Output" xfId="53" builtinId="21" customBuiltin="1"/>
    <cellStyle name="Title" xfId="54" builtinId="15" customBuiltin="1"/>
    <cellStyle name="Total" xfId="55" builtinId="25" customBuiltin="1"/>
    <cellStyle name="Warning Text" xfId="56" builtinId="11" customBuiltin="1"/>
  </cellStyles>
  <dxfs count="0"/>
  <tableStyles count="0" defaultTableStyle="TableStyleMedium9"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jpe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561975</xdr:colOff>
      <xdr:row>17</xdr:row>
      <xdr:rowOff>9525</xdr:rowOff>
    </xdr:from>
    <xdr:to>
      <xdr:col>1</xdr:col>
      <xdr:colOff>695325</xdr:colOff>
      <xdr:row>17</xdr:row>
      <xdr:rowOff>142875</xdr:rowOff>
    </xdr:to>
    <xdr:pic>
      <xdr:nvPicPr>
        <xdr:cNvPr id="516042" name="Picture 65088" descr="C:\Users\Bryan\AppData\Local\Microsoft\Windows\Temporary Internet Files\Content.IE5\MVT8L020\MC900433812[1].png">
          <a:extLst>
            <a:ext uri="{FF2B5EF4-FFF2-40B4-BE49-F238E27FC236}">
              <a16:creationId xmlns:a16="http://schemas.microsoft.com/office/drawing/2014/main" id="{00000000-0008-0000-0200-0000CADF07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2250" y="4124325"/>
          <a:ext cx="1333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761999</xdr:colOff>
      <xdr:row>1</xdr:row>
      <xdr:rowOff>136072</xdr:rowOff>
    </xdr:from>
    <xdr:to>
      <xdr:col>8</xdr:col>
      <xdr:colOff>9538606</xdr:colOff>
      <xdr:row>17</xdr:row>
      <xdr:rowOff>98824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3932463" y="312965"/>
          <a:ext cx="8776607" cy="5636930"/>
        </a:xfrm>
        <a:prstGeom prst="rect">
          <a:avLst/>
        </a:prstGeom>
      </xdr:spPr>
    </xdr:pic>
    <xdr:clientData/>
  </xdr:twoCellAnchor>
  <xdr:twoCellAnchor editAs="oneCell">
    <xdr:from>
      <xdr:col>8</xdr:col>
      <xdr:colOff>9878785</xdr:colOff>
      <xdr:row>1</xdr:row>
      <xdr:rowOff>149678</xdr:rowOff>
    </xdr:from>
    <xdr:to>
      <xdr:col>8</xdr:col>
      <xdr:colOff>13756396</xdr:colOff>
      <xdr:row>15</xdr:row>
      <xdr:rowOff>228919</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a:stretch>
          <a:fillRect/>
        </a:stretch>
      </xdr:blipFill>
      <xdr:spPr>
        <a:xfrm>
          <a:off x="13049249" y="326571"/>
          <a:ext cx="3877611" cy="52635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1116667</xdr:colOff>
      <xdr:row>0</xdr:row>
      <xdr:rowOff>17929</xdr:rowOff>
    </xdr:from>
    <xdr:to>
      <xdr:col>11</xdr:col>
      <xdr:colOff>164726</xdr:colOff>
      <xdr:row>7</xdr:row>
      <xdr:rowOff>108137</xdr:rowOff>
    </xdr:to>
    <xdr:sp macro="" textlink="">
      <xdr:nvSpPr>
        <xdr:cNvPr id="2" name="Text Box 1">
          <a:extLst>
            <a:ext uri="{FF2B5EF4-FFF2-40B4-BE49-F238E27FC236}">
              <a16:creationId xmlns:a16="http://schemas.microsoft.com/office/drawing/2014/main" id="{00000000-0008-0000-0700-000002000000}"/>
            </a:ext>
          </a:extLst>
        </xdr:cNvPr>
        <xdr:cNvSpPr txBox="1">
          <a:spLocks noChangeArrowheads="1"/>
        </xdr:cNvSpPr>
      </xdr:nvSpPr>
      <xdr:spPr bwMode="auto">
        <a:xfrm>
          <a:off x="8277226" y="17929"/>
          <a:ext cx="2230529" cy="1188384"/>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lnSpc>
              <a:spcPts val="1100"/>
            </a:lnSpc>
            <a:defRPr sz="1000"/>
          </a:pPr>
          <a:r>
            <a:rPr lang="en-US" sz="1000" b="0" i="0" strike="noStrike">
              <a:solidFill>
                <a:srgbClr val="000000"/>
              </a:solidFill>
              <a:latin typeface="Arial"/>
              <a:cs typeface="Arial"/>
            </a:rPr>
            <a:t>Standard hole sizes used in the project.  Any special hole size needs to be listed below the special hole size heading.  Hole sizes used in models should be referenced back to the hole size chart on this tab.  Any changes to hole sizes must be done on the holes sizes tab.</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1266825</xdr:colOff>
      <xdr:row>5</xdr:row>
      <xdr:rowOff>19050</xdr:rowOff>
    </xdr:from>
    <xdr:to>
      <xdr:col>3</xdr:col>
      <xdr:colOff>1409700</xdr:colOff>
      <xdr:row>5</xdr:row>
      <xdr:rowOff>152400</xdr:rowOff>
    </xdr:to>
    <xdr:pic>
      <xdr:nvPicPr>
        <xdr:cNvPr id="516158" name="Picture 65088" descr="C:\Users\Bryan\AppData\Local\Microsoft\Windows\Temporary Internet Files\Content.IE5\MVT8L020\MC900433812[1].png">
          <a:extLst>
            <a:ext uri="{FF2B5EF4-FFF2-40B4-BE49-F238E27FC236}">
              <a16:creationId xmlns:a16="http://schemas.microsoft.com/office/drawing/2014/main" id="{00000000-0008-0000-0900-00003EE007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7550" y="1466850"/>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1266825</xdr:colOff>
      <xdr:row>15</xdr:row>
      <xdr:rowOff>19050</xdr:rowOff>
    </xdr:from>
    <xdr:to>
      <xdr:col>3</xdr:col>
      <xdr:colOff>1409700</xdr:colOff>
      <xdr:row>15</xdr:row>
      <xdr:rowOff>152400</xdr:rowOff>
    </xdr:to>
    <xdr:pic>
      <xdr:nvPicPr>
        <xdr:cNvPr id="516159" name="Picture 65088" descr="C:\Users\Bryan\AppData\Local\Microsoft\Windows\Temporary Internet Files\Content.IE5\MVT8L020\MC900433812[1].png">
          <a:extLst>
            <a:ext uri="{FF2B5EF4-FFF2-40B4-BE49-F238E27FC236}">
              <a16:creationId xmlns:a16="http://schemas.microsoft.com/office/drawing/2014/main" id="{00000000-0008-0000-0900-00003FE007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7550" y="3181350"/>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1266825</xdr:colOff>
      <xdr:row>29</xdr:row>
      <xdr:rowOff>19050</xdr:rowOff>
    </xdr:from>
    <xdr:to>
      <xdr:col>3</xdr:col>
      <xdr:colOff>1409700</xdr:colOff>
      <xdr:row>29</xdr:row>
      <xdr:rowOff>152400</xdr:rowOff>
    </xdr:to>
    <xdr:pic>
      <xdr:nvPicPr>
        <xdr:cNvPr id="516160" name="Picture 65088" descr="C:\Users\Bryan\AppData\Local\Microsoft\Windows\Temporary Internet Files\Content.IE5\MVT8L020\MC900433812[1].png">
          <a:extLst>
            <a:ext uri="{FF2B5EF4-FFF2-40B4-BE49-F238E27FC236}">
              <a16:creationId xmlns:a16="http://schemas.microsoft.com/office/drawing/2014/main" id="{00000000-0008-0000-0900-000040E007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7550" y="5581650"/>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1266825</xdr:colOff>
      <xdr:row>34</xdr:row>
      <xdr:rowOff>19050</xdr:rowOff>
    </xdr:from>
    <xdr:to>
      <xdr:col>3</xdr:col>
      <xdr:colOff>1409700</xdr:colOff>
      <xdr:row>34</xdr:row>
      <xdr:rowOff>152400</xdr:rowOff>
    </xdr:to>
    <xdr:pic>
      <xdr:nvPicPr>
        <xdr:cNvPr id="516161" name="Picture 65088" descr="C:\Users\Bryan\AppData\Local\Microsoft\Windows\Temporary Internet Files\Content.IE5\MVT8L020\MC900433812[1].png">
          <a:extLst>
            <a:ext uri="{FF2B5EF4-FFF2-40B4-BE49-F238E27FC236}">
              <a16:creationId xmlns:a16="http://schemas.microsoft.com/office/drawing/2014/main" id="{00000000-0008-0000-0900-000041E007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7550" y="6438900"/>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1257300</xdr:colOff>
      <xdr:row>63</xdr:row>
      <xdr:rowOff>19050</xdr:rowOff>
    </xdr:from>
    <xdr:to>
      <xdr:col>3</xdr:col>
      <xdr:colOff>1400175</xdr:colOff>
      <xdr:row>63</xdr:row>
      <xdr:rowOff>152400</xdr:rowOff>
    </xdr:to>
    <xdr:pic>
      <xdr:nvPicPr>
        <xdr:cNvPr id="516162" name="Picture 65088" descr="C:\Users\Bryan\AppData\Local\Microsoft\Windows\Temporary Internet Files\Content.IE5\MVT8L020\MC900433812[1].png">
          <a:extLst>
            <a:ext uri="{FF2B5EF4-FFF2-40B4-BE49-F238E27FC236}">
              <a16:creationId xmlns:a16="http://schemas.microsoft.com/office/drawing/2014/main" id="{00000000-0008-0000-0900-000042E007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8025" y="11696700"/>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1257300</xdr:colOff>
      <xdr:row>64</xdr:row>
      <xdr:rowOff>19050</xdr:rowOff>
    </xdr:from>
    <xdr:to>
      <xdr:col>3</xdr:col>
      <xdr:colOff>1400175</xdr:colOff>
      <xdr:row>64</xdr:row>
      <xdr:rowOff>152400</xdr:rowOff>
    </xdr:to>
    <xdr:pic>
      <xdr:nvPicPr>
        <xdr:cNvPr id="516163" name="Picture 65088" descr="C:\Users\Bryan\AppData\Local\Microsoft\Windows\Temporary Internet Files\Content.IE5\MVT8L020\MC900433812[1].png">
          <a:extLst>
            <a:ext uri="{FF2B5EF4-FFF2-40B4-BE49-F238E27FC236}">
              <a16:creationId xmlns:a16="http://schemas.microsoft.com/office/drawing/2014/main" id="{00000000-0008-0000-0900-000043E007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8025" y="11868150"/>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1266825</xdr:colOff>
      <xdr:row>71</xdr:row>
      <xdr:rowOff>19050</xdr:rowOff>
    </xdr:from>
    <xdr:to>
      <xdr:col>3</xdr:col>
      <xdr:colOff>1409700</xdr:colOff>
      <xdr:row>71</xdr:row>
      <xdr:rowOff>152400</xdr:rowOff>
    </xdr:to>
    <xdr:pic>
      <xdr:nvPicPr>
        <xdr:cNvPr id="516164" name="Picture 65088" descr="C:\Users\Bryan\AppData\Local\Microsoft\Windows\Temporary Internet Files\Content.IE5\MVT8L020\MC900433812[1].png">
          <a:extLst>
            <a:ext uri="{FF2B5EF4-FFF2-40B4-BE49-F238E27FC236}">
              <a16:creationId xmlns:a16="http://schemas.microsoft.com/office/drawing/2014/main" id="{00000000-0008-0000-0900-000044E007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7550" y="13163550"/>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1266825</xdr:colOff>
      <xdr:row>73</xdr:row>
      <xdr:rowOff>19050</xdr:rowOff>
    </xdr:from>
    <xdr:to>
      <xdr:col>3</xdr:col>
      <xdr:colOff>1409700</xdr:colOff>
      <xdr:row>73</xdr:row>
      <xdr:rowOff>152400</xdr:rowOff>
    </xdr:to>
    <xdr:pic>
      <xdr:nvPicPr>
        <xdr:cNvPr id="516165" name="Picture 65088" descr="C:\Users\Bryan\AppData\Local\Microsoft\Windows\Temporary Internet Files\Content.IE5\MVT8L020\MC900433812[1].png">
          <a:extLst>
            <a:ext uri="{FF2B5EF4-FFF2-40B4-BE49-F238E27FC236}">
              <a16:creationId xmlns:a16="http://schemas.microsoft.com/office/drawing/2014/main" id="{00000000-0008-0000-0900-000045E007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7550" y="13506450"/>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1266825</xdr:colOff>
      <xdr:row>19</xdr:row>
      <xdr:rowOff>19050</xdr:rowOff>
    </xdr:from>
    <xdr:to>
      <xdr:col>3</xdr:col>
      <xdr:colOff>1409700</xdr:colOff>
      <xdr:row>19</xdr:row>
      <xdr:rowOff>152400</xdr:rowOff>
    </xdr:to>
    <xdr:pic>
      <xdr:nvPicPr>
        <xdr:cNvPr id="516166" name="Picture 65088" descr="C:\Users\Bryan\AppData\Local\Microsoft\Windows\Temporary Internet Files\Content.IE5\MVT8L020\MC900433812[1].png">
          <a:extLst>
            <a:ext uri="{FF2B5EF4-FFF2-40B4-BE49-F238E27FC236}">
              <a16:creationId xmlns:a16="http://schemas.microsoft.com/office/drawing/2014/main" id="{00000000-0008-0000-0900-000046E007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7550" y="3867150"/>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1266825</xdr:colOff>
      <xdr:row>77</xdr:row>
      <xdr:rowOff>19050</xdr:rowOff>
    </xdr:from>
    <xdr:to>
      <xdr:col>3</xdr:col>
      <xdr:colOff>1409700</xdr:colOff>
      <xdr:row>77</xdr:row>
      <xdr:rowOff>152400</xdr:rowOff>
    </xdr:to>
    <xdr:pic>
      <xdr:nvPicPr>
        <xdr:cNvPr id="516167" name="Picture 65088" descr="C:\Users\Bryan\AppData\Local\Microsoft\Windows\Temporary Internet Files\Content.IE5\MVT8L020\MC900433812[1].png">
          <a:extLst>
            <a:ext uri="{FF2B5EF4-FFF2-40B4-BE49-F238E27FC236}">
              <a16:creationId xmlns:a16="http://schemas.microsoft.com/office/drawing/2014/main" id="{00000000-0008-0000-0900-000047E007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7550" y="14277975"/>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94"/>
  <sheetViews>
    <sheetView topLeftCell="A62" zoomScaleNormal="100" workbookViewId="0">
      <selection activeCell="B94" sqref="B94"/>
    </sheetView>
  </sheetViews>
  <sheetFormatPr defaultColWidth="9.140625" defaultRowHeight="12.75" x14ac:dyDescent="0.2"/>
  <cols>
    <col min="1" max="1" width="57.7109375" style="3" bestFit="1" customWidth="1"/>
    <col min="2" max="2" width="8.42578125" style="59" customWidth="1"/>
    <col min="3" max="3" width="4" style="46" bestFit="1" customWidth="1"/>
    <col min="4" max="4" width="23.7109375" style="54" customWidth="1"/>
    <col min="5" max="5" width="2.7109375" style="46" customWidth="1"/>
    <col min="6" max="6" width="12.7109375" style="3" customWidth="1"/>
    <col min="7" max="7" width="10.28515625" style="3" customWidth="1"/>
    <col min="8" max="16384" width="9.140625" style="3"/>
  </cols>
  <sheetData>
    <row r="1" spans="1:4" x14ac:dyDescent="0.2">
      <c r="A1" s="530" t="s">
        <v>591</v>
      </c>
      <c r="B1" s="531" t="s">
        <v>592</v>
      </c>
      <c r="C1" s="532" t="s">
        <v>602</v>
      </c>
      <c r="D1" s="533" t="s">
        <v>603</v>
      </c>
    </row>
    <row r="2" spans="1:4" x14ac:dyDescent="0.2">
      <c r="A2" s="55" t="s">
        <v>604</v>
      </c>
      <c r="B2" s="534">
        <f>'Excel Calcs'!B5</f>
        <v>144</v>
      </c>
      <c r="C2" s="535" t="s">
        <v>2</v>
      </c>
      <c r="D2" s="536"/>
    </row>
    <row r="3" spans="1:4" x14ac:dyDescent="0.2">
      <c r="A3" s="55" t="s">
        <v>605</v>
      </c>
      <c r="B3" s="534">
        <f>'Excel Calcs'!B6</f>
        <v>144</v>
      </c>
      <c r="C3" s="535" t="s">
        <v>2</v>
      </c>
      <c r="D3" s="536"/>
    </row>
    <row r="4" spans="1:4" x14ac:dyDescent="0.2">
      <c r="A4" s="55" t="s">
        <v>939</v>
      </c>
      <c r="B4" s="534">
        <f>'Excel Calcs'!E25</f>
        <v>88.899999999999991</v>
      </c>
      <c r="C4" s="535" t="s">
        <v>2</v>
      </c>
      <c r="D4" s="536"/>
    </row>
    <row r="5" spans="1:4" x14ac:dyDescent="0.2">
      <c r="A5" s="55" t="s">
        <v>940</v>
      </c>
      <c r="B5" s="534">
        <f>'Excel Calcs'!E26</f>
        <v>118.99999999999999</v>
      </c>
      <c r="C5" s="535" t="s">
        <v>2</v>
      </c>
      <c r="D5" s="536"/>
    </row>
    <row r="6" spans="1:4" x14ac:dyDescent="0.2">
      <c r="A6" s="55" t="s">
        <v>942</v>
      </c>
      <c r="B6" s="534">
        <f>'Excel Calcs'!E29</f>
        <v>1</v>
      </c>
      <c r="C6" s="535" t="s">
        <v>623</v>
      </c>
      <c r="D6" s="536"/>
    </row>
    <row r="7" spans="1:4" x14ac:dyDescent="0.2">
      <c r="A7" s="55" t="s">
        <v>943</v>
      </c>
      <c r="B7" s="534">
        <f>'Excel Calcs'!E30</f>
        <v>4</v>
      </c>
      <c r="C7" s="535" t="s">
        <v>623</v>
      </c>
      <c r="D7" s="536"/>
    </row>
    <row r="8" spans="1:4" x14ac:dyDescent="0.2">
      <c r="A8" s="55" t="s">
        <v>938</v>
      </c>
      <c r="B8" s="534">
        <f>'Excel Calcs'!E31</f>
        <v>88.899999999999991</v>
      </c>
      <c r="C8" s="535" t="s">
        <v>2</v>
      </c>
      <c r="D8" s="536"/>
    </row>
    <row r="9" spans="1:4" x14ac:dyDescent="0.2">
      <c r="A9" s="55" t="s">
        <v>945</v>
      </c>
      <c r="B9" s="534">
        <f>'Excel Calcs'!E32</f>
        <v>29.749999999999996</v>
      </c>
      <c r="C9" s="535" t="s">
        <v>2</v>
      </c>
      <c r="D9" s="536"/>
    </row>
    <row r="10" spans="1:4" x14ac:dyDescent="0.2">
      <c r="A10" s="55" t="s">
        <v>959</v>
      </c>
      <c r="B10" s="534">
        <f>'Excel Calcs'!E33</f>
        <v>4.3999999999999997E-2</v>
      </c>
      <c r="C10" s="535" t="s">
        <v>2</v>
      </c>
      <c r="D10" s="536"/>
    </row>
    <row r="11" spans="1:4" x14ac:dyDescent="0.2">
      <c r="A11" s="55" t="s">
        <v>962</v>
      </c>
      <c r="B11" s="534">
        <f>'Excel Calcs'!H4</f>
        <v>72</v>
      </c>
      <c r="C11" s="535" t="s">
        <v>2</v>
      </c>
      <c r="D11" s="536"/>
    </row>
    <row r="12" spans="1:4" x14ac:dyDescent="0.2">
      <c r="A12" s="55" t="s">
        <v>964</v>
      </c>
      <c r="B12" s="534">
        <f>'Excel Calcs'!H5</f>
        <v>72</v>
      </c>
      <c r="C12" s="535" t="s">
        <v>2</v>
      </c>
      <c r="D12" s="536"/>
    </row>
    <row r="13" spans="1:4" x14ac:dyDescent="0.2">
      <c r="A13" s="55" t="s">
        <v>963</v>
      </c>
      <c r="B13" s="534">
        <f>'Excel Calcs'!H6</f>
        <v>21</v>
      </c>
      <c r="C13" s="535" t="s">
        <v>2</v>
      </c>
      <c r="D13" s="536"/>
    </row>
    <row r="14" spans="1:4" x14ac:dyDescent="0.2">
      <c r="A14" s="55" t="s">
        <v>965</v>
      </c>
      <c r="B14" s="534">
        <f>'Excel Calcs'!H7</f>
        <v>88.627499999999998</v>
      </c>
      <c r="C14" s="535" t="s">
        <v>2</v>
      </c>
      <c r="D14" s="536"/>
    </row>
    <row r="15" spans="1:4" x14ac:dyDescent="0.2">
      <c r="A15" s="55" t="s">
        <v>969</v>
      </c>
      <c r="B15" s="534" t="str">
        <f>'Excel Calcs'!H8</f>
        <v>0.218</v>
      </c>
      <c r="C15" s="535" t="s">
        <v>2</v>
      </c>
      <c r="D15" s="536"/>
    </row>
    <row r="16" spans="1:4" x14ac:dyDescent="0.2">
      <c r="A16" s="55" t="s">
        <v>932</v>
      </c>
      <c r="B16" s="534">
        <f>'Excel Calcs'!H11</f>
        <v>144</v>
      </c>
      <c r="C16" s="535" t="s">
        <v>2</v>
      </c>
      <c r="D16" s="536"/>
    </row>
    <row r="17" spans="1:4" x14ac:dyDescent="0.2">
      <c r="A17" s="55" t="s">
        <v>931</v>
      </c>
      <c r="B17" s="534">
        <f>'Excel Calcs'!H12</f>
        <v>2</v>
      </c>
      <c r="C17" s="535" t="s">
        <v>2</v>
      </c>
      <c r="D17" s="536"/>
    </row>
    <row r="18" spans="1:4" x14ac:dyDescent="0.2">
      <c r="A18" s="55" t="s">
        <v>933</v>
      </c>
      <c r="B18" s="534">
        <f>'Excel Calcs'!H13</f>
        <v>1</v>
      </c>
      <c r="C18" s="535" t="s">
        <v>2</v>
      </c>
      <c r="D18" s="536"/>
    </row>
    <row r="19" spans="1:4" x14ac:dyDescent="0.2">
      <c r="A19" s="55" t="s">
        <v>994</v>
      </c>
      <c r="B19" s="534">
        <f>'Excel Calcs'!H14</f>
        <v>2</v>
      </c>
      <c r="C19" s="535" t="s">
        <v>2</v>
      </c>
      <c r="D19" s="536"/>
    </row>
    <row r="20" spans="1:4" x14ac:dyDescent="0.2">
      <c r="A20" s="55" t="s">
        <v>946</v>
      </c>
      <c r="B20" s="534">
        <f>'Excel Calcs'!H15</f>
        <v>5.6009999999999997E-2</v>
      </c>
      <c r="C20" s="535" t="s">
        <v>2</v>
      </c>
      <c r="D20" s="536"/>
    </row>
    <row r="21" spans="1:4" x14ac:dyDescent="0.2">
      <c r="A21" s="55" t="s">
        <v>1058</v>
      </c>
      <c r="B21" s="534">
        <f>'Excel Calcs'!H17</f>
        <v>59.499999999999993</v>
      </c>
      <c r="C21" s="535" t="s">
        <v>2</v>
      </c>
      <c r="D21" s="536"/>
    </row>
    <row r="22" spans="1:4" x14ac:dyDescent="0.2">
      <c r="A22" s="55" t="s">
        <v>968</v>
      </c>
      <c r="B22" s="534" t="str">
        <f>'Excel Calcs'!H18</f>
        <v>0.152</v>
      </c>
      <c r="C22" s="535" t="s">
        <v>2</v>
      </c>
      <c r="D22" s="536"/>
    </row>
    <row r="23" spans="1:4" x14ac:dyDescent="0.2">
      <c r="A23" s="55" t="s">
        <v>993</v>
      </c>
      <c r="B23" s="534">
        <f>'Excel Calcs'!H19</f>
        <v>0.5</v>
      </c>
      <c r="C23" s="535" t="s">
        <v>2</v>
      </c>
      <c r="D23" s="536"/>
    </row>
    <row r="24" spans="1:4" x14ac:dyDescent="0.2">
      <c r="A24" s="55" t="s">
        <v>966</v>
      </c>
      <c r="B24" s="534">
        <f>'Excel Calcs'!H20</f>
        <v>44.615000000000002</v>
      </c>
      <c r="C24" s="535" t="s">
        <v>2</v>
      </c>
      <c r="D24" s="536"/>
    </row>
    <row r="25" spans="1:4" x14ac:dyDescent="0.2">
      <c r="A25" s="55" t="s">
        <v>967</v>
      </c>
      <c r="B25" s="534">
        <f>'Excel Calcs'!H21</f>
        <v>0.5</v>
      </c>
      <c r="C25" s="535" t="s">
        <v>2</v>
      </c>
      <c r="D25" s="536"/>
    </row>
    <row r="26" spans="1:4" x14ac:dyDescent="0.2">
      <c r="A26" s="55" t="s">
        <v>979</v>
      </c>
      <c r="B26" s="534">
        <f>'Excel Calcs'!H22</f>
        <v>2</v>
      </c>
      <c r="C26" s="535" t="s">
        <v>623</v>
      </c>
      <c r="D26" s="536"/>
    </row>
    <row r="27" spans="1:4" x14ac:dyDescent="0.2">
      <c r="A27" s="55" t="s">
        <v>978</v>
      </c>
      <c r="B27" s="534">
        <f>'Excel Calcs'!H23</f>
        <v>87.399999999999991</v>
      </c>
      <c r="C27" s="535" t="s">
        <v>2</v>
      </c>
      <c r="D27" s="536"/>
    </row>
    <row r="28" spans="1:4" x14ac:dyDescent="0.2">
      <c r="A28" s="55" t="s">
        <v>997</v>
      </c>
      <c r="B28" s="534">
        <f>'Excel Calcs'!H24</f>
        <v>0.125</v>
      </c>
      <c r="C28" s="535" t="s">
        <v>2</v>
      </c>
      <c r="D28" s="536"/>
    </row>
    <row r="29" spans="1:4" x14ac:dyDescent="0.2">
      <c r="A29" s="55" t="s">
        <v>1059</v>
      </c>
      <c r="B29" s="534">
        <f>'Excel Calcs'!H25</f>
        <v>0.25</v>
      </c>
      <c r="C29" s="535" t="s">
        <v>2</v>
      </c>
      <c r="D29" s="536"/>
    </row>
    <row r="30" spans="1:4" x14ac:dyDescent="0.2">
      <c r="A30" s="55" t="s">
        <v>1052</v>
      </c>
      <c r="B30" s="534" t="str">
        <f>'Excel Calcs'!H26</f>
        <v>0.152</v>
      </c>
      <c r="C30" s="535" t="s">
        <v>2</v>
      </c>
      <c r="D30" s="536"/>
    </row>
    <row r="31" spans="1:4" x14ac:dyDescent="0.2">
      <c r="A31" s="55" t="s">
        <v>1050</v>
      </c>
      <c r="B31" s="534">
        <f>'Excel Calcs'!H27</f>
        <v>0.5</v>
      </c>
      <c r="C31" s="535" t="s">
        <v>2</v>
      </c>
      <c r="D31" s="536"/>
    </row>
    <row r="32" spans="1:4" x14ac:dyDescent="0.2">
      <c r="A32" s="55" t="s">
        <v>1051</v>
      </c>
      <c r="B32" s="534">
        <f>'Excel Calcs'!H28</f>
        <v>1</v>
      </c>
      <c r="C32" s="535" t="s">
        <v>2</v>
      </c>
      <c r="D32" s="536"/>
    </row>
    <row r="33" spans="1:4" x14ac:dyDescent="0.2">
      <c r="A33" s="55" t="s">
        <v>1053</v>
      </c>
      <c r="B33" s="534">
        <f>'Excel Calcs'!H29</f>
        <v>2</v>
      </c>
      <c r="C33" s="535" t="s">
        <v>2</v>
      </c>
      <c r="D33" s="536"/>
    </row>
    <row r="34" spans="1:4" x14ac:dyDescent="0.2">
      <c r="A34" s="55" t="s">
        <v>934</v>
      </c>
      <c r="B34" s="534">
        <f>'Excel Calcs'!H32</f>
        <v>118.82597999999999</v>
      </c>
      <c r="C34" s="535" t="s">
        <v>2</v>
      </c>
      <c r="D34" s="536"/>
    </row>
    <row r="35" spans="1:4" x14ac:dyDescent="0.2">
      <c r="A35" s="55" t="s">
        <v>935</v>
      </c>
      <c r="B35" s="534">
        <f>'Excel Calcs'!H33</f>
        <v>1.8569800000000001</v>
      </c>
      <c r="C35" s="535" t="s">
        <v>2</v>
      </c>
      <c r="D35" s="536"/>
    </row>
    <row r="36" spans="1:4" x14ac:dyDescent="0.2">
      <c r="A36" s="55" t="s">
        <v>936</v>
      </c>
      <c r="B36" s="534">
        <f>'Excel Calcs'!H34</f>
        <v>0.875</v>
      </c>
      <c r="C36" s="535" t="s">
        <v>2</v>
      </c>
      <c r="D36" s="536"/>
    </row>
    <row r="37" spans="1:4" x14ac:dyDescent="0.2">
      <c r="A37" s="55" t="s">
        <v>937</v>
      </c>
      <c r="B37" s="534">
        <f>'Excel Calcs'!H35</f>
        <v>1.5</v>
      </c>
      <c r="C37" s="535" t="s">
        <v>2</v>
      </c>
      <c r="D37" s="536"/>
    </row>
    <row r="38" spans="1:4" x14ac:dyDescent="0.2">
      <c r="A38" s="55" t="s">
        <v>949</v>
      </c>
      <c r="B38" s="534">
        <f>'Excel Calcs'!H36</f>
        <v>5.6009999999999997E-2</v>
      </c>
      <c r="C38" s="535" t="s">
        <v>2</v>
      </c>
      <c r="D38" s="536"/>
    </row>
    <row r="39" spans="1:4" x14ac:dyDescent="0.2">
      <c r="A39" s="55" t="s">
        <v>1060</v>
      </c>
      <c r="B39" s="534">
        <f>'Excel Calcs'!H38</f>
        <v>44.449999999999996</v>
      </c>
      <c r="C39" s="535" t="s">
        <v>2</v>
      </c>
      <c r="D39" s="536"/>
    </row>
    <row r="40" spans="1:4" x14ac:dyDescent="0.2">
      <c r="A40" s="55" t="s">
        <v>970</v>
      </c>
      <c r="B40" s="534" t="str">
        <f>'Excel Calcs'!H39</f>
        <v>0.152</v>
      </c>
      <c r="C40" s="535" t="s">
        <v>2</v>
      </c>
      <c r="D40" s="536"/>
    </row>
    <row r="41" spans="1:4" x14ac:dyDescent="0.2">
      <c r="A41" s="55" t="s">
        <v>971</v>
      </c>
      <c r="B41" s="534">
        <f>'Excel Calcs'!H40</f>
        <v>0.41298999999999997</v>
      </c>
      <c r="C41" s="535" t="s">
        <v>2</v>
      </c>
      <c r="D41" s="536"/>
    </row>
    <row r="42" spans="1:4" x14ac:dyDescent="0.2">
      <c r="A42" s="55" t="s">
        <v>972</v>
      </c>
      <c r="B42" s="534">
        <f>'Excel Calcs'!H41</f>
        <v>0.4375</v>
      </c>
      <c r="C42" s="535" t="s">
        <v>2</v>
      </c>
      <c r="D42" s="536"/>
    </row>
    <row r="43" spans="1:4" x14ac:dyDescent="0.2">
      <c r="A43" s="55" t="s">
        <v>973</v>
      </c>
      <c r="B43" s="534">
        <f>'Excel Calcs'!H42</f>
        <v>0.625</v>
      </c>
      <c r="C43" s="535" t="s">
        <v>2</v>
      </c>
      <c r="D43" s="536"/>
    </row>
    <row r="44" spans="1:4" x14ac:dyDescent="0.2">
      <c r="A44" s="55" t="s">
        <v>982</v>
      </c>
      <c r="B44" s="534">
        <f>'Excel Calcs'!H45</f>
        <v>3</v>
      </c>
      <c r="C44" s="535" t="s">
        <v>623</v>
      </c>
      <c r="D44" s="536"/>
    </row>
    <row r="45" spans="1:4" x14ac:dyDescent="0.2">
      <c r="A45" s="55" t="s">
        <v>954</v>
      </c>
      <c r="B45" s="534">
        <f>'Excel Calcs'!H46</f>
        <v>88.725979999999993</v>
      </c>
      <c r="C45" s="535" t="s">
        <v>2</v>
      </c>
      <c r="D45" s="536"/>
    </row>
    <row r="46" spans="1:4" x14ac:dyDescent="0.2">
      <c r="A46" s="55" t="s">
        <v>953</v>
      </c>
      <c r="B46" s="534">
        <f>'Excel Calcs'!H47</f>
        <v>2</v>
      </c>
      <c r="C46" s="535" t="s">
        <v>2</v>
      </c>
      <c r="D46" s="536"/>
    </row>
    <row r="47" spans="1:4" x14ac:dyDescent="0.2">
      <c r="A47" s="55" t="s">
        <v>980</v>
      </c>
      <c r="B47" s="534">
        <f>'Excel Calcs'!H48</f>
        <v>0.875</v>
      </c>
      <c r="C47" s="535" t="s">
        <v>2</v>
      </c>
      <c r="D47" s="536"/>
    </row>
    <row r="48" spans="1:4" x14ac:dyDescent="0.2">
      <c r="A48" s="55" t="s">
        <v>981</v>
      </c>
      <c r="B48" s="534">
        <f>'Excel Calcs'!H49</f>
        <v>1.5</v>
      </c>
      <c r="C48" s="535" t="s">
        <v>2</v>
      </c>
      <c r="D48" s="536"/>
    </row>
    <row r="49" spans="1:4" x14ac:dyDescent="0.2">
      <c r="A49" s="55" t="s">
        <v>974</v>
      </c>
      <c r="B49" s="534" t="str">
        <f>'Excel Calcs'!H50</f>
        <v>0.152</v>
      </c>
      <c r="C49" s="535" t="s">
        <v>2</v>
      </c>
      <c r="D49" s="536"/>
    </row>
    <row r="50" spans="1:4" x14ac:dyDescent="0.2">
      <c r="A50" s="55" t="s">
        <v>983</v>
      </c>
      <c r="B50" s="534">
        <f>'Excel Calcs'!H51</f>
        <v>0.35048999999999997</v>
      </c>
      <c r="C50" s="535" t="s">
        <v>2</v>
      </c>
      <c r="D50" s="536"/>
    </row>
    <row r="51" spans="1:4" x14ac:dyDescent="0.2">
      <c r="A51" s="55" t="s">
        <v>984</v>
      </c>
      <c r="B51" s="534">
        <f>'Excel Calcs'!H52</f>
        <v>0.4375</v>
      </c>
      <c r="C51" s="535" t="s">
        <v>2</v>
      </c>
      <c r="D51" s="536"/>
    </row>
    <row r="52" spans="1:4" x14ac:dyDescent="0.2">
      <c r="A52" s="55" t="s">
        <v>985</v>
      </c>
      <c r="B52" s="534">
        <f>'Excel Calcs'!H53</f>
        <v>0.625</v>
      </c>
      <c r="C52" s="535" t="s">
        <v>2</v>
      </c>
      <c r="D52" s="536"/>
    </row>
    <row r="53" spans="1:4" x14ac:dyDescent="0.2">
      <c r="A53" s="55" t="s">
        <v>986</v>
      </c>
      <c r="B53" s="534">
        <f>'Excel Calcs'!H54</f>
        <v>3</v>
      </c>
      <c r="C53" s="535" t="s">
        <v>623</v>
      </c>
      <c r="D53" s="536"/>
    </row>
    <row r="54" spans="1:4" x14ac:dyDescent="0.2">
      <c r="A54" s="55" t="s">
        <v>987</v>
      </c>
      <c r="B54" s="534">
        <f>'Excel Calcs'!H55</f>
        <v>29.706494999999997</v>
      </c>
      <c r="C54" s="535" t="s">
        <v>2</v>
      </c>
      <c r="D54" s="536"/>
    </row>
    <row r="55" spans="1:4" x14ac:dyDescent="0.2">
      <c r="A55" s="55" t="s">
        <v>955</v>
      </c>
      <c r="B55" s="534">
        <f>'Excel Calcs'!H56</f>
        <v>5.6009999999999997E-2</v>
      </c>
      <c r="C55" s="535" t="s">
        <v>2</v>
      </c>
      <c r="D55" s="536"/>
    </row>
    <row r="56" spans="1:4" x14ac:dyDescent="0.2">
      <c r="A56" s="55" t="s">
        <v>1011</v>
      </c>
      <c r="B56" s="534">
        <f>'Excel Calcs'!K4</f>
        <v>86.649999999999991</v>
      </c>
      <c r="C56" s="535" t="s">
        <v>2</v>
      </c>
      <c r="D56" s="536"/>
    </row>
    <row r="57" spans="1:4" x14ac:dyDescent="0.2">
      <c r="A57" s="55" t="s">
        <v>1012</v>
      </c>
      <c r="B57" s="534">
        <f>'Excel Calcs'!K5</f>
        <v>43.324999999999996</v>
      </c>
      <c r="C57" s="535" t="s">
        <v>2</v>
      </c>
      <c r="D57" s="536"/>
    </row>
    <row r="58" spans="1:4" x14ac:dyDescent="0.2">
      <c r="A58" s="55" t="s">
        <v>1013</v>
      </c>
      <c r="B58" s="534">
        <f>'Excel Calcs'!K6</f>
        <v>1</v>
      </c>
      <c r="C58" s="535" t="s">
        <v>2</v>
      </c>
      <c r="D58" s="536"/>
    </row>
    <row r="59" spans="1:4" x14ac:dyDescent="0.2">
      <c r="A59" s="55" t="s">
        <v>1014</v>
      </c>
      <c r="B59" s="534">
        <f>'Excel Calcs'!K7</f>
        <v>0.5</v>
      </c>
      <c r="C59" s="535" t="s">
        <v>2</v>
      </c>
      <c r="D59" s="536"/>
    </row>
    <row r="60" spans="1:4" x14ac:dyDescent="0.2">
      <c r="A60" s="55" t="s">
        <v>1015</v>
      </c>
      <c r="B60" s="534">
        <f>'Excel Calcs'!K8</f>
        <v>1</v>
      </c>
      <c r="C60" s="535" t="s">
        <v>2</v>
      </c>
      <c r="D60" s="536"/>
    </row>
    <row r="61" spans="1:4" x14ac:dyDescent="0.2">
      <c r="A61" s="55" t="s">
        <v>1016</v>
      </c>
      <c r="B61" s="537">
        <f>'Excel Calcs'!K9</f>
        <v>3.4009999999999999E-2</v>
      </c>
      <c r="C61" s="535" t="s">
        <v>2</v>
      </c>
      <c r="D61" s="536"/>
    </row>
    <row r="62" spans="1:4" x14ac:dyDescent="0.2">
      <c r="A62" s="55" t="s">
        <v>1033</v>
      </c>
      <c r="B62" s="534" t="str">
        <f>'Excel Calcs'!K10</f>
        <v>0.218</v>
      </c>
      <c r="C62" s="535" t="s">
        <v>2</v>
      </c>
      <c r="D62" s="536"/>
    </row>
    <row r="63" spans="1:4" x14ac:dyDescent="0.2">
      <c r="A63" s="55" t="s">
        <v>1019</v>
      </c>
      <c r="B63" s="534">
        <f>'Excel Calcs'!K11</f>
        <v>0.5</v>
      </c>
      <c r="C63" s="535" t="s">
        <v>2</v>
      </c>
      <c r="D63" s="536"/>
    </row>
    <row r="64" spans="1:4" x14ac:dyDescent="0.2">
      <c r="A64" s="55" t="s">
        <v>1020</v>
      </c>
      <c r="B64" s="534">
        <f>'Excel Calcs'!K12</f>
        <v>0.75</v>
      </c>
      <c r="C64" s="535" t="s">
        <v>2</v>
      </c>
      <c r="D64" s="536"/>
    </row>
    <row r="65" spans="1:4" x14ac:dyDescent="0.2">
      <c r="A65" s="55" t="s">
        <v>1029</v>
      </c>
      <c r="B65" s="534">
        <f>'Excel Calcs'!K13</f>
        <v>9</v>
      </c>
      <c r="C65" s="535" t="s">
        <v>623</v>
      </c>
      <c r="D65" s="536"/>
    </row>
    <row r="66" spans="1:4" x14ac:dyDescent="0.2">
      <c r="A66" s="55" t="s">
        <v>1030</v>
      </c>
      <c r="B66" s="534">
        <f>'Excel Calcs'!K14</f>
        <v>9.4611111111111104</v>
      </c>
      <c r="C66" s="535" t="s">
        <v>2</v>
      </c>
      <c r="D66" s="536"/>
    </row>
    <row r="67" spans="1:4" x14ac:dyDescent="0.2">
      <c r="A67" s="55" t="s">
        <v>1021</v>
      </c>
      <c r="B67" s="534">
        <f>'Excel Calcs'!K18</f>
        <v>116.68799999999999</v>
      </c>
      <c r="C67" s="535" t="s">
        <v>2</v>
      </c>
      <c r="D67" s="536"/>
    </row>
    <row r="68" spans="1:4" x14ac:dyDescent="0.2">
      <c r="A68" s="55" t="s">
        <v>1022</v>
      </c>
      <c r="B68" s="534">
        <f>'Excel Calcs'!K19</f>
        <v>58.343999999999994</v>
      </c>
      <c r="C68" s="535" t="s">
        <v>2</v>
      </c>
      <c r="D68" s="536"/>
    </row>
    <row r="69" spans="1:4" x14ac:dyDescent="0.2">
      <c r="A69" s="55" t="s">
        <v>1023</v>
      </c>
      <c r="B69" s="534">
        <f>'Excel Calcs'!K20</f>
        <v>1</v>
      </c>
      <c r="C69" s="535" t="s">
        <v>2</v>
      </c>
      <c r="D69" s="536"/>
    </row>
    <row r="70" spans="1:4" x14ac:dyDescent="0.2">
      <c r="A70" s="55" t="s">
        <v>1024</v>
      </c>
      <c r="B70" s="534">
        <f>'Excel Calcs'!K21</f>
        <v>0.5</v>
      </c>
      <c r="C70" s="535" t="s">
        <v>2</v>
      </c>
      <c r="D70" s="536"/>
    </row>
    <row r="71" spans="1:4" x14ac:dyDescent="0.2">
      <c r="A71" s="55" t="s">
        <v>1025</v>
      </c>
      <c r="B71" s="534">
        <f>'Excel Calcs'!K22</f>
        <v>1</v>
      </c>
      <c r="C71" s="535" t="s">
        <v>2</v>
      </c>
      <c r="D71" s="536"/>
    </row>
    <row r="72" spans="1:4" x14ac:dyDescent="0.2">
      <c r="A72" s="55" t="s">
        <v>1026</v>
      </c>
      <c r="B72" s="537">
        <f>'Excel Calcs'!K23</f>
        <v>3.4009999999999999E-2</v>
      </c>
      <c r="C72" s="535" t="s">
        <v>2</v>
      </c>
      <c r="D72" s="536"/>
    </row>
    <row r="73" spans="1:4" x14ac:dyDescent="0.2">
      <c r="A73" s="55" t="s">
        <v>1034</v>
      </c>
      <c r="B73" s="534" t="str">
        <f>'Excel Calcs'!K24</f>
        <v>0.218</v>
      </c>
      <c r="C73" s="535" t="s">
        <v>2</v>
      </c>
      <c r="D73" s="536"/>
    </row>
    <row r="74" spans="1:4" x14ac:dyDescent="0.2">
      <c r="A74" s="55" t="s">
        <v>1027</v>
      </c>
      <c r="B74" s="534">
        <f>'Excel Calcs'!K25</f>
        <v>1</v>
      </c>
      <c r="C74" s="535" t="s">
        <v>2</v>
      </c>
      <c r="D74" s="536"/>
    </row>
    <row r="75" spans="1:4" x14ac:dyDescent="0.2">
      <c r="A75" s="55" t="s">
        <v>1028</v>
      </c>
      <c r="B75" s="534">
        <f>'Excel Calcs'!K26</f>
        <v>0.5</v>
      </c>
      <c r="C75" s="535" t="s">
        <v>2</v>
      </c>
      <c r="D75" s="536"/>
    </row>
    <row r="76" spans="1:4" x14ac:dyDescent="0.2">
      <c r="A76" s="55" t="s">
        <v>1031</v>
      </c>
      <c r="B76" s="534">
        <f>'Excel Calcs'!K27</f>
        <v>12</v>
      </c>
      <c r="C76" s="535" t="s">
        <v>623</v>
      </c>
      <c r="D76" s="536"/>
    </row>
    <row r="77" spans="1:4" x14ac:dyDescent="0.2">
      <c r="A77" s="55" t="s">
        <v>1032</v>
      </c>
      <c r="B77" s="534">
        <f>'Excel Calcs'!K28</f>
        <v>9.5573399999999999</v>
      </c>
      <c r="C77" s="535" t="s">
        <v>2</v>
      </c>
      <c r="D77" s="536"/>
    </row>
    <row r="78" spans="1:4" x14ac:dyDescent="0.2">
      <c r="A78" s="55" t="s">
        <v>1036</v>
      </c>
      <c r="B78" s="534">
        <f>'Excel Calcs'!K32</f>
        <v>118.99999999999999</v>
      </c>
      <c r="C78" s="535" t="s">
        <v>2</v>
      </c>
      <c r="D78" s="536"/>
    </row>
    <row r="79" spans="1:4" x14ac:dyDescent="0.2">
      <c r="A79" s="55" t="s">
        <v>1037</v>
      </c>
      <c r="B79" s="534">
        <f>'Excel Calcs'!K33</f>
        <v>59.499999999999993</v>
      </c>
      <c r="C79" s="535" t="s">
        <v>2</v>
      </c>
      <c r="D79" s="536"/>
    </row>
    <row r="80" spans="1:4" x14ac:dyDescent="0.2">
      <c r="A80" s="55" t="s">
        <v>1038</v>
      </c>
      <c r="B80" s="534">
        <f>'Excel Calcs'!K34</f>
        <v>3.9436899999999997</v>
      </c>
      <c r="C80" s="535" t="s">
        <v>2</v>
      </c>
      <c r="D80" s="536"/>
    </row>
    <row r="81" spans="1:4" x14ac:dyDescent="0.2">
      <c r="A81" s="55" t="s">
        <v>1039</v>
      </c>
      <c r="B81" s="534">
        <f>'Excel Calcs'!K35</f>
        <v>1.9718449999999998</v>
      </c>
      <c r="C81" s="535" t="s">
        <v>2</v>
      </c>
      <c r="D81" s="536"/>
    </row>
    <row r="82" spans="1:4" x14ac:dyDescent="0.2">
      <c r="A82" s="55" t="s">
        <v>1040</v>
      </c>
      <c r="B82" s="534">
        <f>'Excel Calcs'!K36</f>
        <v>2</v>
      </c>
      <c r="C82" s="535" t="s">
        <v>2</v>
      </c>
      <c r="D82" s="536"/>
    </row>
    <row r="83" spans="1:4" x14ac:dyDescent="0.2">
      <c r="A83" s="55" t="s">
        <v>1041</v>
      </c>
      <c r="B83" s="534">
        <f>'Excel Calcs'!K37</f>
        <v>5.6009999999999997E-2</v>
      </c>
      <c r="C83" s="535" t="s">
        <v>2</v>
      </c>
      <c r="D83" s="536"/>
    </row>
    <row r="84" spans="1:4" x14ac:dyDescent="0.2">
      <c r="A84" s="55" t="s">
        <v>1057</v>
      </c>
      <c r="B84" s="534">
        <f>'Excel Calcs'!K38</f>
        <v>2.0310000000000001</v>
      </c>
      <c r="C84" s="535" t="s">
        <v>2</v>
      </c>
      <c r="D84" s="536"/>
    </row>
    <row r="85" spans="1:4" x14ac:dyDescent="0.2">
      <c r="A85" s="55" t="s">
        <v>1042</v>
      </c>
      <c r="B85" s="534" t="str">
        <f>'Excel Calcs'!K39</f>
        <v>0.218</v>
      </c>
      <c r="C85" s="535" t="s">
        <v>2</v>
      </c>
      <c r="D85" s="536"/>
    </row>
    <row r="86" spans="1:4" x14ac:dyDescent="0.2">
      <c r="A86" s="55" t="s">
        <v>1043</v>
      </c>
      <c r="B86" s="534">
        <f>'Excel Calcs'!K40</f>
        <v>2</v>
      </c>
      <c r="C86" s="535" t="s">
        <v>2</v>
      </c>
      <c r="D86" s="536"/>
    </row>
    <row r="87" spans="1:4" x14ac:dyDescent="0.2">
      <c r="A87" s="55" t="s">
        <v>1046</v>
      </c>
      <c r="B87" s="534">
        <f>'Excel Calcs'!K41</f>
        <v>1</v>
      </c>
      <c r="C87" s="535" t="s">
        <v>2</v>
      </c>
      <c r="D87" s="536"/>
    </row>
    <row r="88" spans="1:4" x14ac:dyDescent="0.2">
      <c r="A88" s="55" t="s">
        <v>1045</v>
      </c>
      <c r="B88" s="534">
        <f>'Excel Calcs'!K42</f>
        <v>12</v>
      </c>
      <c r="C88" s="535" t="s">
        <v>623</v>
      </c>
      <c r="D88" s="536"/>
    </row>
    <row r="89" spans="1:4" x14ac:dyDescent="0.2">
      <c r="A89" s="55" t="s">
        <v>1044</v>
      </c>
      <c r="B89" s="534">
        <f>'Excel Calcs'!K43</f>
        <v>9.2448333333333323</v>
      </c>
      <c r="C89" s="535" t="s">
        <v>2</v>
      </c>
      <c r="D89" s="536"/>
    </row>
    <row r="90" spans="1:4" x14ac:dyDescent="0.2">
      <c r="A90" s="55" t="s">
        <v>1047</v>
      </c>
      <c r="B90" s="534" t="str">
        <f>'Excel Calcs'!K44</f>
        <v>0.218</v>
      </c>
      <c r="C90" s="535" t="s">
        <v>2</v>
      </c>
      <c r="D90" s="536"/>
    </row>
    <row r="91" spans="1:4" x14ac:dyDescent="0.2">
      <c r="A91" s="55" t="s">
        <v>1048</v>
      </c>
      <c r="B91" s="534">
        <f>'Excel Calcs'!K45</f>
        <v>0.5</v>
      </c>
      <c r="C91" s="535" t="s">
        <v>2</v>
      </c>
      <c r="D91" s="536"/>
    </row>
    <row r="92" spans="1:4" x14ac:dyDescent="0.2">
      <c r="A92" s="55" t="s">
        <v>1049</v>
      </c>
      <c r="B92" s="534">
        <f>'Excel Calcs'!K46</f>
        <v>1</v>
      </c>
      <c r="C92" s="535" t="s">
        <v>2</v>
      </c>
      <c r="D92" s="536"/>
    </row>
    <row r="94" spans="1:4" x14ac:dyDescent="0.2">
      <c r="A94" s="3" t="s">
        <v>1008</v>
      </c>
      <c r="B94" s="59">
        <f>COUNTIF(B2:B92,FALSE)+COUNTIF(B2:B92,#N/A)+COUNTIF(B2:B92,#REF!)+COUNTIF(B2:B92,#DIV/0!)</f>
        <v>0</v>
      </c>
    </row>
  </sheetData>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31"/>
  <sheetViews>
    <sheetView tabSelected="1" zoomScale="190" zoomScaleNormal="190" workbookViewId="0">
      <selection activeCell="C7" sqref="C7"/>
    </sheetView>
  </sheetViews>
  <sheetFormatPr defaultColWidth="9.140625" defaultRowHeight="12.75" x14ac:dyDescent="0.2"/>
  <cols>
    <col min="1" max="1" width="22.5703125" style="46" bestFit="1" customWidth="1"/>
    <col min="2" max="2" width="13.140625" style="46" bestFit="1" customWidth="1"/>
    <col min="3" max="3" width="113.7109375" style="46" customWidth="1"/>
    <col min="4" max="4" width="35.85546875" style="3" bestFit="1" customWidth="1"/>
    <col min="5" max="5" width="3.85546875" style="3" customWidth="1"/>
    <col min="6" max="6" width="17" style="3" customWidth="1"/>
    <col min="7" max="7" width="9" style="3" customWidth="1"/>
    <col min="8" max="8" width="46.5703125" style="3" customWidth="1"/>
    <col min="9" max="16384" width="9.140625" style="3"/>
  </cols>
  <sheetData>
    <row r="1" spans="1:8" ht="13.5" thickBot="1" x14ac:dyDescent="0.25">
      <c r="A1" s="538" t="s">
        <v>590</v>
      </c>
      <c r="B1" s="539"/>
    </row>
    <row r="2" spans="1:8" ht="13.5" thickBot="1" x14ac:dyDescent="0.25">
      <c r="A2" s="47" t="s">
        <v>591</v>
      </c>
      <c r="B2" s="48" t="s">
        <v>592</v>
      </c>
      <c r="C2" s="49" t="s">
        <v>7</v>
      </c>
      <c r="D2" s="4"/>
      <c r="F2" s="540" t="s">
        <v>593</v>
      </c>
      <c r="G2" s="541"/>
      <c r="H2" s="542"/>
    </row>
    <row r="3" spans="1:8" x14ac:dyDescent="0.2">
      <c r="A3" s="409" t="s">
        <v>594</v>
      </c>
      <c r="B3" s="515">
        <v>144</v>
      </c>
      <c r="C3" s="267" t="s">
        <v>595</v>
      </c>
      <c r="F3" s="543" t="s">
        <v>596</v>
      </c>
      <c r="G3" s="544"/>
      <c r="H3" s="545"/>
    </row>
    <row r="4" spans="1:8" x14ac:dyDescent="0.2">
      <c r="A4" s="289" t="s">
        <v>597</v>
      </c>
      <c r="B4" s="516">
        <v>144</v>
      </c>
      <c r="C4" s="268" t="s">
        <v>598</v>
      </c>
      <c r="F4" s="493" t="s">
        <v>918</v>
      </c>
      <c r="G4" s="494">
        <f>IF(SupFrameThkO="-",'Excel Calcs'!H15,SupFrameThkO)</f>
        <v>5.6009999999999997E-2</v>
      </c>
      <c r="H4" s="495" t="s">
        <v>917</v>
      </c>
    </row>
    <row r="5" spans="1:8" ht="13.5" thickBot="1" x14ac:dyDescent="0.25">
      <c r="A5" s="289" t="s">
        <v>1</v>
      </c>
      <c r="B5" s="517">
        <v>600</v>
      </c>
      <c r="C5" s="268" t="s">
        <v>621</v>
      </c>
      <c r="D5" s="4"/>
      <c r="F5" s="233" t="s">
        <v>991</v>
      </c>
      <c r="G5" s="485">
        <f>IF(PerfThkO="-",'Excel Calcs'!E33,PerfThkO)</f>
        <v>4.3999999999999997E-2</v>
      </c>
      <c r="H5" s="234" t="s">
        <v>917</v>
      </c>
    </row>
    <row r="6" spans="1:8" x14ac:dyDescent="0.2">
      <c r="A6" s="289" t="s">
        <v>880</v>
      </c>
      <c r="B6" s="516" t="s">
        <v>915</v>
      </c>
      <c r="C6" s="269" t="s">
        <v>921</v>
      </c>
      <c r="D6" s="509" t="s">
        <v>998</v>
      </c>
    </row>
    <row r="7" spans="1:8" ht="24.75" customHeight="1" x14ac:dyDescent="0.2">
      <c r="A7" s="50" t="s">
        <v>860</v>
      </c>
      <c r="B7" s="518">
        <v>0</v>
      </c>
      <c r="C7" s="410" t="s">
        <v>916</v>
      </c>
      <c r="D7" s="4"/>
    </row>
    <row r="8" spans="1:8" s="51" customFormat="1" x14ac:dyDescent="0.2">
      <c r="A8" s="50" t="s">
        <v>870</v>
      </c>
      <c r="B8" s="518">
        <v>2</v>
      </c>
      <c r="C8" s="270" t="s">
        <v>871</v>
      </c>
      <c r="D8" s="509" t="s">
        <v>999</v>
      </c>
      <c r="F8" s="3"/>
      <c r="G8" s="3"/>
      <c r="H8" s="3"/>
    </row>
    <row r="9" spans="1:8" s="51" customFormat="1" x14ac:dyDescent="0.2">
      <c r="A9" s="289" t="s">
        <v>624</v>
      </c>
      <c r="B9" s="517" t="s">
        <v>609</v>
      </c>
      <c r="C9" s="271" t="s">
        <v>869</v>
      </c>
      <c r="D9" s="509" t="s">
        <v>1000</v>
      </c>
      <c r="F9" s="3"/>
      <c r="G9" s="3"/>
      <c r="H9" s="3"/>
    </row>
    <row r="10" spans="1:8" x14ac:dyDescent="0.2">
      <c r="A10" s="289" t="s">
        <v>599</v>
      </c>
      <c r="B10" s="516" t="s">
        <v>354</v>
      </c>
      <c r="C10" s="269" t="s">
        <v>961</v>
      </c>
      <c r="D10" s="510" t="s">
        <v>961</v>
      </c>
    </row>
    <row r="11" spans="1:8" x14ac:dyDescent="0.2">
      <c r="A11" s="50" t="s">
        <v>600</v>
      </c>
      <c r="B11" s="516" t="s">
        <v>10</v>
      </c>
      <c r="C11" s="270" t="s">
        <v>601</v>
      </c>
      <c r="D11" s="510" t="s">
        <v>10</v>
      </c>
    </row>
    <row r="12" spans="1:8" x14ac:dyDescent="0.2">
      <c r="A12" s="491" t="s">
        <v>919</v>
      </c>
      <c r="B12" s="492" t="s">
        <v>9</v>
      </c>
      <c r="C12" s="270" t="s">
        <v>914</v>
      </c>
    </row>
    <row r="13" spans="1:8" ht="12.75" customHeight="1" thickBot="1" x14ac:dyDescent="0.25">
      <c r="A13" s="486" t="s">
        <v>990</v>
      </c>
      <c r="B13" s="487" t="s">
        <v>9</v>
      </c>
      <c r="C13" s="488" t="s">
        <v>989</v>
      </c>
    </row>
    <row r="14" spans="1:8" ht="12.75" customHeight="1" x14ac:dyDescent="0.2">
      <c r="A14" s="3"/>
      <c r="C14" s="3"/>
    </row>
    <row r="15" spans="1:8" ht="12.75" customHeight="1" x14ac:dyDescent="0.2">
      <c r="A15" s="514" t="s">
        <v>1009</v>
      </c>
      <c r="B15" s="514">
        <f>Sheet1!B94</f>
        <v>0</v>
      </c>
      <c r="C15" s="3"/>
    </row>
    <row r="16" spans="1:8" ht="12.75" customHeight="1" x14ac:dyDescent="0.2">
      <c r="C16" s="3"/>
    </row>
    <row r="17" spans="3:3" ht="12.75" customHeight="1" x14ac:dyDescent="0.2">
      <c r="C17" s="3"/>
    </row>
    <row r="18" spans="3:3" ht="12.75" customHeight="1" x14ac:dyDescent="0.2">
      <c r="C18" s="3"/>
    </row>
    <row r="19" spans="3:3" ht="12.75" customHeight="1" x14ac:dyDescent="0.2">
      <c r="C19" s="3"/>
    </row>
    <row r="20" spans="3:3" x14ac:dyDescent="0.2">
      <c r="C20" s="3"/>
    </row>
    <row r="21" spans="3:3" x14ac:dyDescent="0.2">
      <c r="C21" s="3"/>
    </row>
    <row r="22" spans="3:3" x14ac:dyDescent="0.2">
      <c r="C22" s="3"/>
    </row>
    <row r="23" spans="3:3" x14ac:dyDescent="0.2">
      <c r="C23" s="3"/>
    </row>
    <row r="24" spans="3:3" x14ac:dyDescent="0.2">
      <c r="C24" s="3"/>
    </row>
    <row r="25" spans="3:3" x14ac:dyDescent="0.2">
      <c r="C25" s="3"/>
    </row>
    <row r="26" spans="3:3" x14ac:dyDescent="0.2">
      <c r="C26" s="3"/>
    </row>
    <row r="27" spans="3:3" x14ac:dyDescent="0.2">
      <c r="C27" s="3"/>
    </row>
    <row r="28" spans="3:3" x14ac:dyDescent="0.2">
      <c r="C28" s="3"/>
    </row>
    <row r="29" spans="3:3" x14ac:dyDescent="0.2">
      <c r="C29" s="3"/>
    </row>
    <row r="30" spans="3:3" x14ac:dyDescent="0.2">
      <c r="C30" s="3"/>
    </row>
    <row r="31" spans="3:3" x14ac:dyDescent="0.2">
      <c r="C31" s="3"/>
    </row>
  </sheetData>
  <mergeCells count="3">
    <mergeCell ref="A1:B1"/>
    <mergeCell ref="F2:H2"/>
    <mergeCell ref="F3:H3"/>
  </mergeCells>
  <dataValidations count="4">
    <dataValidation type="list" allowBlank="1" showInputMessage="1" showErrorMessage="1" sqref="B6" xr:uid="{B64CCBB0-A2AA-4CD1-BE26-82407632D9D3}">
      <formula1>"F, FI, R, RI"</formula1>
    </dataValidation>
    <dataValidation type="list" allowBlank="1" showInputMessage="1" showErrorMessage="1" sqref="B8" xr:uid="{3E4D66D0-63BD-4329-8B70-2BB38111C8AE}">
      <formula1>"1, 2"</formula1>
    </dataValidation>
    <dataValidation type="list" allowBlank="1" showInputMessage="1" showErrorMessage="1" sqref="B9" xr:uid="{FF72BDB7-5E4B-481F-BC9F-E366C515EA7B}">
      <formula1>"YES, NO"</formula1>
    </dataValidation>
    <dataValidation type="list" allowBlank="1" showInputMessage="1" showErrorMessage="1" sqref="B10" xr:uid="{8C0EB090-9C1E-4EEE-9B4E-5B6F0ED3FE45}">
      <formula1>"STL GALV, SST304, SST304L, SST316L"</formula1>
    </dataValidation>
  </dataValidations>
  <pageMargins left="0.75" right="0.75" top="1" bottom="1" header="0.5" footer="0.5"/>
  <pageSetup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6D1ED5D8-E857-42B7-8736-738EAFE57CC7}">
          <x14:formula1>
            <xm:f>'Fan Data'!$C$4:$C$22</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72"/>
  <sheetViews>
    <sheetView showGridLines="0" zoomScaleNormal="100" workbookViewId="0">
      <selection activeCell="K18" sqref="K18"/>
    </sheetView>
  </sheetViews>
  <sheetFormatPr defaultColWidth="9.140625" defaultRowHeight="12" customHeight="1" x14ac:dyDescent="0.2"/>
  <cols>
    <col min="1" max="1" width="30.7109375" style="56" customWidth="1"/>
    <col min="2" max="2" width="10.7109375" style="52" customWidth="1"/>
    <col min="3" max="3" width="2.7109375" style="81" customWidth="1"/>
    <col min="4" max="4" width="34.85546875" style="52" bestFit="1" customWidth="1"/>
    <col min="5" max="5" width="12.42578125" style="97" bestFit="1" customWidth="1"/>
    <col min="6" max="6" width="2.7109375" style="52" customWidth="1"/>
    <col min="7" max="7" width="37.7109375" style="4" bestFit="1" customWidth="1"/>
    <col min="8" max="8" width="10.7109375" style="52" customWidth="1"/>
    <col min="9" max="9" width="2.7109375" style="81" customWidth="1"/>
    <col min="10" max="10" width="30.7109375" style="4" customWidth="1"/>
    <col min="11" max="11" width="10.7109375" style="52" customWidth="1"/>
    <col min="12" max="16384" width="9.140625" style="4"/>
  </cols>
  <sheetData>
    <row r="1" spans="1:11" ht="12" customHeight="1" x14ac:dyDescent="0.2">
      <c r="D1" s="290"/>
    </row>
    <row r="2" spans="1:11" ht="12" customHeight="1" x14ac:dyDescent="0.2">
      <c r="A2" s="56" t="s">
        <v>591</v>
      </c>
      <c r="B2" s="52" t="s">
        <v>592</v>
      </c>
      <c r="D2" s="56" t="s">
        <v>591</v>
      </c>
      <c r="E2" s="97" t="s">
        <v>592</v>
      </c>
      <c r="G2" s="56" t="s">
        <v>591</v>
      </c>
      <c r="H2" s="97" t="s">
        <v>592</v>
      </c>
      <c r="I2" s="190"/>
      <c r="J2" s="56" t="s">
        <v>591</v>
      </c>
      <c r="K2" s="52" t="s">
        <v>592</v>
      </c>
    </row>
    <row r="3" spans="1:11" ht="12" customHeight="1" x14ac:dyDescent="0.2">
      <c r="A3" s="546" t="s">
        <v>606</v>
      </c>
      <c r="B3" s="547"/>
      <c r="C3" s="57"/>
      <c r="D3" s="546" t="s">
        <v>925</v>
      </c>
      <c r="E3" s="547"/>
      <c r="G3" s="546" t="s">
        <v>929</v>
      </c>
      <c r="H3" s="547"/>
      <c r="I3" s="57"/>
      <c r="J3" s="546" t="s">
        <v>1017</v>
      </c>
      <c r="K3" s="547"/>
    </row>
    <row r="4" spans="1:11" ht="12" customHeight="1" x14ac:dyDescent="0.2">
      <c r="A4" s="53" t="s">
        <v>867</v>
      </c>
      <c r="B4" s="82">
        <v>40.792999999999999</v>
      </c>
      <c r="C4" s="57"/>
      <c r="D4" s="548" t="s">
        <v>622</v>
      </c>
      <c r="E4" s="549"/>
      <c r="G4" s="53" t="s">
        <v>962</v>
      </c>
      <c r="H4" s="82">
        <f>B11</f>
        <v>72</v>
      </c>
      <c r="I4" s="58"/>
      <c r="J4" s="522" t="s">
        <v>1011</v>
      </c>
      <c r="K4" s="497">
        <f>E25-(2*(K20+0.125))</f>
        <v>86.649999999999991</v>
      </c>
    </row>
    <row r="5" spans="1:11" ht="12" customHeight="1" x14ac:dyDescent="0.2">
      <c r="A5" s="53" t="s">
        <v>595</v>
      </c>
      <c r="B5" s="82">
        <f>IH</f>
        <v>144</v>
      </c>
      <c r="C5" s="58"/>
      <c r="D5" s="53" t="s">
        <v>924</v>
      </c>
      <c r="E5" s="82">
        <f>'Isolator Plate'!F6</f>
        <v>0.1875</v>
      </c>
      <c r="G5" s="53" t="s">
        <v>964</v>
      </c>
      <c r="H5" s="82">
        <f>H11/2</f>
        <v>72</v>
      </c>
      <c r="I5" s="58"/>
      <c r="J5" s="522" t="s">
        <v>1012</v>
      </c>
      <c r="K5" s="523">
        <f>K4/2</f>
        <v>43.324999999999996</v>
      </c>
    </row>
    <row r="6" spans="1:11" ht="12" customHeight="1" x14ac:dyDescent="0.2">
      <c r="A6" s="53" t="s">
        <v>598</v>
      </c>
      <c r="B6" s="82">
        <f>IW</f>
        <v>144</v>
      </c>
      <c r="C6" s="58"/>
      <c r="D6" s="2" t="s">
        <v>922</v>
      </c>
      <c r="E6" s="82">
        <f>IF(AND(B13=1,B12="TYPEA"),4.625,7.25)</f>
        <v>7.25</v>
      </c>
      <c r="G6" s="53" t="s">
        <v>963</v>
      </c>
      <c r="H6" s="82">
        <f>B7/2</f>
        <v>21</v>
      </c>
      <c r="I6" s="58"/>
      <c r="J6" s="522" t="s">
        <v>1013</v>
      </c>
      <c r="K6" s="523">
        <v>1</v>
      </c>
    </row>
    <row r="7" spans="1:11" ht="12" customHeight="1" x14ac:dyDescent="0.2">
      <c r="A7" s="55" t="s">
        <v>923</v>
      </c>
      <c r="B7" s="82">
        <f>ROUNDUP(((SQRT((B5*B6)))*2)/7,0)</f>
        <v>42</v>
      </c>
      <c r="C7" s="58"/>
      <c r="D7" s="548" t="s">
        <v>926</v>
      </c>
      <c r="E7" s="549"/>
      <c r="G7" s="53" t="s">
        <v>965</v>
      </c>
      <c r="H7" s="82">
        <f>IF(OR(B18=1,B18=3),B10+B21+B22,B10+B21-B22)</f>
        <v>88.627499999999998</v>
      </c>
      <c r="I7" s="58"/>
      <c r="J7" s="522" t="s">
        <v>1014</v>
      </c>
      <c r="K7" s="523">
        <f>K6/2</f>
        <v>0.5</v>
      </c>
    </row>
    <row r="8" spans="1:11" ht="12" customHeight="1" x14ac:dyDescent="0.2">
      <c r="A8" s="55" t="s">
        <v>957</v>
      </c>
      <c r="B8" s="82">
        <f>IF(H16&lt;=12,0.063,0.031)</f>
        <v>3.1E-2</v>
      </c>
      <c r="C8" s="58"/>
      <c r="D8" s="55" t="s">
        <v>838</v>
      </c>
      <c r="E8" s="82" t="str">
        <f>CONCATENATE("Channel",E9,E10)</f>
        <v>Channel811.5</v>
      </c>
      <c r="G8" s="53" t="s">
        <v>969</v>
      </c>
      <c r="H8" s="82" t="str">
        <f>'Hole Sizes'!B7</f>
        <v>0.218</v>
      </c>
      <c r="I8" s="58"/>
      <c r="J8" s="522" t="s">
        <v>1015</v>
      </c>
      <c r="K8" s="523">
        <v>1</v>
      </c>
    </row>
    <row r="9" spans="1:11" ht="12" customHeight="1" x14ac:dyDescent="0.2">
      <c r="A9" s="55" t="s">
        <v>607</v>
      </c>
      <c r="B9" s="82">
        <v>0.31</v>
      </c>
      <c r="C9" s="260"/>
      <c r="D9" s="55" t="s">
        <v>839</v>
      </c>
      <c r="E9" s="82">
        <f>IF(B12="TYPEC",8,6)</f>
        <v>8</v>
      </c>
      <c r="I9" s="58"/>
      <c r="J9" s="522" t="s">
        <v>1016</v>
      </c>
      <c r="K9" s="523">
        <f>IF(OR(MaterialStyle="STL GALV",MaterialStyle="SST304",MaterialStyle="SST316L"),VLOOKUP(CONCATENATE(20,MaterialStyle),'Material List'!$A$8:$S$500,8,FALSE),0.03501)</f>
        <v>3.4009999999999999E-2</v>
      </c>
    </row>
    <row r="10" spans="1:11" ht="12" customHeight="1" x14ac:dyDescent="0.2">
      <c r="A10" s="55" t="s">
        <v>628</v>
      </c>
      <c r="B10" s="82">
        <f>IF(B12="TYPEA",E5+E6+E20,E5+E6+E14+E15)</f>
        <v>8.9375</v>
      </c>
      <c r="C10" s="58"/>
      <c r="D10" s="55" t="s">
        <v>840</v>
      </c>
      <c r="E10" s="82">
        <f>IF(E9=6,8.2,11.5)</f>
        <v>11.5</v>
      </c>
      <c r="G10" s="548" t="s">
        <v>951</v>
      </c>
      <c r="H10" s="549"/>
      <c r="I10" s="58"/>
      <c r="J10" s="522" t="s">
        <v>1033</v>
      </c>
      <c r="K10" s="523" t="str">
        <f>'Hole Sizes'!B7</f>
        <v>0.218</v>
      </c>
    </row>
    <row r="11" spans="1:11" ht="12" customHeight="1" x14ac:dyDescent="0.2">
      <c r="A11" s="55" t="s">
        <v>629</v>
      </c>
      <c r="B11" s="82">
        <f>IF(FAN_X_LOCATION=0,B6/2,FAN_X_LOCATION)</f>
        <v>72</v>
      </c>
      <c r="C11" s="58"/>
      <c r="D11" s="55" t="s">
        <v>841</v>
      </c>
      <c r="E11" s="82">
        <f>VLOOKUP(E8,Steel_List_Table,MATCH(STL_D,Steel_List_Column_Names,0),FALSE)</f>
        <v>2.2599999999999998</v>
      </c>
      <c r="G11" s="53" t="s">
        <v>932</v>
      </c>
      <c r="H11" s="82">
        <f>B5</f>
        <v>144</v>
      </c>
      <c r="I11" s="490"/>
      <c r="J11" s="522" t="s">
        <v>1019</v>
      </c>
      <c r="K11" s="523">
        <f>K6/2</f>
        <v>0.5</v>
      </c>
    </row>
    <row r="12" spans="1:11" ht="12" customHeight="1" x14ac:dyDescent="0.2">
      <c r="A12" s="55" t="s">
        <v>837</v>
      </c>
      <c r="B12" s="82" t="str">
        <f>IF(AND(VALUE(LEFT(FANSIZE,2))&lt;=22,INERTIA="YES"),"TYPEB",IF(FANSIZE&lt;=22,"TYPEA",IF(AND(FANSIZE&gt;22,FANSIZE&lt;=36),"TYPEB",IF(AND(FANSIZE&gt;36,FANSIZE&lt;=55),"TYPEC",IF(FANSIZE&lt;=222,"TYPEA",IF(AND(FANSIZE&gt;222,FANSIZE&lt;=365),"TYPEB",IF(FANSIZE&gt;365,"TYPEC",FALSE)))))))</f>
        <v>TYPEC</v>
      </c>
      <c r="C12" s="266"/>
      <c r="D12" s="550" t="s">
        <v>927</v>
      </c>
      <c r="E12" s="549"/>
      <c r="G12" s="53" t="s">
        <v>931</v>
      </c>
      <c r="H12" s="82">
        <v>2</v>
      </c>
      <c r="I12" s="58"/>
      <c r="J12" s="522" t="s">
        <v>1020</v>
      </c>
      <c r="K12" s="523">
        <f>H41+(H42/2)</f>
        <v>0.75</v>
      </c>
    </row>
    <row r="13" spans="1:11" ht="12" customHeight="1" x14ac:dyDescent="0.2">
      <c r="A13" s="55" t="s">
        <v>872</v>
      </c>
      <c r="B13" s="82">
        <f>ISOLATORDEFLECTION</f>
        <v>2</v>
      </c>
      <c r="C13" s="58"/>
      <c r="D13" s="55" t="s">
        <v>988</v>
      </c>
      <c r="E13" s="92">
        <f>IF(B13=1,1,2)</f>
        <v>2</v>
      </c>
      <c r="G13" s="53" t="s">
        <v>933</v>
      </c>
      <c r="H13" s="82">
        <v>1</v>
      </c>
      <c r="I13" s="58"/>
      <c r="J13" s="522" t="s">
        <v>1029</v>
      </c>
      <c r="K13" s="523">
        <f>ROUNDUP((K4-(2*K12))/10,0)</f>
        <v>9</v>
      </c>
    </row>
    <row r="14" spans="1:11" ht="12" customHeight="1" x14ac:dyDescent="0.2">
      <c r="A14" s="79"/>
      <c r="B14" s="80"/>
      <c r="D14" s="55" t="s">
        <v>852</v>
      </c>
      <c r="E14" s="82">
        <f>VLOOKUP(E13,Isolator_SupAng_Table,MATCH(SUPANG_WT,Isolator_SupAng_Column_Names,0),FALSE)</f>
        <v>0.5</v>
      </c>
      <c r="G14" s="53" t="s">
        <v>994</v>
      </c>
      <c r="H14" s="82">
        <v>2</v>
      </c>
      <c r="I14" s="58"/>
      <c r="J14" s="522" t="s">
        <v>1030</v>
      </c>
      <c r="K14" s="497">
        <f>(K4-(2*K12))/(K13)</f>
        <v>9.4611111111111104</v>
      </c>
    </row>
    <row r="15" spans="1:11" ht="12" customHeight="1" x14ac:dyDescent="0.2">
      <c r="A15" s="56" t="s">
        <v>591</v>
      </c>
      <c r="B15" s="52" t="s">
        <v>592</v>
      </c>
      <c r="C15" s="57"/>
      <c r="D15" s="55" t="s">
        <v>864</v>
      </c>
      <c r="E15" s="82">
        <f>IF(OR(E9=6,E9=8),1,IF(E9=10,3,IF(E9=12, 5,FALSE)))</f>
        <v>1</v>
      </c>
      <c r="G15" s="53" t="s">
        <v>946</v>
      </c>
      <c r="H15" s="82">
        <f>IF(SupFrameThkO&lt;&gt;"-",SupFrameThkO,VLOOKUP(CONCATENATE(H16,MaterialStyle),'Material List'!$A$8:$S$500,8,FALSE))</f>
        <v>5.6009999999999997E-2</v>
      </c>
      <c r="I15" s="58"/>
      <c r="J15" s="53"/>
      <c r="K15" s="519"/>
    </row>
    <row r="16" spans="1:11" ht="12" customHeight="1" x14ac:dyDescent="0.2">
      <c r="A16" s="546" t="s">
        <v>608</v>
      </c>
      <c r="B16" s="547"/>
      <c r="C16" s="58"/>
      <c r="D16" s="550" t="s">
        <v>928</v>
      </c>
      <c r="E16" s="549"/>
      <c r="G16" s="53" t="s">
        <v>947</v>
      </c>
      <c r="H16" s="92">
        <f>IF(SupFrameThkO&lt;&gt;"-","NA",16)</f>
        <v>16</v>
      </c>
      <c r="I16" s="58"/>
      <c r="J16" s="53"/>
      <c r="K16" s="519"/>
    </row>
    <row r="17" spans="1:11" ht="12" customHeight="1" x14ac:dyDescent="0.2">
      <c r="A17" s="288" t="s">
        <v>881</v>
      </c>
      <c r="B17" s="92">
        <f>FANSIZE</f>
        <v>600</v>
      </c>
      <c r="C17" s="58"/>
      <c r="D17" s="55" t="s">
        <v>857</v>
      </c>
      <c r="E17" s="82" t="str">
        <f>CONCATENATE("Angle",E18,E19,E20)</f>
        <v>Angle640.375</v>
      </c>
      <c r="G17" s="522" t="s">
        <v>1058</v>
      </c>
      <c r="H17" s="523">
        <f>E26/2</f>
        <v>59.499999999999993</v>
      </c>
      <c r="I17" s="58"/>
      <c r="J17" s="548" t="s">
        <v>1018</v>
      </c>
      <c r="K17" s="549"/>
    </row>
    <row r="18" spans="1:11" ht="12" customHeight="1" x14ac:dyDescent="0.2">
      <c r="A18" s="288" t="s">
        <v>879</v>
      </c>
      <c r="B18" s="82">
        <f>IF(FANDISCHARGELOC="F",1,IF(FANDISCHARGELOC="FI",2,IF(FANDISCHARGELOC="R",3,IF(FANDISCHARGELOC="RI",4,FALSE))))</f>
        <v>1</v>
      </c>
      <c r="C18" s="58"/>
      <c r="D18" s="55" t="s">
        <v>842</v>
      </c>
      <c r="E18" s="82">
        <v>6</v>
      </c>
      <c r="G18" s="53" t="s">
        <v>968</v>
      </c>
      <c r="H18" s="82" t="str">
        <f>'Hole Sizes'!I11</f>
        <v>0.152</v>
      </c>
      <c r="I18" s="58"/>
      <c r="J18" s="522" t="s">
        <v>1021</v>
      </c>
      <c r="K18" s="525">
        <f>E26-2*(0.125+B8)-2</f>
        <v>116.68799999999999</v>
      </c>
    </row>
    <row r="19" spans="1:11" ht="12" customHeight="1" x14ac:dyDescent="0.2">
      <c r="A19" s="55" t="s">
        <v>875</v>
      </c>
      <c r="B19" s="82">
        <f>VLOOKUP(B17,Fan_Data_Table,MATCH(FAN_A,Fan_Data_Column_Names,0),FALSE)</f>
        <v>63.5</v>
      </c>
      <c r="C19" s="58"/>
      <c r="D19" s="55" t="s">
        <v>843</v>
      </c>
      <c r="E19" s="82">
        <v>4</v>
      </c>
      <c r="G19" s="53" t="s">
        <v>993</v>
      </c>
      <c r="H19" s="82">
        <v>0.5</v>
      </c>
      <c r="I19" s="58"/>
      <c r="J19" s="522" t="s">
        <v>1022</v>
      </c>
      <c r="K19" s="523">
        <f>K18/2</f>
        <v>58.343999999999994</v>
      </c>
    </row>
    <row r="20" spans="1:11" ht="12" customHeight="1" x14ac:dyDescent="0.2">
      <c r="A20" s="55" t="s">
        <v>876</v>
      </c>
      <c r="B20" s="82">
        <f>VLOOKUP(B17,Fan_Data_Table,MATCH(FAN_B,Fan_Data_Column_Names,0),FALSE)</f>
        <v>85</v>
      </c>
      <c r="C20" s="58"/>
      <c r="D20" s="55" t="s">
        <v>844</v>
      </c>
      <c r="E20" s="82">
        <v>0.375</v>
      </c>
      <c r="G20" s="53" t="s">
        <v>966</v>
      </c>
      <c r="H20" s="82">
        <f>H7-(E25/2)+H41</f>
        <v>44.615000000000002</v>
      </c>
      <c r="I20" s="58"/>
      <c r="J20" s="522" t="s">
        <v>1023</v>
      </c>
      <c r="K20" s="523">
        <v>1</v>
      </c>
    </row>
    <row r="21" spans="1:11" ht="12" customHeight="1" x14ac:dyDescent="0.2">
      <c r="A21" s="55" t="s">
        <v>877</v>
      </c>
      <c r="B21" s="82">
        <f>VLOOKUP(B17,Fan_Data_Table,MATCH(FAN_DC,Fan_Data_Column_Names,0),FALSE)</f>
        <v>48</v>
      </c>
      <c r="C21" s="58"/>
      <c r="G21" s="53" t="s">
        <v>967</v>
      </c>
      <c r="H21" s="82">
        <f>H13/2</f>
        <v>0.5</v>
      </c>
      <c r="I21" s="58"/>
      <c r="J21" s="522" t="s">
        <v>1024</v>
      </c>
      <c r="K21" s="523">
        <f>K20/2</f>
        <v>0.5</v>
      </c>
    </row>
    <row r="22" spans="1:11" ht="12" customHeight="1" x14ac:dyDescent="0.2">
      <c r="A22" s="55" t="s">
        <v>878</v>
      </c>
      <c r="B22" s="82">
        <f>VLOOKUP(B17,Fan_Data_Table,MATCH(FAN_Q,Fan_Data_Column_Names,0),FALSE)</f>
        <v>31.69</v>
      </c>
      <c r="C22" s="58"/>
      <c r="D22" s="56" t="s">
        <v>591</v>
      </c>
      <c r="E22" s="97" t="s">
        <v>592</v>
      </c>
      <c r="G22" s="53" t="s">
        <v>979</v>
      </c>
      <c r="H22" s="82">
        <v>2</v>
      </c>
      <c r="I22" s="58"/>
      <c r="J22" s="522" t="s">
        <v>1025</v>
      </c>
      <c r="K22" s="523">
        <v>1</v>
      </c>
    </row>
    <row r="23" spans="1:11" ht="12" customHeight="1" x14ac:dyDescent="0.2">
      <c r="C23" s="58"/>
      <c r="D23" s="546" t="s">
        <v>958</v>
      </c>
      <c r="E23" s="547"/>
      <c r="G23" s="53" t="s">
        <v>978</v>
      </c>
      <c r="H23" s="82">
        <f>E25-H35</f>
        <v>87.399999999999991</v>
      </c>
      <c r="I23" s="260"/>
      <c r="J23" s="522" t="s">
        <v>1026</v>
      </c>
      <c r="K23" s="523">
        <f>IF(OR(MaterialStyle="STL GALV",MaterialStyle="SST304",MaterialStyle="SST316L"),VLOOKUP(CONCATENATE(20,MaterialStyle),'Material List'!$A$8:$S$500,8,FALSE),0.03501)</f>
        <v>3.4009999999999999E-2</v>
      </c>
    </row>
    <row r="24" spans="1:11" ht="12" customHeight="1" x14ac:dyDescent="0.2">
      <c r="C24" s="58"/>
      <c r="D24" s="548" t="s">
        <v>930</v>
      </c>
      <c r="E24" s="549"/>
      <c r="G24" s="53" t="s">
        <v>997</v>
      </c>
      <c r="H24" s="82">
        <f>IF(H15&lt;=0.09,'Hole Sizes'!B35,IF(AND(H15&gt;0.09,H15&lt;0.14),'Hole Sizes'!B36,IF(H15&gt;=0.14,'Hole Sizes'!B37)))</f>
        <v>0.125</v>
      </c>
      <c r="I24" s="58"/>
      <c r="J24" s="522" t="s">
        <v>1034</v>
      </c>
      <c r="K24" s="523" t="str">
        <f>'Hole Sizes'!B7</f>
        <v>0.218</v>
      </c>
    </row>
    <row r="25" spans="1:11" ht="12" customHeight="1" x14ac:dyDescent="0.2">
      <c r="C25" s="58"/>
      <c r="D25" s="53" t="s">
        <v>939</v>
      </c>
      <c r="E25" s="82">
        <f>B19*1.4</f>
        <v>88.899999999999991</v>
      </c>
      <c r="G25" s="522" t="s">
        <v>1059</v>
      </c>
      <c r="H25" s="523">
        <f>H24*2</f>
        <v>0.25</v>
      </c>
      <c r="I25" s="490"/>
      <c r="J25" s="522" t="s">
        <v>1027</v>
      </c>
      <c r="K25" s="523">
        <v>1</v>
      </c>
    </row>
    <row r="26" spans="1:11" ht="12" customHeight="1" x14ac:dyDescent="0.2">
      <c r="C26" s="58"/>
      <c r="D26" s="53" t="s">
        <v>940</v>
      </c>
      <c r="E26" s="82">
        <f>B20*1.4</f>
        <v>118.99999999999999</v>
      </c>
      <c r="G26" s="522" t="s">
        <v>1052</v>
      </c>
      <c r="H26" s="523" t="str">
        <f>'Hole Sizes'!E17</f>
        <v>0.152</v>
      </c>
      <c r="I26" s="58"/>
      <c r="J26" s="522" t="s">
        <v>1028</v>
      </c>
      <c r="K26" s="523">
        <v>0.5</v>
      </c>
    </row>
    <row r="27" spans="1:11" ht="12" customHeight="1" x14ac:dyDescent="0.2">
      <c r="C27" s="58"/>
      <c r="D27" s="53" t="s">
        <v>941</v>
      </c>
      <c r="E27" s="82" t="str">
        <f>"VERTICAL"</f>
        <v>VERTICAL</v>
      </c>
      <c r="G27" s="522" t="s">
        <v>1050</v>
      </c>
      <c r="H27" s="523">
        <f>K45</f>
        <v>0.5</v>
      </c>
      <c r="I27" s="58"/>
      <c r="J27" s="522" t="s">
        <v>1031</v>
      </c>
      <c r="K27" s="523">
        <f>ROUNDUP((K18-(K25*2))/10,0)</f>
        <v>12</v>
      </c>
    </row>
    <row r="28" spans="1:11" ht="12" customHeight="1" x14ac:dyDescent="0.2">
      <c r="C28" s="58"/>
      <c r="D28" s="53" t="s">
        <v>944</v>
      </c>
      <c r="E28" s="82">
        <v>36</v>
      </c>
      <c r="G28" s="522" t="s">
        <v>1051</v>
      </c>
      <c r="H28" s="523">
        <f>K46</f>
        <v>1</v>
      </c>
      <c r="I28" s="58"/>
      <c r="J28" s="522" t="s">
        <v>1032</v>
      </c>
      <c r="K28" s="524">
        <f>ROUNDUP((K18-(K25*2))/K27,5)</f>
        <v>9.5573399999999999</v>
      </c>
    </row>
    <row r="29" spans="1:11" ht="12" customHeight="1" x14ac:dyDescent="0.2">
      <c r="C29" s="58"/>
      <c r="D29" s="53" t="s">
        <v>942</v>
      </c>
      <c r="E29" s="92">
        <f>IF(E27="HORIZONTAL",ROUNDUP(E25/E28,0),1)</f>
        <v>1</v>
      </c>
      <c r="G29" s="522" t="s">
        <v>1053</v>
      </c>
      <c r="H29" s="523">
        <v>2</v>
      </c>
      <c r="I29" s="58"/>
      <c r="J29" s="53"/>
      <c r="K29" s="519"/>
    </row>
    <row r="30" spans="1:11" ht="12" customHeight="1" x14ac:dyDescent="0.2">
      <c r="C30" s="58"/>
      <c r="D30" s="53" t="s">
        <v>943</v>
      </c>
      <c r="E30" s="92">
        <f>IF(AND(E27="VERTICAL",FANSIZE&gt;300),ROUNDUP(E26/E28,0),1)</f>
        <v>4</v>
      </c>
      <c r="I30" s="58"/>
      <c r="J30" s="53"/>
      <c r="K30" s="519"/>
    </row>
    <row r="31" spans="1:11" ht="12" customHeight="1" x14ac:dyDescent="0.2">
      <c r="C31" s="58"/>
      <c r="D31" s="53" t="s">
        <v>938</v>
      </c>
      <c r="E31" s="82">
        <f>IF(E29=1,E25,E25/E29)</f>
        <v>88.899999999999991</v>
      </c>
      <c r="G31" s="548" t="s">
        <v>952</v>
      </c>
      <c r="H31" s="549"/>
      <c r="I31" s="58"/>
      <c r="J31" s="548" t="s">
        <v>1035</v>
      </c>
      <c r="K31" s="549"/>
    </row>
    <row r="32" spans="1:11" ht="12" customHeight="1" x14ac:dyDescent="0.2">
      <c r="C32" s="58"/>
      <c r="D32" s="53" t="s">
        <v>945</v>
      </c>
      <c r="E32" s="82">
        <f>IF(E30=1,E26,E26/E30)</f>
        <v>29.749999999999996</v>
      </c>
      <c r="G32" s="53" t="s">
        <v>934</v>
      </c>
      <c r="H32" s="82">
        <f>E26-H15*2-B8*2</f>
        <v>118.82597999999999</v>
      </c>
      <c r="I32" s="58"/>
      <c r="J32" s="522" t="s">
        <v>1036</v>
      </c>
      <c r="K32" s="497">
        <f>E26</f>
        <v>118.99999999999999</v>
      </c>
    </row>
    <row r="33" spans="3:14" ht="12" customHeight="1" x14ac:dyDescent="0.2">
      <c r="C33" s="58"/>
      <c r="D33" s="53" t="s">
        <v>959</v>
      </c>
      <c r="E33" s="82">
        <f>IF(PerfThkO&lt;&gt;"-",PerfThkO,IF(MaterialStyle="STL GALV",VLOOKUP(CONCATENATE(E34,"GALV PRFH"),'Material List'!$A$8:$S$500,8,FALSE),IF(LEFT(MaterialStyle,3)="SST",VLOOKUP(CONCATENATE(E34,"SST304PB"),'Material List'!$A$8:$S$500,8,FALSE))))</f>
        <v>4.3999999999999997E-2</v>
      </c>
      <c r="G33" s="53" t="s">
        <v>935</v>
      </c>
      <c r="H33" s="82">
        <f>H12-H15*2-B8</f>
        <v>1.8569800000000001</v>
      </c>
      <c r="I33" s="58"/>
      <c r="J33" s="522" t="s">
        <v>1037</v>
      </c>
      <c r="K33" s="523">
        <f>K32/2</f>
        <v>59.499999999999993</v>
      </c>
    </row>
    <row r="34" spans="3:14" ht="12" customHeight="1" x14ac:dyDescent="0.2">
      <c r="C34" s="58"/>
      <c r="D34" s="53" t="s">
        <v>960</v>
      </c>
      <c r="E34" s="92">
        <f>IF(PerfThkO&lt;&gt;"-","NA",18)</f>
        <v>18</v>
      </c>
      <c r="G34" s="53" t="s">
        <v>936</v>
      </c>
      <c r="H34" s="82">
        <v>0.875</v>
      </c>
      <c r="I34" s="260"/>
      <c r="J34" s="522" t="s">
        <v>1038</v>
      </c>
      <c r="K34" s="523">
        <f>4-K37-0.0003</f>
        <v>3.9436899999999997</v>
      </c>
      <c r="N34" s="528"/>
    </row>
    <row r="35" spans="3:14" ht="12" customHeight="1" x14ac:dyDescent="0.2">
      <c r="C35" s="58"/>
      <c r="G35" s="53" t="s">
        <v>937</v>
      </c>
      <c r="H35" s="82">
        <v>1.5</v>
      </c>
      <c r="I35" s="58"/>
      <c r="J35" s="522" t="s">
        <v>1039</v>
      </c>
      <c r="K35" s="523">
        <f>K34/2</f>
        <v>1.9718449999999998</v>
      </c>
    </row>
    <row r="36" spans="3:14" ht="12" customHeight="1" x14ac:dyDescent="0.2">
      <c r="C36" s="58"/>
      <c r="G36" s="53" t="s">
        <v>949</v>
      </c>
      <c r="H36" s="82">
        <f>IF(SupFrameThkO&lt;&gt;"-",SupFrameThkO,VLOOKUP(CONCATENATE(H37,MaterialStyle),'Material List'!$A$8:$S$500,8,FALSE))</f>
        <v>5.6009999999999997E-2</v>
      </c>
      <c r="I36" s="490"/>
      <c r="J36" s="522" t="s">
        <v>1040</v>
      </c>
      <c r="K36" s="523">
        <v>2</v>
      </c>
    </row>
    <row r="37" spans="3:14" ht="12" customHeight="1" x14ac:dyDescent="0.2">
      <c r="C37" s="58"/>
      <c r="G37" s="53" t="s">
        <v>948</v>
      </c>
      <c r="H37" s="92">
        <f>H16</f>
        <v>16</v>
      </c>
      <c r="I37" s="58"/>
      <c r="J37" s="522" t="s">
        <v>1041</v>
      </c>
      <c r="K37" s="523">
        <f>IF(SupFrameThkO&lt;&gt;"-",SupFrameThkO,VLOOKUP(CONCATENATE(H37,MaterialStyle),'Material List'!$A$8:$S$500,8,FALSE))</f>
        <v>5.6009999999999997E-2</v>
      </c>
    </row>
    <row r="38" spans="3:14" ht="12" customHeight="1" x14ac:dyDescent="0.2">
      <c r="C38" s="58"/>
      <c r="G38" s="522" t="s">
        <v>1060</v>
      </c>
      <c r="H38" s="523">
        <f>E25/2</f>
        <v>44.449999999999996</v>
      </c>
      <c r="I38" s="58"/>
      <c r="J38" s="522" t="s">
        <v>1057</v>
      </c>
      <c r="K38" s="497">
        <f>H14+B8</f>
        <v>2.0310000000000001</v>
      </c>
    </row>
    <row r="39" spans="3:14" ht="12" customHeight="1" x14ac:dyDescent="0.2">
      <c r="C39" s="58"/>
      <c r="G39" s="53" t="s">
        <v>970</v>
      </c>
      <c r="H39" s="82" t="str">
        <f>'Hole Sizes'!I12</f>
        <v>0.152</v>
      </c>
      <c r="I39" s="58"/>
      <c r="J39" s="522" t="s">
        <v>1042</v>
      </c>
      <c r="K39" s="523" t="str">
        <f>'Hole Sizes'!B7</f>
        <v>0.218</v>
      </c>
    </row>
    <row r="40" spans="3:14" ht="12" customHeight="1" x14ac:dyDescent="0.2">
      <c r="C40" s="58"/>
      <c r="G40" s="53" t="s">
        <v>971</v>
      </c>
      <c r="H40" s="82">
        <f>H21-H15-B8</f>
        <v>0.41298999999999997</v>
      </c>
      <c r="I40" s="58"/>
      <c r="J40" s="522" t="s">
        <v>1043</v>
      </c>
      <c r="K40" s="523">
        <v>2</v>
      </c>
    </row>
    <row r="41" spans="3:14" ht="12" customHeight="1" x14ac:dyDescent="0.2">
      <c r="C41" s="58"/>
      <c r="G41" s="53" t="s">
        <v>972</v>
      </c>
      <c r="H41" s="82">
        <f>H34/2</f>
        <v>0.4375</v>
      </c>
      <c r="I41" s="58"/>
      <c r="J41" s="522" t="s">
        <v>1046</v>
      </c>
      <c r="K41" s="523">
        <f>K36/2</f>
        <v>1</v>
      </c>
    </row>
    <row r="42" spans="3:14" ht="12" customHeight="1" x14ac:dyDescent="0.2">
      <c r="C42" s="58"/>
      <c r="G42" s="53" t="s">
        <v>973</v>
      </c>
      <c r="H42" s="82">
        <f>H35-H41*2</f>
        <v>0.625</v>
      </c>
      <c r="I42" s="58"/>
      <c r="J42" s="522" t="s">
        <v>1045</v>
      </c>
      <c r="K42" s="523">
        <f>ROUNDUP((K32-(2*(K40+K36+B8)))/10,0)</f>
        <v>12</v>
      </c>
    </row>
    <row r="43" spans="3:14" ht="12" customHeight="1" x14ac:dyDescent="0.2">
      <c r="C43" s="58"/>
      <c r="G43" s="79"/>
      <c r="H43" s="529"/>
      <c r="I43" s="58"/>
      <c r="J43" s="522" t="s">
        <v>1044</v>
      </c>
      <c r="K43" s="523">
        <f>(K32-(2*(K40+K36+B8)))/K42</f>
        <v>9.2448333333333323</v>
      </c>
    </row>
    <row r="44" spans="3:14" ht="12" customHeight="1" x14ac:dyDescent="0.2">
      <c r="C44" s="58"/>
      <c r="G44" s="520" t="s">
        <v>950</v>
      </c>
      <c r="H44" s="521"/>
      <c r="I44" s="58"/>
      <c r="J44" s="522" t="s">
        <v>1047</v>
      </c>
      <c r="K44" s="523" t="str">
        <f>'Hole Sizes'!B7</f>
        <v>0.218</v>
      </c>
    </row>
    <row r="45" spans="3:14" ht="12" customHeight="1" x14ac:dyDescent="0.2">
      <c r="C45" s="58"/>
      <c r="G45" s="53" t="s">
        <v>982</v>
      </c>
      <c r="H45" s="92">
        <f>ROUNDUP(H32/36,0)-1</f>
        <v>3</v>
      </c>
      <c r="I45" s="58"/>
      <c r="J45" s="522" t="s">
        <v>1048</v>
      </c>
      <c r="K45" s="523">
        <v>0.5</v>
      </c>
    </row>
    <row r="46" spans="3:14" ht="12" customHeight="1" x14ac:dyDescent="0.2">
      <c r="C46" s="58"/>
      <c r="G46" s="53" t="s">
        <v>954</v>
      </c>
      <c r="H46" s="82">
        <f>E25-H36*2-B8*2</f>
        <v>88.725979999999993</v>
      </c>
      <c r="I46" s="58"/>
      <c r="J46" s="522" t="s">
        <v>1049</v>
      </c>
      <c r="K46" s="523">
        <v>1</v>
      </c>
    </row>
    <row r="47" spans="3:14" ht="12" customHeight="1" x14ac:dyDescent="0.2">
      <c r="C47" s="58"/>
      <c r="G47" s="53" t="s">
        <v>953</v>
      </c>
      <c r="H47" s="82">
        <f>H12</f>
        <v>2</v>
      </c>
      <c r="I47" s="58"/>
      <c r="J47" s="53"/>
      <c r="K47" s="519"/>
    </row>
    <row r="48" spans="3:14" ht="12" customHeight="1" x14ac:dyDescent="0.2">
      <c r="C48" s="58"/>
      <c r="G48" s="53" t="s">
        <v>980</v>
      </c>
      <c r="H48" s="82">
        <f>H34</f>
        <v>0.875</v>
      </c>
      <c r="I48" s="4"/>
    </row>
    <row r="49" spans="3:9" ht="12" customHeight="1" x14ac:dyDescent="0.2">
      <c r="C49" s="58"/>
      <c r="G49" s="53" t="s">
        <v>981</v>
      </c>
      <c r="H49" s="82">
        <f>H35</f>
        <v>1.5</v>
      </c>
      <c r="I49" s="4"/>
    </row>
    <row r="50" spans="3:9" ht="12" customHeight="1" x14ac:dyDescent="0.2">
      <c r="G50" s="53" t="s">
        <v>974</v>
      </c>
      <c r="H50" s="82" t="str">
        <f>'Hole Sizes'!I13</f>
        <v>0.152</v>
      </c>
      <c r="I50" s="58"/>
    </row>
    <row r="51" spans="3:9" ht="12" customHeight="1" x14ac:dyDescent="0.2">
      <c r="C51" s="57"/>
      <c r="G51" s="53" t="s">
        <v>983</v>
      </c>
      <c r="H51" s="82">
        <f>H41-H36-B8</f>
        <v>0.35048999999999997</v>
      </c>
    </row>
    <row r="52" spans="3:9" ht="12" customHeight="1" x14ac:dyDescent="0.2">
      <c r="C52" s="58"/>
      <c r="G52" s="53" t="s">
        <v>984</v>
      </c>
      <c r="H52" s="82">
        <f>H41</f>
        <v>0.4375</v>
      </c>
    </row>
    <row r="53" spans="3:9" ht="12" customHeight="1" x14ac:dyDescent="0.2">
      <c r="C53" s="58"/>
      <c r="G53" s="53" t="s">
        <v>985</v>
      </c>
      <c r="H53" s="82">
        <f>H49-H52*2</f>
        <v>0.625</v>
      </c>
    </row>
    <row r="54" spans="3:9" ht="12" customHeight="1" x14ac:dyDescent="0.2">
      <c r="C54" s="58"/>
      <c r="G54" s="53" t="s">
        <v>986</v>
      </c>
      <c r="H54" s="82">
        <f>IF(H45=0,1,H45)</f>
        <v>3</v>
      </c>
    </row>
    <row r="55" spans="3:9" ht="12" customHeight="1" x14ac:dyDescent="0.2">
      <c r="C55" s="58"/>
      <c r="G55" s="53" t="s">
        <v>987</v>
      </c>
      <c r="H55" s="82">
        <f>H32/(H54+1)</f>
        <v>29.706494999999997</v>
      </c>
    </row>
    <row r="56" spans="3:9" ht="12" customHeight="1" x14ac:dyDescent="0.2">
      <c r="C56" s="58"/>
      <c r="G56" s="53" t="s">
        <v>955</v>
      </c>
      <c r="H56" s="82">
        <f>IF(SupFrameThkO&lt;&gt;"-",SupFrameThkO,VLOOKUP(CONCATENATE(H57,MaterialStyle),'Material List'!$A$8:$S$500,8,FALSE))</f>
        <v>5.6009999999999997E-2</v>
      </c>
    </row>
    <row r="57" spans="3:9" ht="12" customHeight="1" x14ac:dyDescent="0.2">
      <c r="C57" s="58"/>
      <c r="G57" s="53" t="s">
        <v>956</v>
      </c>
      <c r="H57" s="92">
        <f>H16</f>
        <v>16</v>
      </c>
    </row>
    <row r="58" spans="3:9" ht="12" customHeight="1" x14ac:dyDescent="0.2">
      <c r="C58" s="58"/>
    </row>
    <row r="59" spans="3:9" ht="12" customHeight="1" x14ac:dyDescent="0.2">
      <c r="C59" s="58"/>
    </row>
    <row r="60" spans="3:9" ht="12" customHeight="1" x14ac:dyDescent="0.2">
      <c r="C60" s="58"/>
    </row>
    <row r="61" spans="3:9" ht="12" customHeight="1" x14ac:dyDescent="0.2">
      <c r="C61" s="58"/>
    </row>
    <row r="62" spans="3:9" ht="12" customHeight="1" x14ac:dyDescent="0.2">
      <c r="C62" s="58"/>
    </row>
    <row r="63" spans="3:9" ht="12" customHeight="1" x14ac:dyDescent="0.2">
      <c r="C63" s="58"/>
    </row>
    <row r="64" spans="3:9" ht="12" customHeight="1" x14ac:dyDescent="0.2">
      <c r="C64" s="58"/>
    </row>
    <row r="65" spans="3:3" ht="12" customHeight="1" x14ac:dyDescent="0.2">
      <c r="C65" s="58"/>
    </row>
    <row r="66" spans="3:3" ht="12" customHeight="1" x14ac:dyDescent="0.2">
      <c r="C66" s="58"/>
    </row>
    <row r="67" spans="3:3" ht="12" customHeight="1" x14ac:dyDescent="0.2">
      <c r="C67" s="58"/>
    </row>
    <row r="68" spans="3:3" ht="12" customHeight="1" x14ac:dyDescent="0.2">
      <c r="C68" s="58"/>
    </row>
    <row r="69" spans="3:3" ht="12" customHeight="1" x14ac:dyDescent="0.2">
      <c r="C69" s="58"/>
    </row>
    <row r="70" spans="3:3" ht="12" customHeight="1" x14ac:dyDescent="0.2">
      <c r="C70" s="58"/>
    </row>
    <row r="71" spans="3:3" ht="12" customHeight="1" x14ac:dyDescent="0.2">
      <c r="C71" s="58"/>
    </row>
    <row r="72" spans="3:3" ht="12" customHeight="1" x14ac:dyDescent="0.2">
      <c r="C72" s="260"/>
    </row>
  </sheetData>
  <dataConsolidate/>
  <mergeCells count="15">
    <mergeCell ref="J31:K31"/>
    <mergeCell ref="D24:E24"/>
    <mergeCell ref="D12:E12"/>
    <mergeCell ref="D16:E16"/>
    <mergeCell ref="D23:E23"/>
    <mergeCell ref="G31:H31"/>
    <mergeCell ref="A16:B16"/>
    <mergeCell ref="J3:K3"/>
    <mergeCell ref="J17:K17"/>
    <mergeCell ref="A3:B3"/>
    <mergeCell ref="D3:E3"/>
    <mergeCell ref="D7:E7"/>
    <mergeCell ref="D4:E4"/>
    <mergeCell ref="G3:H3"/>
    <mergeCell ref="G10:H10"/>
  </mergeCells>
  <pageMargins left="0.75" right="0.75" top="1" bottom="1" header="0.5" footer="0.5"/>
  <pageSetup orientation="portrait" r:id="rId1"/>
  <headerFooter alignWithMargins="0"/>
  <ignoredErrors>
    <ignoredError sqref="K34" formula="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23"/>
  <sheetViews>
    <sheetView showGridLines="0" topLeftCell="A3" zoomScale="85" zoomScaleNormal="85" workbookViewId="0"/>
  </sheetViews>
  <sheetFormatPr defaultColWidth="9.140625" defaultRowHeight="12.75" x14ac:dyDescent="0.2"/>
  <cols>
    <col min="1" max="1" width="2.7109375" style="68" customWidth="1"/>
    <col min="2" max="2" width="4.28515625" style="68" customWidth="1"/>
    <col min="3" max="3" width="6.85546875" style="68" bestFit="1" customWidth="1"/>
    <col min="4" max="4" width="7.7109375" style="68" bestFit="1" customWidth="1"/>
    <col min="5" max="5" width="10.5703125" style="68" bestFit="1" customWidth="1"/>
    <col min="6" max="7" width="9.140625" style="68" bestFit="1" customWidth="1"/>
    <col min="8" max="8" width="2.7109375" style="68" customWidth="1"/>
    <col min="9" max="9" width="216" style="68" customWidth="1"/>
    <col min="10" max="16384" width="9.140625" style="68"/>
  </cols>
  <sheetData>
    <row r="1" spans="1:8" s="71" customFormat="1" ht="14.25" customHeight="1" thickBot="1" x14ac:dyDescent="0.25">
      <c r="C1" s="72"/>
      <c r="D1" s="73"/>
      <c r="E1" s="73"/>
      <c r="F1" s="72"/>
      <c r="G1" s="74"/>
    </row>
    <row r="2" spans="1:8" ht="43.5" customHeight="1" thickBot="1" x14ac:dyDescent="0.35">
      <c r="A2" s="433"/>
      <c r="B2" s="434"/>
      <c r="C2" s="555" t="s">
        <v>920</v>
      </c>
      <c r="D2" s="556"/>
      <c r="E2" s="556"/>
      <c r="F2" s="556"/>
      <c r="G2" s="557"/>
    </row>
    <row r="3" spans="1:8" s="76" customFormat="1" ht="132.75" customHeight="1" thickBot="1" x14ac:dyDescent="0.35">
      <c r="A3" s="435"/>
      <c r="B3" s="436"/>
      <c r="C3" s="437" t="s">
        <v>0</v>
      </c>
      <c r="D3" s="438" t="s">
        <v>875</v>
      </c>
      <c r="E3" s="438" t="s">
        <v>876</v>
      </c>
      <c r="F3" s="439" t="s">
        <v>877</v>
      </c>
      <c r="G3" s="440" t="s">
        <v>878</v>
      </c>
      <c r="H3" s="412"/>
    </row>
    <row r="4" spans="1:8" s="76" customFormat="1" ht="18.75" x14ac:dyDescent="0.3">
      <c r="A4" s="435"/>
      <c r="B4" s="551" t="s">
        <v>861</v>
      </c>
      <c r="C4" s="441">
        <v>122</v>
      </c>
      <c r="D4" s="442">
        <v>13</v>
      </c>
      <c r="E4" s="443">
        <v>17.440000000000001</v>
      </c>
      <c r="F4" s="443">
        <f>IF(OR(FANDISCHARGELOC="F",FANDISCHARGELOC="R"),10.25,15)</f>
        <v>10.25</v>
      </c>
      <c r="G4" s="444">
        <v>6.44</v>
      </c>
      <c r="H4" s="412"/>
    </row>
    <row r="5" spans="1:8" s="76" customFormat="1" ht="18.75" x14ac:dyDescent="0.3">
      <c r="A5" s="435"/>
      <c r="B5" s="554"/>
      <c r="C5" s="445">
        <v>135</v>
      </c>
      <c r="D5" s="446">
        <v>14.31</v>
      </c>
      <c r="E5" s="447">
        <v>19.440000000000001</v>
      </c>
      <c r="F5" s="447">
        <f>IF(OR(FANDISCHARGELOC="F",FANDISCHARGELOC="R"),11.25,16.25)</f>
        <v>11.25</v>
      </c>
      <c r="G5" s="448">
        <v>7.13</v>
      </c>
      <c r="H5" s="412"/>
    </row>
    <row r="6" spans="1:8" s="76" customFormat="1" ht="18.75" x14ac:dyDescent="0.3">
      <c r="A6" s="435"/>
      <c r="B6" s="552"/>
      <c r="C6" s="449">
        <v>150</v>
      </c>
      <c r="D6" s="450">
        <v>15.88</v>
      </c>
      <c r="E6" s="451">
        <v>21.44</v>
      </c>
      <c r="F6" s="451">
        <f>IF(OR(FANDISCHARGELOC="F",FANDISCHARGELOC="R"),12.25,18)</f>
        <v>12.25</v>
      </c>
      <c r="G6" s="452">
        <v>7.88</v>
      </c>
      <c r="H6" s="412"/>
    </row>
    <row r="7" spans="1:8" s="76" customFormat="1" ht="18.75" x14ac:dyDescent="0.3">
      <c r="A7" s="435"/>
      <c r="B7" s="552"/>
      <c r="C7" s="449">
        <v>165</v>
      </c>
      <c r="D7" s="450">
        <v>17.440000000000001</v>
      </c>
      <c r="E7" s="451">
        <v>23.56</v>
      </c>
      <c r="F7" s="451">
        <f>IF(OR(FANDISCHARGELOC="F",FANDISCHARGELOC="R"),13.5,19.5)</f>
        <v>13.5</v>
      </c>
      <c r="G7" s="452">
        <v>8.69</v>
      </c>
      <c r="H7" s="412"/>
    </row>
    <row r="8" spans="1:8" s="76" customFormat="1" ht="18.75" x14ac:dyDescent="0.3">
      <c r="A8" s="435"/>
      <c r="B8" s="552"/>
      <c r="C8" s="449">
        <v>182</v>
      </c>
      <c r="D8" s="450">
        <v>19.38</v>
      </c>
      <c r="E8" s="451">
        <v>26</v>
      </c>
      <c r="F8" s="451">
        <f>IF(OR(FANDISCHARGELOC="F",FANDISCHARGELOC="R"),14.75,21.5)</f>
        <v>14.75</v>
      </c>
      <c r="G8" s="452">
        <v>9.6300000000000008</v>
      </c>
      <c r="H8" s="412"/>
    </row>
    <row r="9" spans="1:8" s="76" customFormat="1" ht="18.75" x14ac:dyDescent="0.3">
      <c r="A9" s="435"/>
      <c r="B9" s="552"/>
      <c r="C9" s="449">
        <v>200</v>
      </c>
      <c r="D9" s="450">
        <v>21.19</v>
      </c>
      <c r="E9" s="451">
        <v>28.5</v>
      </c>
      <c r="F9" s="451">
        <f>IF(OR(FANDISCHARGELOC="F",FANDISCHARGELOC="R"),16.25,23.5)</f>
        <v>16.25</v>
      </c>
      <c r="G9" s="452">
        <v>10.56</v>
      </c>
      <c r="H9" s="412"/>
    </row>
    <row r="10" spans="1:8" s="76" customFormat="1" ht="19.5" thickBot="1" x14ac:dyDescent="0.35">
      <c r="A10" s="435"/>
      <c r="B10" s="558"/>
      <c r="C10" s="453">
        <v>222</v>
      </c>
      <c r="D10" s="454">
        <v>23.56</v>
      </c>
      <c r="E10" s="455">
        <v>31.63</v>
      </c>
      <c r="F10" s="455">
        <f>IF(OR(FANDISCHARGELOC="F",FANDISCHARGELOC="R"),18,26)</f>
        <v>18</v>
      </c>
      <c r="G10" s="456">
        <v>11.75</v>
      </c>
      <c r="H10" s="412"/>
    </row>
    <row r="11" spans="1:8" s="76" customFormat="1" ht="18.75" x14ac:dyDescent="0.3">
      <c r="A11" s="435"/>
      <c r="B11" s="551" t="s">
        <v>862</v>
      </c>
      <c r="C11" s="457">
        <v>245</v>
      </c>
      <c r="D11" s="458">
        <v>25.94</v>
      </c>
      <c r="E11" s="459">
        <v>34.81</v>
      </c>
      <c r="F11" s="459">
        <f>IF(OR(FANDISCHARGELOC="F",FANDISCHARGELOC="R"),20,28.25)</f>
        <v>20</v>
      </c>
      <c r="G11" s="460">
        <v>12.94</v>
      </c>
      <c r="H11" s="411"/>
    </row>
    <row r="12" spans="1:8" s="69" customFormat="1" ht="18.75" x14ac:dyDescent="0.3">
      <c r="A12" s="461"/>
      <c r="B12" s="552"/>
      <c r="C12" s="462">
        <v>270</v>
      </c>
      <c r="D12" s="463">
        <v>28.63</v>
      </c>
      <c r="E12" s="464">
        <v>38.25</v>
      </c>
      <c r="F12" s="464">
        <f>IF(OR(FANDISCHARGELOC="F",FANDISCHARGELOC="R"),22,31)</f>
        <v>22</v>
      </c>
      <c r="G12" s="465">
        <v>14.25</v>
      </c>
      <c r="H12" s="413"/>
    </row>
    <row r="13" spans="1:8" s="69" customFormat="1" ht="18.75" x14ac:dyDescent="0.3">
      <c r="A13" s="461"/>
      <c r="B13" s="552"/>
      <c r="C13" s="466">
        <v>300</v>
      </c>
      <c r="D13" s="463">
        <v>31.81</v>
      </c>
      <c r="E13" s="467">
        <v>42.69</v>
      </c>
      <c r="F13" s="467">
        <f>IF(OR(FANDISCHARGELOC="F",FANDISCHARGELOC="R"),24.5,34.25)</f>
        <v>24.5</v>
      </c>
      <c r="G13" s="468">
        <v>15.81</v>
      </c>
      <c r="H13" s="413"/>
    </row>
    <row r="14" spans="1:8" s="69" customFormat="1" ht="18.75" x14ac:dyDescent="0.3">
      <c r="A14" s="461"/>
      <c r="B14" s="552"/>
      <c r="C14" s="466">
        <v>330</v>
      </c>
      <c r="D14" s="463">
        <v>35.130000000000003</v>
      </c>
      <c r="E14" s="467">
        <v>46.69</v>
      </c>
      <c r="F14" s="467">
        <f>IF(OR(FANDISCHARGELOC="F",FANDISCHARGELOC="R"),27,37.25)</f>
        <v>27</v>
      </c>
      <c r="G14" s="468">
        <v>17.5</v>
      </c>
      <c r="H14" s="413"/>
    </row>
    <row r="15" spans="1:8" s="69" customFormat="1" ht="19.5" thickBot="1" x14ac:dyDescent="0.35">
      <c r="A15" s="461"/>
      <c r="B15" s="553"/>
      <c r="C15" s="469">
        <v>365</v>
      </c>
      <c r="D15" s="470">
        <v>38.69</v>
      </c>
      <c r="E15" s="471">
        <v>51.81</v>
      </c>
      <c r="F15" s="471">
        <f>IF(OR(FANDISCHARGELOC="F",FANDISCHARGELOC="R"),29.5,41)</f>
        <v>29.5</v>
      </c>
      <c r="G15" s="472">
        <v>19.25</v>
      </c>
      <c r="H15" s="413"/>
    </row>
    <row r="16" spans="1:8" s="69" customFormat="1" ht="18.75" x14ac:dyDescent="0.3">
      <c r="A16" s="461"/>
      <c r="B16" s="554" t="s">
        <v>863</v>
      </c>
      <c r="C16" s="473">
        <v>402</v>
      </c>
      <c r="D16" s="474">
        <v>42.63</v>
      </c>
      <c r="E16" s="475">
        <v>57.19</v>
      </c>
      <c r="F16" s="475">
        <f>IF(OR(FANDISCHARGELOC="F",FANDISCHARGELOC="R"),33,45.5)</f>
        <v>33</v>
      </c>
      <c r="G16" s="476">
        <v>21.25</v>
      </c>
      <c r="H16" s="413"/>
    </row>
    <row r="17" spans="1:8" s="69" customFormat="1" ht="18.75" x14ac:dyDescent="0.3">
      <c r="A17" s="461"/>
      <c r="B17" s="552"/>
      <c r="C17" s="477">
        <v>445</v>
      </c>
      <c r="D17" s="478">
        <v>47.13</v>
      </c>
      <c r="E17" s="479">
        <v>63.13</v>
      </c>
      <c r="F17" s="479">
        <f>IF(OR(FANDISCHARGELOC="F",FANDISCHARGELOC="R"),35.5,50)</f>
        <v>35.5</v>
      </c>
      <c r="G17" s="480">
        <v>23.5</v>
      </c>
      <c r="H17" s="413"/>
    </row>
    <row r="18" spans="1:8" s="69" customFormat="1" ht="18.75" x14ac:dyDescent="0.3">
      <c r="A18" s="461"/>
      <c r="B18" s="552"/>
      <c r="C18" s="477">
        <v>490</v>
      </c>
      <c r="D18" s="478">
        <v>51.94</v>
      </c>
      <c r="E18" s="479">
        <v>69.44</v>
      </c>
      <c r="F18" s="479">
        <f>IF(OR(FANDISCHARGELOC="F",FANDISCHARGELOC="R"),39,54.75)</f>
        <v>39</v>
      </c>
      <c r="G18" s="480">
        <v>25.88</v>
      </c>
      <c r="H18" s="413"/>
    </row>
    <row r="19" spans="1:8" s="69" customFormat="1" ht="18.75" x14ac:dyDescent="0.3">
      <c r="A19" s="461"/>
      <c r="B19" s="552"/>
      <c r="C19" s="477">
        <v>542</v>
      </c>
      <c r="D19" s="478">
        <v>57.38</v>
      </c>
      <c r="E19" s="479">
        <v>76.94</v>
      </c>
      <c r="F19" s="479">
        <f>IF(OR(FANDISCHARGELOC="F",FANDISCHARGELOC="R"),43.5,60.25)</f>
        <v>43.5</v>
      </c>
      <c r="G19" s="480">
        <v>28.63</v>
      </c>
      <c r="H19" s="413"/>
    </row>
    <row r="20" spans="1:8" s="69" customFormat="1" ht="18.75" x14ac:dyDescent="0.3">
      <c r="A20" s="461"/>
      <c r="B20" s="552"/>
      <c r="C20" s="477">
        <v>600</v>
      </c>
      <c r="D20" s="478">
        <v>63.5</v>
      </c>
      <c r="E20" s="479">
        <v>85</v>
      </c>
      <c r="F20" s="479">
        <f>IF(OR(FANDISCHARGELOC="F",FANDISCHARGELOC="R"),48,66.25)</f>
        <v>48</v>
      </c>
      <c r="G20" s="480">
        <v>31.69</v>
      </c>
      <c r="H20" s="414"/>
    </row>
    <row r="21" spans="1:8" s="69" customFormat="1" ht="18.75" x14ac:dyDescent="0.3">
      <c r="A21" s="461"/>
      <c r="B21" s="552"/>
      <c r="C21" s="477">
        <v>660</v>
      </c>
      <c r="D21" s="478">
        <v>69.69</v>
      </c>
      <c r="E21" s="479">
        <v>93.69</v>
      </c>
      <c r="F21" s="479">
        <f>IF(OR(FANDISCHARGELOC="F",FANDISCHARGELOC="R"),52.5,73.25)</f>
        <v>52.5</v>
      </c>
      <c r="G21" s="480">
        <v>34.75</v>
      </c>
      <c r="H21" s="414"/>
    </row>
    <row r="22" spans="1:8" s="69" customFormat="1" ht="19.5" thickBot="1" x14ac:dyDescent="0.35">
      <c r="A22" s="461"/>
      <c r="B22" s="553"/>
      <c r="C22" s="481">
        <v>730</v>
      </c>
      <c r="D22" s="482">
        <v>77.25</v>
      </c>
      <c r="E22" s="483">
        <v>103.38</v>
      </c>
      <c r="F22" s="483">
        <f>IF(OR(FANDISCHARGELOC="F",FANDISCHARGELOC="R"),57,80.75)</f>
        <v>57</v>
      </c>
      <c r="G22" s="484">
        <v>38.5</v>
      </c>
      <c r="H22" s="414"/>
    </row>
    <row r="23" spans="1:8" x14ac:dyDescent="0.2">
      <c r="B23" s="71"/>
      <c r="H23" s="71"/>
    </row>
  </sheetData>
  <mergeCells count="4">
    <mergeCell ref="B11:B15"/>
    <mergeCell ref="B16:B22"/>
    <mergeCell ref="C2:G2"/>
    <mergeCell ref="B4:B10"/>
  </mergeCells>
  <pageMargins left="0.7" right="0.7" top="0.75" bottom="0.75" header="0.3" footer="0.3"/>
  <pageSetup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B1:I69"/>
  <sheetViews>
    <sheetView showGridLines="0" zoomScale="85" zoomScaleNormal="85" workbookViewId="0">
      <selection activeCell="B2" sqref="B2:G3"/>
    </sheetView>
  </sheetViews>
  <sheetFormatPr defaultColWidth="9.140625" defaultRowHeight="12.75" x14ac:dyDescent="0.2"/>
  <cols>
    <col min="1" max="1" width="1" style="5" customWidth="1"/>
    <col min="2" max="2" width="22.28515625" style="5" bestFit="1" customWidth="1"/>
    <col min="3" max="3" width="12.7109375" style="5" bestFit="1" customWidth="1"/>
    <col min="4" max="4" width="18.140625" style="5" bestFit="1" customWidth="1"/>
    <col min="5" max="5" width="14.42578125" style="5" bestFit="1" customWidth="1"/>
    <col min="6" max="6" width="19.42578125" style="5" bestFit="1" customWidth="1"/>
    <col min="7" max="7" width="6.42578125" style="5" customWidth="1"/>
    <col min="8" max="8" width="26.5703125" style="5" bestFit="1" customWidth="1"/>
    <col min="9" max="9" width="4.7109375" style="5" customWidth="1"/>
    <col min="10" max="10" width="27.85546875" style="5" customWidth="1"/>
    <col min="11" max="16384" width="9.140625" style="5"/>
  </cols>
  <sheetData>
    <row r="1" spans="2:9" ht="6" customHeight="1" thickBot="1" x14ac:dyDescent="0.25"/>
    <row r="2" spans="2:9" ht="12.75" customHeight="1" x14ac:dyDescent="0.2">
      <c r="B2" s="561" t="s">
        <v>526</v>
      </c>
      <c r="C2" s="562"/>
      <c r="D2" s="562"/>
      <c r="E2" s="562"/>
      <c r="F2" s="562"/>
      <c r="G2" s="563"/>
    </row>
    <row r="3" spans="2:9" ht="33" customHeight="1" thickBot="1" x14ac:dyDescent="0.25">
      <c r="B3" s="564"/>
      <c r="C3" s="565"/>
      <c r="D3" s="565"/>
      <c r="E3" s="565"/>
      <c r="F3" s="565"/>
      <c r="G3" s="566"/>
    </row>
    <row r="4" spans="2:9" ht="8.25" customHeight="1" thickBot="1" x14ac:dyDescent="0.25">
      <c r="B4" s="15"/>
      <c r="C4" s="15"/>
      <c r="D4" s="15"/>
      <c r="E4" s="15"/>
      <c r="F4" s="15"/>
      <c r="G4" s="15"/>
    </row>
    <row r="5" spans="2:9" ht="13.5" thickBot="1" x14ac:dyDescent="0.25">
      <c r="B5" s="237" t="s">
        <v>527</v>
      </c>
      <c r="C5" s="237" t="s">
        <v>528</v>
      </c>
      <c r="D5" s="237" t="s">
        <v>529</v>
      </c>
      <c r="E5" s="237" t="s">
        <v>530</v>
      </c>
      <c r="F5" s="238" t="s">
        <v>531</v>
      </c>
      <c r="G5" s="570" t="s">
        <v>532</v>
      </c>
      <c r="H5" s="422"/>
    </row>
    <row r="6" spans="2:9" ht="12.95" customHeight="1" x14ac:dyDescent="0.2">
      <c r="B6" s="251" t="s">
        <v>533</v>
      </c>
      <c r="C6" s="240">
        <f>'Excel Calcs'!B7/2</f>
        <v>21</v>
      </c>
      <c r="D6" s="240">
        <f>'Excel Calcs'!H4-('Excel Calcs'!E26/2)+'Excel Calcs'!H19</f>
        <v>13.000000000000007</v>
      </c>
      <c r="E6" s="240">
        <v>2</v>
      </c>
      <c r="F6" s="240">
        <f>'Excel Calcs'!H14-'Excel Calcs'!H19*2</f>
        <v>1</v>
      </c>
      <c r="G6" s="571"/>
      <c r="H6" s="498" t="s">
        <v>995</v>
      </c>
      <c r="I6" s="420"/>
    </row>
    <row r="7" spans="2:9" ht="12.95" customHeight="1" x14ac:dyDescent="0.2">
      <c r="B7" s="252" t="s">
        <v>534</v>
      </c>
      <c r="C7" s="243">
        <f>FLOOR_CHAN_1_Z_LOC</f>
        <v>21</v>
      </c>
      <c r="D7" s="243">
        <f>'Excel Calcs'!H4+('Excel Calcs'!E26/2)-'Excel Calcs'!H14+'Excel Calcs'!H19</f>
        <v>130</v>
      </c>
      <c r="E7" s="243">
        <v>2</v>
      </c>
      <c r="F7" s="243">
        <f>FLOOR_CHAN_1_X_ARRAY_SPACING</f>
        <v>1</v>
      </c>
      <c r="G7" s="571"/>
      <c r="H7" s="498" t="s">
        <v>996</v>
      </c>
    </row>
    <row r="8" spans="2:9" ht="12.95" customHeight="1" x14ac:dyDescent="0.2">
      <c r="B8" s="252" t="s">
        <v>535</v>
      </c>
      <c r="C8" s="243">
        <v>0</v>
      </c>
      <c r="D8" s="243">
        <v>0</v>
      </c>
      <c r="E8" s="243">
        <v>0</v>
      </c>
      <c r="F8" s="243">
        <v>0</v>
      </c>
      <c r="G8" s="571"/>
      <c r="H8" s="257" t="s">
        <v>548</v>
      </c>
    </row>
    <row r="9" spans="2:9" ht="12.95" customHeight="1" x14ac:dyDescent="0.2">
      <c r="B9" s="252" t="s">
        <v>536</v>
      </c>
      <c r="C9" s="243">
        <v>0</v>
      </c>
      <c r="D9" s="243">
        <v>0</v>
      </c>
      <c r="E9" s="243">
        <v>0</v>
      </c>
      <c r="F9" s="243">
        <v>0</v>
      </c>
      <c r="G9" s="571"/>
      <c r="H9" s="257" t="s">
        <v>548</v>
      </c>
    </row>
    <row r="10" spans="2:9" ht="12.95" customHeight="1" x14ac:dyDescent="0.2">
      <c r="B10" s="252" t="s">
        <v>537</v>
      </c>
      <c r="C10" s="243">
        <v>0</v>
      </c>
      <c r="D10" s="243">
        <v>0</v>
      </c>
      <c r="E10" s="243">
        <v>0</v>
      </c>
      <c r="F10" s="243">
        <v>0</v>
      </c>
      <c r="G10" s="571"/>
      <c r="H10" s="257" t="s">
        <v>548</v>
      </c>
      <c r="I10" s="421"/>
    </row>
    <row r="11" spans="2:9" ht="12.95" customHeight="1" x14ac:dyDescent="0.2">
      <c r="B11" s="252" t="s">
        <v>538</v>
      </c>
      <c r="C11" s="243">
        <v>0</v>
      </c>
      <c r="D11" s="258">
        <v>0</v>
      </c>
      <c r="E11" s="243">
        <v>0</v>
      </c>
      <c r="F11" s="243">
        <v>0</v>
      </c>
      <c r="G11" s="571"/>
      <c r="H11" s="257" t="s">
        <v>548</v>
      </c>
      <c r="I11" s="421"/>
    </row>
    <row r="12" spans="2:9" ht="12.95" customHeight="1" x14ac:dyDescent="0.2">
      <c r="B12" s="252" t="s">
        <v>539</v>
      </c>
      <c r="C12" s="243">
        <v>0</v>
      </c>
      <c r="D12" s="258">
        <v>0</v>
      </c>
      <c r="E12" s="243">
        <v>0</v>
      </c>
      <c r="F12" s="243">
        <v>0</v>
      </c>
      <c r="G12" s="571"/>
      <c r="H12" s="257" t="s">
        <v>548</v>
      </c>
      <c r="I12" s="421"/>
    </row>
    <row r="13" spans="2:9" ht="12.95" customHeight="1" x14ac:dyDescent="0.2">
      <c r="B13" s="252" t="s">
        <v>540</v>
      </c>
      <c r="C13" s="243">
        <v>0</v>
      </c>
      <c r="D13" s="258">
        <v>0</v>
      </c>
      <c r="E13" s="243">
        <v>0</v>
      </c>
      <c r="F13" s="243">
        <v>0</v>
      </c>
      <c r="G13" s="571"/>
      <c r="H13" s="257" t="s">
        <v>548</v>
      </c>
      <c r="I13" s="421"/>
    </row>
    <row r="14" spans="2:9" ht="12.95" customHeight="1" x14ac:dyDescent="0.2">
      <c r="B14" s="252" t="s">
        <v>541</v>
      </c>
      <c r="C14" s="243">
        <v>0</v>
      </c>
      <c r="D14" s="258">
        <v>0</v>
      </c>
      <c r="E14" s="243">
        <v>0</v>
      </c>
      <c r="F14" s="243">
        <v>0</v>
      </c>
      <c r="G14" s="571"/>
      <c r="H14" s="257" t="s">
        <v>548</v>
      </c>
      <c r="I14" s="421"/>
    </row>
    <row r="15" spans="2:9" ht="12.95" customHeight="1" x14ac:dyDescent="0.2">
      <c r="B15" s="255" t="s">
        <v>542</v>
      </c>
      <c r="C15" s="243">
        <v>0</v>
      </c>
      <c r="D15" s="258">
        <v>0</v>
      </c>
      <c r="E15" s="244">
        <v>0</v>
      </c>
      <c r="F15" s="244">
        <v>0</v>
      </c>
      <c r="G15" s="571"/>
      <c r="H15" s="257" t="s">
        <v>548</v>
      </c>
      <c r="I15" s="421"/>
    </row>
    <row r="16" spans="2:9" ht="12.95" customHeight="1" x14ac:dyDescent="0.2">
      <c r="B16" s="255" t="s">
        <v>543</v>
      </c>
      <c r="C16" s="243">
        <v>0</v>
      </c>
      <c r="D16" s="258">
        <v>0</v>
      </c>
      <c r="E16" s="243">
        <v>0</v>
      </c>
      <c r="F16" s="244">
        <v>0</v>
      </c>
      <c r="G16" s="572"/>
      <c r="H16" s="257" t="s">
        <v>548</v>
      </c>
      <c r="I16" s="421"/>
    </row>
    <row r="17" spans="2:9" ht="12.95" customHeight="1" x14ac:dyDescent="0.2">
      <c r="B17" s="255" t="s">
        <v>544</v>
      </c>
      <c r="C17" s="243">
        <v>0</v>
      </c>
      <c r="D17" s="258">
        <v>0</v>
      </c>
      <c r="E17" s="244">
        <v>0</v>
      </c>
      <c r="F17" s="244">
        <v>0</v>
      </c>
      <c r="G17" s="572"/>
      <c r="H17" s="257" t="s">
        <v>548</v>
      </c>
      <c r="I17" s="421"/>
    </row>
    <row r="18" spans="2:9" ht="12.95" customHeight="1" x14ac:dyDescent="0.2">
      <c r="B18" s="255" t="s">
        <v>545</v>
      </c>
      <c r="C18" s="243">
        <v>0</v>
      </c>
      <c r="D18" s="258">
        <v>0</v>
      </c>
      <c r="E18" s="243">
        <v>0</v>
      </c>
      <c r="F18" s="244">
        <v>0</v>
      </c>
      <c r="G18" s="572"/>
      <c r="H18" s="257" t="s">
        <v>548</v>
      </c>
      <c r="I18" s="421"/>
    </row>
    <row r="19" spans="2:9" ht="12.95" customHeight="1" x14ac:dyDescent="0.2">
      <c r="B19" s="255" t="s">
        <v>546</v>
      </c>
      <c r="C19" s="243">
        <v>0</v>
      </c>
      <c r="D19" s="258">
        <v>0</v>
      </c>
      <c r="E19" s="244">
        <v>0</v>
      </c>
      <c r="F19" s="244">
        <v>0</v>
      </c>
      <c r="G19" s="572"/>
      <c r="H19" s="257" t="s">
        <v>548</v>
      </c>
      <c r="I19" s="421"/>
    </row>
    <row r="20" spans="2:9" ht="12.95" customHeight="1" x14ac:dyDescent="0.2">
      <c r="B20" s="255" t="s">
        <v>547</v>
      </c>
      <c r="C20" s="244">
        <v>0</v>
      </c>
      <c r="D20" s="243">
        <v>0</v>
      </c>
      <c r="E20" s="243">
        <v>0</v>
      </c>
      <c r="F20" s="244">
        <v>0</v>
      </c>
      <c r="G20" s="572"/>
      <c r="H20" s="257" t="s">
        <v>548</v>
      </c>
      <c r="I20" s="421"/>
    </row>
    <row r="21" spans="2:9" ht="12.95" customHeight="1" x14ac:dyDescent="0.2">
      <c r="B21" s="252" t="s">
        <v>830</v>
      </c>
      <c r="C21" s="243">
        <v>0</v>
      </c>
      <c r="D21" s="243">
        <v>0</v>
      </c>
      <c r="E21" s="243">
        <v>0</v>
      </c>
      <c r="F21" s="243">
        <v>0</v>
      </c>
      <c r="G21" s="573"/>
      <c r="H21" s="257" t="s">
        <v>548</v>
      </c>
      <c r="I21" s="256"/>
    </row>
    <row r="22" spans="2:9" ht="12.95" customHeight="1" x14ac:dyDescent="0.2">
      <c r="B22" s="259" t="s">
        <v>831</v>
      </c>
      <c r="C22" s="258">
        <v>0</v>
      </c>
      <c r="D22" s="258">
        <v>0</v>
      </c>
      <c r="E22" s="258">
        <v>0</v>
      </c>
      <c r="F22" s="258">
        <v>0</v>
      </c>
      <c r="G22" s="573"/>
      <c r="H22" s="257" t="s">
        <v>548</v>
      </c>
      <c r="I22" s="256"/>
    </row>
    <row r="23" spans="2:9" ht="12.95" customHeight="1" x14ac:dyDescent="0.2">
      <c r="B23" s="255" t="s">
        <v>832</v>
      </c>
      <c r="C23" s="243">
        <v>0</v>
      </c>
      <c r="D23" s="243">
        <v>0</v>
      </c>
      <c r="E23" s="243">
        <v>0</v>
      </c>
      <c r="F23" s="243">
        <v>0</v>
      </c>
      <c r="G23" s="573"/>
      <c r="H23" s="257" t="s">
        <v>548</v>
      </c>
      <c r="I23" s="256"/>
    </row>
    <row r="24" spans="2:9" ht="12.95" customHeight="1" x14ac:dyDescent="0.2">
      <c r="B24" s="255" t="s">
        <v>833</v>
      </c>
      <c r="C24" s="243">
        <v>0</v>
      </c>
      <c r="D24" s="243">
        <v>0</v>
      </c>
      <c r="E24" s="243">
        <v>0</v>
      </c>
      <c r="F24" s="243">
        <v>0</v>
      </c>
      <c r="G24" s="573"/>
      <c r="H24" s="257" t="s">
        <v>548</v>
      </c>
      <c r="I24" s="256"/>
    </row>
    <row r="25" spans="2:9" ht="12.95" customHeight="1" thickBot="1" x14ac:dyDescent="0.25">
      <c r="B25" s="255" t="s">
        <v>834</v>
      </c>
      <c r="C25" s="246">
        <v>0</v>
      </c>
      <c r="D25" s="246">
        <v>0</v>
      </c>
      <c r="E25" s="246">
        <v>0</v>
      </c>
      <c r="F25" s="246">
        <v>0</v>
      </c>
      <c r="G25" s="574"/>
      <c r="H25" s="257" t="s">
        <v>548</v>
      </c>
      <c r="I25" s="256"/>
    </row>
    <row r="26" spans="2:9" ht="13.5" thickBot="1" x14ac:dyDescent="0.25">
      <c r="B26" s="247"/>
      <c r="C26" s="248"/>
      <c r="D26" s="248"/>
      <c r="E26" s="248"/>
      <c r="F26" s="248"/>
      <c r="G26" s="249"/>
      <c r="H26" s="226"/>
    </row>
    <row r="27" spans="2:9" ht="12.75" customHeight="1" thickBot="1" x14ac:dyDescent="0.25">
      <c r="B27" s="237" t="s">
        <v>527</v>
      </c>
      <c r="C27" s="237" t="s">
        <v>528</v>
      </c>
      <c r="D27" s="237" t="s">
        <v>529</v>
      </c>
      <c r="E27" s="237" t="s">
        <v>530</v>
      </c>
      <c r="F27" s="250" t="s">
        <v>531</v>
      </c>
      <c r="G27" s="559" t="s">
        <v>549</v>
      </c>
      <c r="H27" s="226"/>
    </row>
    <row r="28" spans="2:9" ht="12.95" customHeight="1" x14ac:dyDescent="0.2">
      <c r="B28" s="251" t="s">
        <v>550</v>
      </c>
      <c r="C28" s="240">
        <f>FLOOR_CHAN_1_Z_LOC</f>
        <v>21</v>
      </c>
      <c r="D28" s="240">
        <f>FLOOR_CHAN_1_X_ARRAY_OFFSET</f>
        <v>13.000000000000007</v>
      </c>
      <c r="E28" s="240">
        <v>2</v>
      </c>
      <c r="F28" s="499">
        <f>'Excel Calcs'!H14-'Excel Calcs'!H19*2</f>
        <v>1</v>
      </c>
      <c r="G28" s="560"/>
      <c r="H28" s="498" t="s">
        <v>995</v>
      </c>
    </row>
    <row r="29" spans="2:9" ht="12.95" customHeight="1" x14ac:dyDescent="0.2">
      <c r="B29" s="252" t="s">
        <v>551</v>
      </c>
      <c r="C29" s="243">
        <f>ROOF_CHAN_1_Z_LOC</f>
        <v>21</v>
      </c>
      <c r="D29" s="243">
        <f>FLOOR_CHAN_2_X_ARRAY_OFFSET</f>
        <v>130</v>
      </c>
      <c r="E29" s="243">
        <v>2</v>
      </c>
      <c r="F29" s="253">
        <f>ROOF_CHAN_1_X_ARRAY_SPACING</f>
        <v>1</v>
      </c>
      <c r="G29" s="560"/>
      <c r="H29" s="498" t="s">
        <v>996</v>
      </c>
    </row>
    <row r="30" spans="2:9" ht="12.95" customHeight="1" x14ac:dyDescent="0.2">
      <c r="B30" s="252" t="s">
        <v>552</v>
      </c>
      <c r="C30" s="243">
        <v>0</v>
      </c>
      <c r="D30" s="243">
        <v>0</v>
      </c>
      <c r="E30" s="243">
        <v>0</v>
      </c>
      <c r="F30" s="253">
        <v>0</v>
      </c>
      <c r="G30" s="560"/>
      <c r="H30" s="241" t="s">
        <v>548</v>
      </c>
    </row>
    <row r="31" spans="2:9" ht="12.95" customHeight="1" x14ac:dyDescent="0.2">
      <c r="B31" s="252" t="s">
        <v>553</v>
      </c>
      <c r="C31" s="243">
        <v>0</v>
      </c>
      <c r="D31" s="243">
        <v>0</v>
      </c>
      <c r="E31" s="243">
        <v>0</v>
      </c>
      <c r="F31" s="253">
        <v>0</v>
      </c>
      <c r="G31" s="560"/>
      <c r="H31" s="241" t="s">
        <v>548</v>
      </c>
    </row>
    <row r="32" spans="2:9" ht="12.95" customHeight="1" x14ac:dyDescent="0.2">
      <c r="B32" s="252" t="s">
        <v>554</v>
      </c>
      <c r="C32" s="243">
        <v>0</v>
      </c>
      <c r="D32" s="243">
        <v>0</v>
      </c>
      <c r="E32" s="243">
        <v>0</v>
      </c>
      <c r="F32" s="253">
        <v>0</v>
      </c>
      <c r="G32" s="560"/>
      <c r="H32" s="241" t="s">
        <v>548</v>
      </c>
    </row>
    <row r="33" spans="2:8" ht="12.95" customHeight="1" x14ac:dyDescent="0.2">
      <c r="B33" s="252" t="s">
        <v>555</v>
      </c>
      <c r="C33" s="243">
        <v>0</v>
      </c>
      <c r="D33" s="243">
        <v>0</v>
      </c>
      <c r="E33" s="243">
        <v>0</v>
      </c>
      <c r="F33" s="253">
        <v>0</v>
      </c>
      <c r="G33" s="560"/>
      <c r="H33" s="241" t="s">
        <v>548</v>
      </c>
    </row>
    <row r="34" spans="2:8" ht="12.95" customHeight="1" x14ac:dyDescent="0.2">
      <c r="B34" s="252" t="s">
        <v>556</v>
      </c>
      <c r="C34" s="243">
        <v>0</v>
      </c>
      <c r="D34" s="243">
        <v>0</v>
      </c>
      <c r="E34" s="243">
        <v>0</v>
      </c>
      <c r="F34" s="253">
        <v>0</v>
      </c>
      <c r="G34" s="560"/>
      <c r="H34" s="241" t="s">
        <v>548</v>
      </c>
    </row>
    <row r="35" spans="2:8" ht="12.95" customHeight="1" x14ac:dyDescent="0.2">
      <c r="B35" s="252" t="s">
        <v>557</v>
      </c>
      <c r="C35" s="243">
        <v>0</v>
      </c>
      <c r="D35" s="243">
        <v>0</v>
      </c>
      <c r="E35" s="243">
        <v>0</v>
      </c>
      <c r="F35" s="253">
        <v>0</v>
      </c>
      <c r="G35" s="560"/>
      <c r="H35" s="241" t="s">
        <v>548</v>
      </c>
    </row>
    <row r="36" spans="2:8" ht="12.95" customHeight="1" x14ac:dyDescent="0.2">
      <c r="B36" s="252" t="s">
        <v>558</v>
      </c>
      <c r="C36" s="243">
        <v>0</v>
      </c>
      <c r="D36" s="243">
        <v>0</v>
      </c>
      <c r="E36" s="243">
        <v>0</v>
      </c>
      <c r="F36" s="253">
        <v>0</v>
      </c>
      <c r="G36" s="560"/>
      <c r="H36" s="241" t="s">
        <v>548</v>
      </c>
    </row>
    <row r="37" spans="2:8" ht="12.95" customHeight="1" x14ac:dyDescent="0.2">
      <c r="B37" s="252" t="s">
        <v>559</v>
      </c>
      <c r="C37" s="243">
        <v>0</v>
      </c>
      <c r="D37" s="243">
        <v>0</v>
      </c>
      <c r="E37" s="244">
        <v>0</v>
      </c>
      <c r="F37" s="254">
        <v>0</v>
      </c>
      <c r="G37" s="560"/>
      <c r="H37" s="241" t="s">
        <v>548</v>
      </c>
    </row>
    <row r="38" spans="2:8" ht="12.95" customHeight="1" x14ac:dyDescent="0.2">
      <c r="B38" s="252" t="s">
        <v>560</v>
      </c>
      <c r="C38" s="243">
        <v>0</v>
      </c>
      <c r="D38" s="243">
        <v>0</v>
      </c>
      <c r="E38" s="244">
        <v>0</v>
      </c>
      <c r="F38" s="254">
        <v>0</v>
      </c>
      <c r="G38" s="567"/>
      <c r="H38" s="241" t="s">
        <v>548</v>
      </c>
    </row>
    <row r="39" spans="2:8" ht="12.95" customHeight="1" x14ac:dyDescent="0.2">
      <c r="B39" s="252" t="s">
        <v>561</v>
      </c>
      <c r="C39" s="243">
        <v>0</v>
      </c>
      <c r="D39" s="243">
        <v>0</v>
      </c>
      <c r="E39" s="244">
        <v>0</v>
      </c>
      <c r="F39" s="254">
        <v>0</v>
      </c>
      <c r="G39" s="567"/>
      <c r="H39" s="241" t="s">
        <v>548</v>
      </c>
    </row>
    <row r="40" spans="2:8" ht="12.95" customHeight="1" x14ac:dyDescent="0.2">
      <c r="B40" s="252" t="s">
        <v>562</v>
      </c>
      <c r="C40" s="243">
        <v>0</v>
      </c>
      <c r="D40" s="243">
        <v>0</v>
      </c>
      <c r="E40" s="244">
        <v>0</v>
      </c>
      <c r="F40" s="254">
        <v>0</v>
      </c>
      <c r="G40" s="567"/>
      <c r="H40" s="241" t="s">
        <v>548</v>
      </c>
    </row>
    <row r="41" spans="2:8" ht="12.95" customHeight="1" x14ac:dyDescent="0.2">
      <c r="B41" s="252" t="s">
        <v>563</v>
      </c>
      <c r="C41" s="243">
        <v>0</v>
      </c>
      <c r="D41" s="243">
        <v>0</v>
      </c>
      <c r="E41" s="244">
        <v>0</v>
      </c>
      <c r="F41" s="254">
        <v>0</v>
      </c>
      <c r="G41" s="567"/>
      <c r="H41" s="241" t="s">
        <v>548</v>
      </c>
    </row>
    <row r="42" spans="2:8" ht="12.95" customHeight="1" thickBot="1" x14ac:dyDescent="0.25">
      <c r="B42" s="252" t="s">
        <v>564</v>
      </c>
      <c r="C42" s="243">
        <v>0</v>
      </c>
      <c r="D42" s="243">
        <v>0</v>
      </c>
      <c r="E42" s="244">
        <v>0</v>
      </c>
      <c r="F42" s="254">
        <v>0</v>
      </c>
      <c r="G42" s="568"/>
      <c r="H42" s="241" t="s">
        <v>548</v>
      </c>
    </row>
    <row r="43" spans="2:8" ht="12.75" customHeight="1" thickBot="1" x14ac:dyDescent="0.25">
      <c r="B43" s="26"/>
      <c r="C43" s="235"/>
      <c r="D43" s="235"/>
      <c r="E43" s="235"/>
      <c r="F43" s="235"/>
      <c r="G43" s="236"/>
      <c r="H43" s="226"/>
    </row>
    <row r="44" spans="2:8" ht="13.5" thickBot="1" x14ac:dyDescent="0.25">
      <c r="B44" s="237" t="s">
        <v>527</v>
      </c>
      <c r="C44" s="237" t="s">
        <v>528</v>
      </c>
      <c r="D44" s="237" t="s">
        <v>565</v>
      </c>
      <c r="E44" s="237" t="s">
        <v>566</v>
      </c>
      <c r="F44" s="238" t="s">
        <v>567</v>
      </c>
      <c r="G44" s="559" t="s">
        <v>568</v>
      </c>
      <c r="H44" s="226"/>
    </row>
    <row r="45" spans="2:8" ht="12.95" customHeight="1" x14ac:dyDescent="0.2">
      <c r="B45" s="239" t="s">
        <v>569</v>
      </c>
      <c r="C45" s="240">
        <v>0</v>
      </c>
      <c r="D45" s="240">
        <v>0</v>
      </c>
      <c r="E45" s="240">
        <v>0</v>
      </c>
      <c r="F45" s="240">
        <v>0</v>
      </c>
      <c r="G45" s="560"/>
      <c r="H45" s="241" t="s">
        <v>548</v>
      </c>
    </row>
    <row r="46" spans="2:8" ht="12.95" customHeight="1" x14ac:dyDescent="0.2">
      <c r="B46" s="242" t="s">
        <v>570</v>
      </c>
      <c r="C46" s="243">
        <v>0</v>
      </c>
      <c r="D46" s="243">
        <v>0</v>
      </c>
      <c r="E46" s="243">
        <v>0</v>
      </c>
      <c r="F46" s="243">
        <v>0</v>
      </c>
      <c r="G46" s="560"/>
      <c r="H46" s="241" t="s">
        <v>548</v>
      </c>
    </row>
    <row r="47" spans="2:8" ht="12.95" customHeight="1" x14ac:dyDescent="0.2">
      <c r="B47" s="242" t="s">
        <v>571</v>
      </c>
      <c r="C47" s="243">
        <v>0</v>
      </c>
      <c r="D47" s="243">
        <v>0</v>
      </c>
      <c r="E47" s="243">
        <v>0</v>
      </c>
      <c r="F47" s="243">
        <v>0</v>
      </c>
      <c r="G47" s="560"/>
      <c r="H47" s="241" t="s">
        <v>548</v>
      </c>
    </row>
    <row r="48" spans="2:8" ht="12.95" customHeight="1" x14ac:dyDescent="0.2">
      <c r="B48" s="242" t="s">
        <v>572</v>
      </c>
      <c r="C48" s="243">
        <v>0</v>
      </c>
      <c r="D48" s="243">
        <v>0</v>
      </c>
      <c r="E48" s="243">
        <v>0</v>
      </c>
      <c r="F48" s="243">
        <v>0</v>
      </c>
      <c r="G48" s="560"/>
      <c r="H48" s="241" t="s">
        <v>548</v>
      </c>
    </row>
    <row r="49" spans="2:8" ht="12.95" customHeight="1" x14ac:dyDescent="0.2">
      <c r="B49" s="242" t="s">
        <v>573</v>
      </c>
      <c r="C49" s="243">
        <v>0</v>
      </c>
      <c r="D49" s="243">
        <v>0</v>
      </c>
      <c r="E49" s="243">
        <v>0</v>
      </c>
      <c r="F49" s="243">
        <v>0</v>
      </c>
      <c r="G49" s="560"/>
      <c r="H49" s="241" t="s">
        <v>548</v>
      </c>
    </row>
    <row r="50" spans="2:8" ht="12.95" customHeight="1" x14ac:dyDescent="0.2">
      <c r="B50" s="242" t="s">
        <v>574</v>
      </c>
      <c r="C50" s="243">
        <v>0</v>
      </c>
      <c r="D50" s="243">
        <v>0</v>
      </c>
      <c r="E50" s="243">
        <v>0</v>
      </c>
      <c r="F50" s="243">
        <v>0</v>
      </c>
      <c r="G50" s="560"/>
      <c r="H50" s="241" t="s">
        <v>548</v>
      </c>
    </row>
    <row r="51" spans="2:8" ht="12.95" customHeight="1" x14ac:dyDescent="0.2">
      <c r="B51" s="242" t="s">
        <v>575</v>
      </c>
      <c r="C51" s="243">
        <v>0</v>
      </c>
      <c r="D51" s="243">
        <v>0</v>
      </c>
      <c r="E51" s="243">
        <v>0</v>
      </c>
      <c r="F51" s="243">
        <v>0</v>
      </c>
      <c r="G51" s="560"/>
      <c r="H51" s="241" t="s">
        <v>548</v>
      </c>
    </row>
    <row r="52" spans="2:8" ht="12.95" customHeight="1" x14ac:dyDescent="0.2">
      <c r="B52" s="242" t="s">
        <v>576</v>
      </c>
      <c r="C52" s="243">
        <v>0</v>
      </c>
      <c r="D52" s="243">
        <v>0</v>
      </c>
      <c r="E52" s="243">
        <v>0</v>
      </c>
      <c r="F52" s="243">
        <v>0</v>
      </c>
      <c r="G52" s="560"/>
      <c r="H52" s="241" t="s">
        <v>548</v>
      </c>
    </row>
    <row r="53" spans="2:8" ht="12.95" customHeight="1" x14ac:dyDescent="0.2">
      <c r="B53" s="242" t="s">
        <v>577</v>
      </c>
      <c r="C53" s="243">
        <v>0</v>
      </c>
      <c r="D53" s="243">
        <v>0</v>
      </c>
      <c r="E53" s="243">
        <v>0</v>
      </c>
      <c r="F53" s="243">
        <v>0</v>
      </c>
      <c r="G53" s="560"/>
      <c r="H53" s="241" t="s">
        <v>548</v>
      </c>
    </row>
    <row r="54" spans="2:8" ht="12.95" customHeight="1" thickBot="1" x14ac:dyDescent="0.25">
      <c r="B54" s="242" t="s">
        <v>578</v>
      </c>
      <c r="C54" s="244">
        <v>0</v>
      </c>
      <c r="D54" s="244">
        <v>0</v>
      </c>
      <c r="E54" s="244">
        <v>0</v>
      </c>
      <c r="F54" s="244">
        <v>0</v>
      </c>
      <c r="G54" s="569"/>
      <c r="H54" s="241" t="s">
        <v>548</v>
      </c>
    </row>
    <row r="55" spans="2:8" ht="13.5" thickBot="1" x14ac:dyDescent="0.25">
      <c r="B55" s="245"/>
      <c r="C55" s="245"/>
      <c r="D55" s="245"/>
      <c r="E55" s="245"/>
      <c r="F55" s="245"/>
      <c r="G55" s="226"/>
      <c r="H55" s="226"/>
    </row>
    <row r="56" spans="2:8" ht="13.5" thickBot="1" x14ac:dyDescent="0.25">
      <c r="B56" s="237" t="s">
        <v>527</v>
      </c>
      <c r="C56" s="237" t="s">
        <v>528</v>
      </c>
      <c r="D56" s="237" t="s">
        <v>565</v>
      </c>
      <c r="E56" s="237" t="s">
        <v>566</v>
      </c>
      <c r="F56" s="238" t="s">
        <v>567</v>
      </c>
      <c r="G56" s="559" t="s">
        <v>579</v>
      </c>
      <c r="H56" s="226"/>
    </row>
    <row r="57" spans="2:8" x14ac:dyDescent="0.2">
      <c r="B57" s="239" t="s">
        <v>580</v>
      </c>
      <c r="C57" s="240">
        <v>0</v>
      </c>
      <c r="D57" s="240">
        <v>0</v>
      </c>
      <c r="E57" s="240">
        <v>0</v>
      </c>
      <c r="F57" s="240">
        <v>0</v>
      </c>
      <c r="G57" s="560"/>
      <c r="H57" s="241" t="s">
        <v>548</v>
      </c>
    </row>
    <row r="58" spans="2:8" x14ac:dyDescent="0.2">
      <c r="B58" s="242" t="s">
        <v>581</v>
      </c>
      <c r="C58" s="243">
        <v>0</v>
      </c>
      <c r="D58" s="243">
        <v>0</v>
      </c>
      <c r="E58" s="243">
        <v>0</v>
      </c>
      <c r="F58" s="243">
        <v>0</v>
      </c>
      <c r="G58" s="560"/>
      <c r="H58" s="241" t="s">
        <v>548</v>
      </c>
    </row>
    <row r="59" spans="2:8" x14ac:dyDescent="0.2">
      <c r="B59" s="242" t="s">
        <v>582</v>
      </c>
      <c r="C59" s="243">
        <v>0</v>
      </c>
      <c r="D59" s="243">
        <v>0</v>
      </c>
      <c r="E59" s="243">
        <v>0</v>
      </c>
      <c r="F59" s="243">
        <v>0</v>
      </c>
      <c r="G59" s="560"/>
      <c r="H59" s="241" t="s">
        <v>548</v>
      </c>
    </row>
    <row r="60" spans="2:8" x14ac:dyDescent="0.2">
      <c r="B60" s="242" t="s">
        <v>583</v>
      </c>
      <c r="C60" s="243">
        <v>0</v>
      </c>
      <c r="D60" s="243">
        <v>0</v>
      </c>
      <c r="E60" s="243">
        <v>0</v>
      </c>
      <c r="F60" s="243">
        <v>0</v>
      </c>
      <c r="G60" s="560"/>
      <c r="H60" s="241" t="s">
        <v>548</v>
      </c>
    </row>
    <row r="61" spans="2:8" x14ac:dyDescent="0.2">
      <c r="B61" s="242" t="s">
        <v>584</v>
      </c>
      <c r="C61" s="243">
        <v>0</v>
      </c>
      <c r="D61" s="243">
        <v>0</v>
      </c>
      <c r="E61" s="243">
        <v>0</v>
      </c>
      <c r="F61" s="243">
        <v>0</v>
      </c>
      <c r="G61" s="560"/>
      <c r="H61" s="241" t="s">
        <v>548</v>
      </c>
    </row>
    <row r="62" spans="2:8" x14ac:dyDescent="0.2">
      <c r="B62" s="242" t="s">
        <v>585</v>
      </c>
      <c r="C62" s="243">
        <v>0</v>
      </c>
      <c r="D62" s="243">
        <v>0</v>
      </c>
      <c r="E62" s="243">
        <v>0</v>
      </c>
      <c r="F62" s="243">
        <v>0</v>
      </c>
      <c r="G62" s="560"/>
      <c r="H62" s="241" t="s">
        <v>548</v>
      </c>
    </row>
    <row r="63" spans="2:8" x14ac:dyDescent="0.2">
      <c r="B63" s="242" t="s">
        <v>586</v>
      </c>
      <c r="C63" s="243">
        <v>0</v>
      </c>
      <c r="D63" s="243">
        <v>0</v>
      </c>
      <c r="E63" s="243">
        <v>0</v>
      </c>
      <c r="F63" s="243">
        <v>0</v>
      </c>
      <c r="G63" s="560"/>
      <c r="H63" s="241" t="s">
        <v>548</v>
      </c>
    </row>
    <row r="64" spans="2:8" x14ac:dyDescent="0.2">
      <c r="B64" s="242" t="s">
        <v>587</v>
      </c>
      <c r="C64" s="243">
        <v>0</v>
      </c>
      <c r="D64" s="243">
        <v>0</v>
      </c>
      <c r="E64" s="243">
        <v>0</v>
      </c>
      <c r="F64" s="243">
        <v>0</v>
      </c>
      <c r="G64" s="560"/>
      <c r="H64" s="241" t="s">
        <v>548</v>
      </c>
    </row>
    <row r="65" spans="2:8" x14ac:dyDescent="0.2">
      <c r="B65" s="242" t="s">
        <v>588</v>
      </c>
      <c r="C65" s="243">
        <v>0</v>
      </c>
      <c r="D65" s="243">
        <v>0</v>
      </c>
      <c r="E65" s="243">
        <v>0</v>
      </c>
      <c r="F65" s="243">
        <v>0</v>
      </c>
      <c r="G65" s="560"/>
      <c r="H65" s="241" t="s">
        <v>548</v>
      </c>
    </row>
    <row r="66" spans="2:8" ht="13.5" thickBot="1" x14ac:dyDescent="0.25">
      <c r="B66" s="242" t="s">
        <v>589</v>
      </c>
      <c r="C66" s="246">
        <v>0</v>
      </c>
      <c r="D66" s="243">
        <v>0</v>
      </c>
      <c r="E66" s="244">
        <v>0</v>
      </c>
      <c r="F66" s="244">
        <v>0</v>
      </c>
      <c r="G66" s="560"/>
      <c r="H66" s="241" t="s">
        <v>548</v>
      </c>
    </row>
    <row r="67" spans="2:8" x14ac:dyDescent="0.2">
      <c r="B67" s="26"/>
      <c r="C67" s="27"/>
      <c r="D67" s="27"/>
      <c r="E67" s="27"/>
      <c r="F67" s="27"/>
      <c r="G67" s="28"/>
    </row>
    <row r="68" spans="2:8" x14ac:dyDescent="0.2">
      <c r="B68" s="29"/>
      <c r="C68" s="29"/>
      <c r="D68" s="29"/>
      <c r="E68" s="29"/>
      <c r="F68" s="29"/>
      <c r="G68" s="29"/>
    </row>
    <row r="69" spans="2:8" x14ac:dyDescent="0.2">
      <c r="B69" s="29"/>
      <c r="C69" s="29"/>
      <c r="D69" s="29"/>
      <c r="E69" s="29"/>
      <c r="F69" s="29"/>
      <c r="G69" s="29"/>
    </row>
  </sheetData>
  <mergeCells count="5">
    <mergeCell ref="G56:G66"/>
    <mergeCell ref="B2:G3"/>
    <mergeCell ref="G27:G42"/>
    <mergeCell ref="G44:G54"/>
    <mergeCell ref="G5:G2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I10"/>
  <sheetViews>
    <sheetView showGridLines="0" zoomScale="85" zoomScaleNormal="85" workbookViewId="0">
      <selection activeCell="C6" sqref="C6"/>
    </sheetView>
  </sheetViews>
  <sheetFormatPr defaultColWidth="9.140625" defaultRowHeight="12.75" x14ac:dyDescent="0.2"/>
  <cols>
    <col min="1" max="1" width="3.140625" style="68" customWidth="1"/>
    <col min="2" max="2" width="12" style="68" customWidth="1"/>
    <col min="3" max="3" width="20.140625" style="68" bestFit="1" customWidth="1"/>
    <col min="4" max="4" width="7.42578125" style="68" bestFit="1" customWidth="1"/>
    <col min="5" max="5" width="7.42578125" style="68" customWidth="1"/>
    <col min="6" max="6" width="10.7109375" style="68" customWidth="1"/>
    <col min="7" max="8" width="3.140625" style="68" bestFit="1" customWidth="1"/>
    <col min="9" max="9" width="5.7109375" style="68" bestFit="1" customWidth="1"/>
    <col min="10" max="11" width="3.140625" style="68" bestFit="1" customWidth="1"/>
    <col min="12" max="16384" width="9.140625" style="68"/>
  </cols>
  <sheetData>
    <row r="1" spans="1:9" ht="13.5" thickBot="1" x14ac:dyDescent="0.25">
      <c r="A1" s="86"/>
      <c r="B1" s="86"/>
      <c r="C1" s="88"/>
      <c r="D1" s="88"/>
      <c r="E1" s="88"/>
      <c r="F1" s="88"/>
      <c r="G1" s="86"/>
    </row>
    <row r="2" spans="1:9" ht="26.25" thickBot="1" x14ac:dyDescent="0.25">
      <c r="A2" s="86"/>
      <c r="B2" s="98" t="s">
        <v>626</v>
      </c>
      <c r="C2" s="63" t="s">
        <v>610</v>
      </c>
      <c r="D2" s="60" t="s">
        <v>615</v>
      </c>
      <c r="E2" s="61" t="s">
        <v>616</v>
      </c>
      <c r="F2" s="62" t="s">
        <v>617</v>
      </c>
      <c r="G2" s="86"/>
    </row>
    <row r="3" spans="1:9" ht="16.5" customHeight="1" thickBot="1" x14ac:dyDescent="0.25">
      <c r="A3" s="86"/>
      <c r="B3" s="98" t="s">
        <v>627</v>
      </c>
      <c r="C3" s="63"/>
      <c r="D3" s="60" t="s">
        <v>618</v>
      </c>
      <c r="E3" s="61" t="s">
        <v>619</v>
      </c>
      <c r="F3" s="62" t="s">
        <v>620</v>
      </c>
      <c r="G3" s="86"/>
    </row>
    <row r="4" spans="1:9" ht="12" customHeight="1" x14ac:dyDescent="0.2">
      <c r="A4" s="86"/>
      <c r="B4" s="286">
        <v>1</v>
      </c>
      <c r="C4" s="427" t="s">
        <v>873</v>
      </c>
      <c r="D4" s="430">
        <v>9</v>
      </c>
      <c r="E4" s="282">
        <v>13</v>
      </c>
      <c r="F4" s="283">
        <v>0.1875</v>
      </c>
      <c r="G4" s="86"/>
    </row>
    <row r="5" spans="1:9" ht="12" customHeight="1" x14ac:dyDescent="0.2">
      <c r="A5" s="86"/>
      <c r="B5" s="287">
        <v>2</v>
      </c>
      <c r="C5" s="427" t="s">
        <v>874</v>
      </c>
      <c r="D5" s="430">
        <v>9</v>
      </c>
      <c r="E5" s="282">
        <v>13</v>
      </c>
      <c r="F5" s="283">
        <v>0.1875</v>
      </c>
      <c r="G5" s="86"/>
    </row>
    <row r="6" spans="1:9" x14ac:dyDescent="0.2">
      <c r="A6" s="87"/>
      <c r="B6" s="284">
        <v>3</v>
      </c>
      <c r="C6" s="427" t="s">
        <v>611</v>
      </c>
      <c r="D6" s="430">
        <v>9</v>
      </c>
      <c r="E6" s="282">
        <v>13</v>
      </c>
      <c r="F6" s="283">
        <v>0.1875</v>
      </c>
      <c r="G6" s="86"/>
    </row>
    <row r="7" spans="1:9" x14ac:dyDescent="0.2">
      <c r="A7" s="87"/>
      <c r="B7" s="99">
        <v>4</v>
      </c>
      <c r="C7" s="428" t="s">
        <v>612</v>
      </c>
      <c r="D7" s="431">
        <f>D6</f>
        <v>9</v>
      </c>
      <c r="E7" s="64">
        <f>E6</f>
        <v>13</v>
      </c>
      <c r="F7" s="65">
        <f>F6</f>
        <v>0.1875</v>
      </c>
      <c r="G7" s="86"/>
      <c r="I7" s="70"/>
    </row>
    <row r="8" spans="1:9" x14ac:dyDescent="0.2">
      <c r="A8" s="87"/>
      <c r="B8" s="99">
        <v>5</v>
      </c>
      <c r="C8" s="428" t="s">
        <v>613</v>
      </c>
      <c r="D8" s="431">
        <f>D6</f>
        <v>9</v>
      </c>
      <c r="E8" s="64">
        <f>E6</f>
        <v>13</v>
      </c>
      <c r="F8" s="65">
        <f>F6</f>
        <v>0.1875</v>
      </c>
      <c r="G8" s="86"/>
    </row>
    <row r="9" spans="1:9" ht="12.75" customHeight="1" thickBot="1" x14ac:dyDescent="0.25">
      <c r="A9" s="87"/>
      <c r="B9" s="100">
        <v>6</v>
      </c>
      <c r="C9" s="429" t="s">
        <v>614</v>
      </c>
      <c r="D9" s="432">
        <f>D6</f>
        <v>9</v>
      </c>
      <c r="E9" s="66">
        <f>E6</f>
        <v>13</v>
      </c>
      <c r="F9" s="67">
        <f>F6</f>
        <v>0.1875</v>
      </c>
      <c r="G9" s="86"/>
    </row>
    <row r="10" spans="1:9" x14ac:dyDescent="0.2">
      <c r="A10" s="87"/>
      <c r="B10" s="87"/>
      <c r="C10" s="89"/>
      <c r="D10" s="89"/>
      <c r="E10" s="89"/>
      <c r="F10" s="89"/>
      <c r="G10" s="89"/>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A1:H8"/>
  <sheetViews>
    <sheetView showGridLines="0" zoomScale="85" zoomScaleNormal="85" workbookViewId="0"/>
  </sheetViews>
  <sheetFormatPr defaultRowHeight="12.75" x14ac:dyDescent="0.2"/>
  <cols>
    <col min="1" max="1" width="3" customWidth="1"/>
    <col min="2" max="2" width="14.85546875" customWidth="1"/>
    <col min="3" max="3" width="11.85546875" bestFit="1" customWidth="1"/>
    <col min="4" max="4" width="10.85546875" customWidth="1"/>
    <col min="5" max="5" width="10.7109375" customWidth="1"/>
    <col min="6" max="6" width="10.85546875" style="1" customWidth="1"/>
    <col min="7" max="7" width="12.28515625" customWidth="1"/>
    <col min="8" max="8" width="3" customWidth="1"/>
  </cols>
  <sheetData>
    <row r="1" spans="1:8" ht="15.75" thickBot="1" x14ac:dyDescent="0.3">
      <c r="A1" s="90"/>
      <c r="B1" s="90"/>
      <c r="C1" s="91"/>
      <c r="D1" s="91"/>
      <c r="E1" s="91"/>
      <c r="F1" s="91"/>
      <c r="G1" s="91"/>
      <c r="H1" s="90"/>
    </row>
    <row r="2" spans="1:8" ht="42.75" customHeight="1" thickBot="1" x14ac:dyDescent="0.3">
      <c r="A2" s="90"/>
      <c r="B2" s="93" t="s">
        <v>625</v>
      </c>
      <c r="C2" s="84" t="s">
        <v>851</v>
      </c>
      <c r="D2" s="95" t="s">
        <v>847</v>
      </c>
      <c r="E2" s="95" t="s">
        <v>849</v>
      </c>
      <c r="F2" s="95" t="s">
        <v>854</v>
      </c>
      <c r="G2" s="423" t="s">
        <v>850</v>
      </c>
      <c r="H2" s="90"/>
    </row>
    <row r="3" spans="1:8" ht="15.75" customHeight="1" thickBot="1" x14ac:dyDescent="0.3">
      <c r="A3" s="90"/>
      <c r="B3" s="264" t="s">
        <v>856</v>
      </c>
      <c r="C3" s="83"/>
      <c r="D3" s="96" t="s">
        <v>848</v>
      </c>
      <c r="E3" s="96" t="s">
        <v>846</v>
      </c>
      <c r="F3" s="96" t="s">
        <v>853</v>
      </c>
      <c r="G3" s="85" t="s">
        <v>855</v>
      </c>
      <c r="H3" s="90"/>
    </row>
    <row r="4" spans="1:8" s="1" customFormat="1" ht="15.75" customHeight="1" x14ac:dyDescent="0.25">
      <c r="A4" s="90"/>
      <c r="B4" s="94">
        <v>1</v>
      </c>
      <c r="C4" s="265">
        <v>4.625</v>
      </c>
      <c r="D4" s="285">
        <v>4</v>
      </c>
      <c r="E4" s="101">
        <v>6</v>
      </c>
      <c r="F4" s="101">
        <v>8</v>
      </c>
      <c r="G4" s="263">
        <v>0.5</v>
      </c>
      <c r="H4" s="90"/>
    </row>
    <row r="5" spans="1:8" ht="15.75" thickBot="1" x14ac:dyDescent="0.3">
      <c r="A5" s="90"/>
      <c r="B5" s="424">
        <v>2</v>
      </c>
      <c r="C5" s="261">
        <v>7.25</v>
      </c>
      <c r="D5" s="425">
        <v>4</v>
      </c>
      <c r="E5" s="262">
        <v>6</v>
      </c>
      <c r="F5" s="262">
        <v>8</v>
      </c>
      <c r="G5" s="426">
        <v>0.5</v>
      </c>
      <c r="H5" s="90"/>
    </row>
    <row r="6" spans="1:8" ht="15" x14ac:dyDescent="0.25">
      <c r="A6" s="91"/>
      <c r="B6" s="91"/>
      <c r="C6" s="91"/>
      <c r="D6" s="91"/>
      <c r="E6" s="91"/>
      <c r="F6" s="91"/>
      <c r="G6" s="91"/>
      <c r="H6" s="91"/>
    </row>
    <row r="8" spans="1:8" ht="243.75" customHeight="1" x14ac:dyDescent="0.2"/>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I37"/>
  <sheetViews>
    <sheetView zoomScale="85" zoomScaleNormal="85" workbookViewId="0">
      <selection activeCell="J26" sqref="J26"/>
    </sheetView>
  </sheetViews>
  <sheetFormatPr defaultColWidth="9.140625" defaultRowHeight="12.75" x14ac:dyDescent="0.2"/>
  <cols>
    <col min="1" max="1" width="27.7109375" style="5" bestFit="1" customWidth="1"/>
    <col min="2" max="2" width="13.140625" style="5" bestFit="1" customWidth="1"/>
    <col min="3" max="3" width="7.5703125" style="5" bestFit="1" customWidth="1"/>
    <col min="4" max="4" width="35.140625" style="5" bestFit="1" customWidth="1"/>
    <col min="5" max="5" width="5.7109375" style="5" bestFit="1" customWidth="1"/>
    <col min="6" max="7" width="9.140625" style="5"/>
    <col min="8" max="8" width="25.140625" style="5" bestFit="1" customWidth="1"/>
    <col min="9" max="9" width="6.140625" style="5" bestFit="1" customWidth="1"/>
    <col min="10" max="16384" width="9.140625" style="5"/>
  </cols>
  <sheetData>
    <row r="1" spans="1:9" x14ac:dyDescent="0.2">
      <c r="A1" s="575" t="s">
        <v>59</v>
      </c>
      <c r="B1" s="575"/>
      <c r="C1" s="575"/>
      <c r="D1" s="575"/>
      <c r="E1" s="575"/>
    </row>
    <row r="2" spans="1:9" x14ac:dyDescent="0.2">
      <c r="A2" s="6" t="s">
        <v>58</v>
      </c>
      <c r="B2" s="6"/>
      <c r="C2" s="6"/>
      <c r="D2" s="6" t="s">
        <v>57</v>
      </c>
      <c r="E2" s="6"/>
    </row>
    <row r="3" spans="1:9" x14ac:dyDescent="0.2">
      <c r="A3" s="20" t="s">
        <v>3</v>
      </c>
      <c r="B3" s="20" t="s">
        <v>32</v>
      </c>
      <c r="C3" s="20"/>
      <c r="D3" s="20" t="s">
        <v>3</v>
      </c>
      <c r="E3" s="20" t="s">
        <v>39</v>
      </c>
    </row>
    <row r="4" spans="1:9" x14ac:dyDescent="0.2">
      <c r="A4" s="20" t="s">
        <v>4</v>
      </c>
      <c r="B4" s="20" t="s">
        <v>29</v>
      </c>
      <c r="C4" s="20"/>
      <c r="D4" s="20" t="s">
        <v>4</v>
      </c>
      <c r="E4" s="20" t="s">
        <v>56</v>
      </c>
    </row>
    <row r="5" spans="1:9" x14ac:dyDescent="0.2">
      <c r="A5" s="20" t="s">
        <v>44</v>
      </c>
      <c r="B5" s="20" t="s">
        <v>38</v>
      </c>
      <c r="C5" s="20"/>
      <c r="D5" s="21" t="s">
        <v>55</v>
      </c>
      <c r="E5" s="20"/>
    </row>
    <row r="6" spans="1:9" x14ac:dyDescent="0.2">
      <c r="A6" s="20" t="s">
        <v>34</v>
      </c>
      <c r="B6" s="20" t="s">
        <v>29</v>
      </c>
      <c r="C6" s="20"/>
      <c r="D6" s="20" t="s">
        <v>44</v>
      </c>
      <c r="E6" s="20" t="s">
        <v>43</v>
      </c>
    </row>
    <row r="7" spans="1:9" x14ac:dyDescent="0.2">
      <c r="A7" s="20" t="s">
        <v>33</v>
      </c>
      <c r="B7" s="20" t="s">
        <v>29</v>
      </c>
      <c r="C7" s="20"/>
      <c r="D7" s="20" t="s">
        <v>34</v>
      </c>
      <c r="E7" s="20" t="s">
        <v>43</v>
      </c>
    </row>
    <row r="8" spans="1:9" x14ac:dyDescent="0.2">
      <c r="A8" s="20" t="s">
        <v>54</v>
      </c>
      <c r="B8" s="20" t="s">
        <v>24</v>
      </c>
      <c r="C8" s="20"/>
      <c r="D8" s="20" t="s">
        <v>33</v>
      </c>
      <c r="E8" s="20" t="s">
        <v>43</v>
      </c>
    </row>
    <row r="9" spans="1:9" x14ac:dyDescent="0.2">
      <c r="A9" s="20" t="s">
        <v>37</v>
      </c>
      <c r="B9" s="20" t="s">
        <v>53</v>
      </c>
      <c r="C9" s="20"/>
      <c r="D9" s="30" t="s">
        <v>52</v>
      </c>
      <c r="E9" s="31">
        <v>0.109</v>
      </c>
    </row>
    <row r="10" spans="1:9" x14ac:dyDescent="0.2">
      <c r="A10" s="20" t="s">
        <v>46</v>
      </c>
      <c r="B10" s="20" t="s">
        <v>50</v>
      </c>
      <c r="C10" s="20"/>
      <c r="D10" s="30" t="s">
        <v>49</v>
      </c>
      <c r="E10" s="31">
        <v>0.188</v>
      </c>
      <c r="H10" s="12" t="s">
        <v>51</v>
      </c>
      <c r="I10" s="226"/>
    </row>
    <row r="11" spans="1:9" x14ac:dyDescent="0.2">
      <c r="A11" s="20" t="s">
        <v>48</v>
      </c>
      <c r="B11" s="20" t="s">
        <v>47</v>
      </c>
      <c r="C11" s="20"/>
      <c r="D11" s="20" t="s">
        <v>37</v>
      </c>
      <c r="E11" s="20" t="s">
        <v>43</v>
      </c>
      <c r="H11" s="25" t="s">
        <v>975</v>
      </c>
      <c r="I11" s="489" t="str">
        <f>IF('Excel Calcs'!H15&lt;0.04,$E$8,IF(AND('Excel Calcs'!H15&gt;=0.04,'Excel Calcs'!H15&lt;=0.09),$E$17,IF('Excel Calcs'!H15&gt;0.09,$E$25)))</f>
        <v>0.152</v>
      </c>
    </row>
    <row r="12" spans="1:9" x14ac:dyDescent="0.2">
      <c r="A12" s="22"/>
      <c r="B12" s="22"/>
      <c r="C12" s="22"/>
      <c r="D12" s="20" t="s">
        <v>46</v>
      </c>
      <c r="E12" s="20" t="s">
        <v>43</v>
      </c>
      <c r="H12" s="25" t="s">
        <v>976</v>
      </c>
      <c r="I12" s="489" t="str">
        <f>IF('Excel Calcs'!H36&lt;0.04,$E$8,IF(AND('Excel Calcs'!H36&gt;=0.04,'Excel Calcs'!H36&lt;=0.09),$E$17,IF('Excel Calcs'!H36&gt;0.09,$E$25)))</f>
        <v>0.152</v>
      </c>
    </row>
    <row r="13" spans="1:9" x14ac:dyDescent="0.2">
      <c r="A13" s="20"/>
      <c r="B13" s="20"/>
      <c r="C13" s="20"/>
      <c r="D13" s="24" t="s">
        <v>45</v>
      </c>
      <c r="E13" s="20"/>
      <c r="H13" s="25" t="s">
        <v>977</v>
      </c>
      <c r="I13" s="489" t="str">
        <f>IF('Excel Calcs'!H56&lt;0.04,$E$8,IF(AND('Excel Calcs'!H56&gt;=0.04,'Excel Calcs'!H56&lt;=0.09),$E$17,IF('Excel Calcs'!H56&gt;0.09,$E$25)))</f>
        <v>0.152</v>
      </c>
    </row>
    <row r="14" spans="1:9" x14ac:dyDescent="0.2">
      <c r="A14" s="20"/>
      <c r="B14" s="20"/>
      <c r="C14" s="20"/>
      <c r="D14" s="20" t="s">
        <v>44</v>
      </c>
      <c r="E14" s="20" t="s">
        <v>43</v>
      </c>
    </row>
    <row r="15" spans="1:9" x14ac:dyDescent="0.2">
      <c r="A15" s="20"/>
      <c r="B15" s="20"/>
      <c r="C15" s="20"/>
      <c r="D15" s="20" t="s">
        <v>42</v>
      </c>
      <c r="E15" s="20" t="s">
        <v>41</v>
      </c>
    </row>
    <row r="16" spans="1:9" x14ac:dyDescent="0.2">
      <c r="A16" s="20"/>
      <c r="B16" s="20"/>
      <c r="C16" s="20"/>
      <c r="D16" s="20" t="s">
        <v>40</v>
      </c>
      <c r="E16" s="20" t="s">
        <v>39</v>
      </c>
    </row>
    <row r="17" spans="1:5" x14ac:dyDescent="0.2">
      <c r="A17" s="20"/>
      <c r="B17" s="20"/>
      <c r="C17" s="20"/>
      <c r="D17" s="20" t="s">
        <v>33</v>
      </c>
      <c r="E17" s="20" t="s">
        <v>32</v>
      </c>
    </row>
    <row r="18" spans="1:5" x14ac:dyDescent="0.2">
      <c r="A18" s="22"/>
      <c r="B18" s="22"/>
      <c r="C18" s="22"/>
      <c r="D18" s="22" t="s">
        <v>31</v>
      </c>
      <c r="E18" s="22" t="s">
        <v>38</v>
      </c>
    </row>
    <row r="19" spans="1:5" x14ac:dyDescent="0.2">
      <c r="A19" s="22"/>
      <c r="B19" s="22"/>
      <c r="C19" s="22"/>
      <c r="D19" s="22" t="s">
        <v>30</v>
      </c>
      <c r="E19" s="23">
        <v>0.20300000000000001</v>
      </c>
    </row>
    <row r="20" spans="1:5" x14ac:dyDescent="0.2">
      <c r="A20" s="22"/>
      <c r="B20" s="22"/>
      <c r="C20" s="22"/>
      <c r="D20" s="22" t="s">
        <v>37</v>
      </c>
      <c r="E20" s="23">
        <v>0.218</v>
      </c>
    </row>
    <row r="21" spans="1:5" x14ac:dyDescent="0.2">
      <c r="A21" s="22"/>
      <c r="B21" s="22"/>
      <c r="C21" s="22"/>
      <c r="D21" s="22" t="s">
        <v>25</v>
      </c>
      <c r="E21" s="22" t="s">
        <v>36</v>
      </c>
    </row>
    <row r="22" spans="1:5" x14ac:dyDescent="0.2">
      <c r="A22" s="22"/>
      <c r="B22" s="22"/>
      <c r="C22" s="22"/>
      <c r="D22" s="22" t="s">
        <v>23</v>
      </c>
      <c r="E22" s="22" t="s">
        <v>24</v>
      </c>
    </row>
    <row r="23" spans="1:5" x14ac:dyDescent="0.2">
      <c r="A23" s="22"/>
      <c r="B23" s="22"/>
      <c r="C23" s="22"/>
      <c r="D23" s="24" t="s">
        <v>35</v>
      </c>
      <c r="E23" s="22"/>
    </row>
    <row r="24" spans="1:5" x14ac:dyDescent="0.2">
      <c r="A24" s="22"/>
      <c r="B24" s="22"/>
      <c r="C24" s="22"/>
      <c r="D24" s="22" t="s">
        <v>34</v>
      </c>
      <c r="E24" s="22" t="s">
        <v>32</v>
      </c>
    </row>
    <row r="25" spans="1:5" x14ac:dyDescent="0.2">
      <c r="A25" s="22"/>
      <c r="B25" s="22"/>
      <c r="C25" s="22"/>
      <c r="D25" s="22" t="s">
        <v>33</v>
      </c>
      <c r="E25" s="22" t="s">
        <v>32</v>
      </c>
    </row>
    <row r="26" spans="1:5" x14ac:dyDescent="0.2">
      <c r="A26" s="22"/>
      <c r="B26" s="22"/>
      <c r="C26" s="22"/>
      <c r="D26" s="22" t="s">
        <v>31</v>
      </c>
      <c r="E26" s="23">
        <v>0.20300000000000001</v>
      </c>
    </row>
    <row r="27" spans="1:5" x14ac:dyDescent="0.2">
      <c r="A27" s="22"/>
      <c r="B27" s="22"/>
      <c r="C27" s="22"/>
      <c r="D27" s="22" t="s">
        <v>30</v>
      </c>
      <c r="E27" s="22" t="s">
        <v>29</v>
      </c>
    </row>
    <row r="28" spans="1:5" x14ac:dyDescent="0.2">
      <c r="A28" s="22"/>
      <c r="B28" s="22"/>
      <c r="C28" s="22"/>
      <c r="D28" s="22" t="s">
        <v>28</v>
      </c>
      <c r="E28" s="22" t="s">
        <v>27</v>
      </c>
    </row>
    <row r="29" spans="1:5" x14ac:dyDescent="0.2">
      <c r="A29" s="22"/>
      <c r="B29" s="22"/>
      <c r="C29" s="22"/>
      <c r="D29" s="25" t="s">
        <v>26</v>
      </c>
      <c r="E29" s="23">
        <v>0.28100000000000003</v>
      </c>
    </row>
    <row r="30" spans="1:5" x14ac:dyDescent="0.2">
      <c r="A30" s="22"/>
      <c r="B30" s="22"/>
      <c r="C30" s="22"/>
      <c r="D30" s="22" t="s">
        <v>25</v>
      </c>
      <c r="E30" s="22" t="s">
        <v>24</v>
      </c>
    </row>
    <row r="31" spans="1:5" x14ac:dyDescent="0.2">
      <c r="A31" s="22"/>
      <c r="B31" s="22"/>
      <c r="C31" s="22"/>
      <c r="D31" s="22" t="s">
        <v>23</v>
      </c>
      <c r="E31" s="22" t="s">
        <v>22</v>
      </c>
    </row>
    <row r="32" spans="1:5" x14ac:dyDescent="0.2">
      <c r="A32" s="576" t="s">
        <v>21</v>
      </c>
      <c r="B32" s="577"/>
      <c r="C32" s="577"/>
      <c r="D32" s="577"/>
      <c r="E32" s="578"/>
    </row>
    <row r="33" spans="1:3" x14ac:dyDescent="0.2">
      <c r="A33" s="11"/>
      <c r="B33" s="14" t="s">
        <v>20</v>
      </c>
      <c r="C33" s="11"/>
    </row>
    <row r="34" spans="1:3" x14ac:dyDescent="0.2">
      <c r="A34" s="14" t="s">
        <v>19</v>
      </c>
      <c r="B34" s="14" t="s">
        <v>18</v>
      </c>
      <c r="C34" s="14" t="s">
        <v>17</v>
      </c>
    </row>
    <row r="35" spans="1:3" x14ac:dyDescent="0.2">
      <c r="A35" s="14" t="s">
        <v>16</v>
      </c>
      <c r="B35" s="11">
        <v>0.125</v>
      </c>
      <c r="C35" s="11">
        <f>B35</f>
        <v>0.125</v>
      </c>
    </row>
    <row r="36" spans="1:3" x14ac:dyDescent="0.2">
      <c r="A36" s="14" t="s">
        <v>15</v>
      </c>
      <c r="B36" s="11">
        <v>0.188</v>
      </c>
      <c r="C36" s="11">
        <f>B36</f>
        <v>0.188</v>
      </c>
    </row>
    <row r="37" spans="1:3" x14ac:dyDescent="0.2">
      <c r="A37" s="14" t="s">
        <v>14</v>
      </c>
      <c r="B37" s="11">
        <v>0.25</v>
      </c>
      <c r="C37" s="11">
        <f>B37</f>
        <v>0.25</v>
      </c>
    </row>
  </sheetData>
  <mergeCells count="2">
    <mergeCell ref="A1:E1"/>
    <mergeCell ref="A32:E32"/>
  </mergeCells>
  <pageMargins left="0.75" right="0.75" top="1" bottom="1" header="0.5" footer="0.5"/>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dimension ref="A1:U140"/>
  <sheetViews>
    <sheetView topLeftCell="A18" zoomScale="90" zoomScaleNormal="90" workbookViewId="0">
      <selection activeCell="A54" activeCellId="3" sqref="A15:XFD15 A32:XFD32 A44:XFD44 A54:XFD54"/>
    </sheetView>
  </sheetViews>
  <sheetFormatPr defaultColWidth="9.140625" defaultRowHeight="12.75" x14ac:dyDescent="0.2"/>
  <cols>
    <col min="1" max="1" width="18.28515625" style="12" bestFit="1" customWidth="1"/>
    <col min="2" max="3" width="3.28515625" style="12" customWidth="1"/>
    <col min="4" max="4" width="21.42578125" style="35" customWidth="1"/>
    <col min="5" max="5" width="8.7109375" style="12" customWidth="1"/>
    <col min="6" max="7" width="11.85546875" style="13" customWidth="1"/>
    <col min="8" max="8" width="11.85546875" style="45" customWidth="1"/>
    <col min="9" max="10" width="11.85546875" style="13" customWidth="1"/>
    <col min="11" max="11" width="17.140625" style="13" customWidth="1"/>
    <col min="12" max="12" width="52.42578125" style="12" bestFit="1" customWidth="1"/>
    <col min="13" max="13" width="12.42578125" style="12" customWidth="1"/>
    <col min="14" max="14" width="17.140625" style="12" customWidth="1"/>
    <col min="15" max="15" width="13.140625" style="12" bestFit="1" customWidth="1"/>
    <col min="16" max="16" width="11.5703125" style="13" bestFit="1" customWidth="1"/>
    <col min="17" max="17" width="16.5703125" style="12" customWidth="1"/>
    <col min="18" max="18" width="14" style="12" customWidth="1"/>
    <col min="19" max="19" width="19.28515625" style="12" bestFit="1" customWidth="1"/>
    <col min="20" max="20" width="12" style="12" customWidth="1"/>
    <col min="21" max="22" width="3" style="12" customWidth="1"/>
    <col min="23" max="16384" width="9.140625" style="12"/>
  </cols>
  <sheetData>
    <row r="1" spans="1:21" s="34" customFormat="1" ht="15.75" thickBot="1" x14ac:dyDescent="0.25">
      <c r="A1" s="579" t="s">
        <v>60</v>
      </c>
      <c r="B1" s="580"/>
      <c r="C1" s="580"/>
      <c r="D1" s="580"/>
      <c r="E1" s="580"/>
      <c r="F1" s="581"/>
      <c r="G1" s="32"/>
      <c r="H1" s="33"/>
      <c r="I1" s="32"/>
      <c r="J1" s="32"/>
      <c r="K1" s="579" t="s">
        <v>61</v>
      </c>
      <c r="L1" s="581"/>
      <c r="M1" s="579" t="s">
        <v>62</v>
      </c>
      <c r="N1" s="580"/>
      <c r="O1" s="580"/>
      <c r="P1" s="580"/>
      <c r="Q1" s="580"/>
      <c r="R1" s="580"/>
      <c r="S1" s="580"/>
      <c r="T1" s="581"/>
    </row>
    <row r="2" spans="1:21" s="34" customFormat="1" ht="15.75" thickBot="1" x14ac:dyDescent="0.25">
      <c r="A2" s="582" t="s">
        <v>63</v>
      </c>
      <c r="B2" s="583"/>
      <c r="C2" s="584"/>
      <c r="D2" s="584"/>
      <c r="E2" s="584"/>
      <c r="F2" s="584"/>
      <c r="G2" s="584"/>
      <c r="H2" s="584"/>
      <c r="I2" s="584"/>
      <c r="J2" s="584"/>
      <c r="K2" s="584"/>
      <c r="L2" s="585"/>
      <c r="M2" s="579" t="s">
        <v>64</v>
      </c>
      <c r="N2" s="580"/>
      <c r="O2" s="580"/>
      <c r="P2" s="581"/>
      <c r="Q2" s="589" t="s">
        <v>634</v>
      </c>
      <c r="R2" s="590"/>
      <c r="S2" s="590"/>
      <c r="T2" s="591"/>
    </row>
    <row r="3" spans="1:21" s="34" customFormat="1" ht="15.75" thickBot="1" x14ac:dyDescent="0.25">
      <c r="A3" s="586"/>
      <c r="B3" s="587"/>
      <c r="C3" s="587"/>
      <c r="D3" s="587"/>
      <c r="E3" s="587"/>
      <c r="F3" s="587"/>
      <c r="G3" s="587"/>
      <c r="H3" s="587"/>
      <c r="I3" s="587"/>
      <c r="J3" s="587"/>
      <c r="K3" s="587"/>
      <c r="L3" s="588"/>
      <c r="M3" s="592" t="s">
        <v>635</v>
      </c>
      <c r="N3" s="580"/>
      <c r="O3" s="580"/>
      <c r="P3" s="581"/>
      <c r="Q3" s="592" t="s">
        <v>636</v>
      </c>
      <c r="R3" s="580"/>
      <c r="S3" s="580"/>
      <c r="T3" s="581"/>
    </row>
    <row r="4" spans="1:21" ht="13.5" thickBot="1" x14ac:dyDescent="0.25">
      <c r="M4" s="36"/>
    </row>
    <row r="5" spans="1:21" ht="21.75" customHeight="1" thickTop="1" thickBot="1" x14ac:dyDescent="0.35">
      <c r="B5" s="102" t="s">
        <v>65</v>
      </c>
      <c r="C5" s="40"/>
      <c r="D5" s="37"/>
      <c r="E5" s="38"/>
      <c r="F5" s="19"/>
      <c r="G5" s="19"/>
      <c r="H5" s="103"/>
      <c r="I5" s="19"/>
      <c r="J5" s="19"/>
      <c r="K5" s="39"/>
      <c r="L5" s="40"/>
      <c r="M5" s="40"/>
      <c r="N5" s="40"/>
      <c r="O5" s="40"/>
      <c r="P5" s="19"/>
      <c r="Q5" s="40"/>
      <c r="R5" s="40"/>
      <c r="S5" s="40"/>
      <c r="T5" s="40"/>
      <c r="U5" s="104"/>
    </row>
    <row r="6" spans="1:21" s="41" customFormat="1" ht="47.25" customHeight="1" thickTop="1" thickBot="1" x14ac:dyDescent="0.25">
      <c r="B6" s="105"/>
      <c r="C6" s="106"/>
      <c r="D6" s="16" t="s">
        <v>66</v>
      </c>
      <c r="E6" s="16" t="s">
        <v>67</v>
      </c>
      <c r="F6" s="16" t="s">
        <v>68</v>
      </c>
      <c r="G6" s="16" t="s">
        <v>69</v>
      </c>
      <c r="H6" s="107" t="s">
        <v>70</v>
      </c>
      <c r="I6" s="16" t="s">
        <v>71</v>
      </c>
      <c r="J6" s="16" t="s">
        <v>72</v>
      </c>
      <c r="K6" s="16" t="s">
        <v>73</v>
      </c>
      <c r="L6" s="16" t="s">
        <v>74</v>
      </c>
      <c r="M6" s="16" t="s">
        <v>75</v>
      </c>
      <c r="N6" s="17" t="s">
        <v>76</v>
      </c>
      <c r="O6" s="16" t="s">
        <v>77</v>
      </c>
      <c r="P6" s="16" t="s">
        <v>78</v>
      </c>
      <c r="Q6" s="16" t="s">
        <v>79</v>
      </c>
      <c r="R6" s="16" t="s">
        <v>80</v>
      </c>
      <c r="S6" s="18" t="s">
        <v>81</v>
      </c>
      <c r="T6" s="108" t="s">
        <v>82</v>
      </c>
      <c r="U6" s="109"/>
    </row>
    <row r="7" spans="1:21" s="42" customFormat="1" ht="14.25" thickTop="1" thickBot="1" x14ac:dyDescent="0.25">
      <c r="A7" s="110" t="s">
        <v>637</v>
      </c>
      <c r="B7" s="111"/>
      <c r="C7" s="112"/>
      <c r="D7" s="113" t="s">
        <v>638</v>
      </c>
      <c r="E7" s="113" t="s">
        <v>639</v>
      </c>
      <c r="F7" s="113" t="s">
        <v>640</v>
      </c>
      <c r="G7" s="113" t="s">
        <v>641</v>
      </c>
      <c r="H7" s="113" t="s">
        <v>642</v>
      </c>
      <c r="I7" s="113" t="s">
        <v>643</v>
      </c>
      <c r="J7" s="113" t="s">
        <v>644</v>
      </c>
      <c r="K7" s="113" t="s">
        <v>645</v>
      </c>
      <c r="L7" s="113" t="s">
        <v>646</v>
      </c>
      <c r="M7" s="113" t="s">
        <v>647</v>
      </c>
      <c r="N7" s="114" t="s">
        <v>648</v>
      </c>
      <c r="O7" s="113" t="s">
        <v>649</v>
      </c>
      <c r="P7" s="113" t="s">
        <v>650</v>
      </c>
      <c r="Q7" s="113" t="s">
        <v>651</v>
      </c>
      <c r="R7" s="113" t="s">
        <v>652</v>
      </c>
      <c r="S7" s="114" t="s">
        <v>653</v>
      </c>
      <c r="T7" s="114" t="s">
        <v>654</v>
      </c>
      <c r="U7" s="115"/>
    </row>
    <row r="8" spans="1:21" s="42" customFormat="1" ht="17.25" thickTop="1" thickBot="1" x14ac:dyDescent="0.25">
      <c r="A8" s="116"/>
      <c r="B8" s="111"/>
      <c r="C8" s="117" t="s">
        <v>655</v>
      </c>
      <c r="D8" s="118"/>
      <c r="E8" s="118"/>
      <c r="F8" s="118"/>
      <c r="G8" s="118"/>
      <c r="H8" s="118"/>
      <c r="I8" s="118"/>
      <c r="J8" s="118"/>
      <c r="K8" s="118"/>
      <c r="L8" s="118"/>
      <c r="M8" s="118"/>
      <c r="N8" s="119"/>
      <c r="O8" s="118"/>
      <c r="P8" s="118"/>
      <c r="Q8" s="118"/>
      <c r="R8" s="118"/>
      <c r="S8" s="119"/>
      <c r="T8" s="119"/>
      <c r="U8" s="115"/>
    </row>
    <row r="9" spans="1:21" s="42" customFormat="1" ht="13.5" thickTop="1" x14ac:dyDescent="0.2">
      <c r="A9" s="230" t="str">
        <f>CONCATENATE(E9,Q9)</f>
        <v>8STL GALV</v>
      </c>
      <c r="B9" s="291"/>
      <c r="C9" s="292"/>
      <c r="D9" s="293" t="s">
        <v>349</v>
      </c>
      <c r="E9" s="294">
        <v>8</v>
      </c>
      <c r="F9" s="295" t="s">
        <v>350</v>
      </c>
      <c r="G9" s="295" t="s">
        <v>350</v>
      </c>
      <c r="H9" s="296">
        <v>0.15601000000000001</v>
      </c>
      <c r="I9" s="295" t="s">
        <v>97</v>
      </c>
      <c r="J9" s="295" t="s">
        <v>86</v>
      </c>
      <c r="K9" s="232" t="s">
        <v>351</v>
      </c>
      <c r="L9" s="294" t="s">
        <v>352</v>
      </c>
      <c r="M9" s="295" t="s">
        <v>183</v>
      </c>
      <c r="N9" s="298" t="s">
        <v>353</v>
      </c>
      <c r="O9" s="295" t="s">
        <v>218</v>
      </c>
      <c r="P9" s="295" t="s">
        <v>91</v>
      </c>
      <c r="Q9" s="295" t="s">
        <v>354</v>
      </c>
      <c r="R9" s="232" t="s">
        <v>355</v>
      </c>
      <c r="S9" s="232" t="s">
        <v>94</v>
      </c>
      <c r="T9" s="299" t="s">
        <v>94</v>
      </c>
      <c r="U9" s="115"/>
    </row>
    <row r="10" spans="1:21" s="42" customFormat="1" x14ac:dyDescent="0.2">
      <c r="A10" s="230" t="str">
        <f t="shared" ref="A10:A73" si="0">CONCATENATE(E10,Q10)</f>
        <v>10STL GALV</v>
      </c>
      <c r="B10" s="291"/>
      <c r="C10" s="292"/>
      <c r="D10" s="293" t="s">
        <v>349</v>
      </c>
      <c r="E10" s="294">
        <v>10</v>
      </c>
      <c r="F10" s="295" t="s">
        <v>96</v>
      </c>
      <c r="G10" s="295" t="s">
        <v>214</v>
      </c>
      <c r="H10" s="296">
        <v>0.12601000000000001</v>
      </c>
      <c r="I10" s="295" t="s">
        <v>9</v>
      </c>
      <c r="J10" s="295" t="s">
        <v>86</v>
      </c>
      <c r="K10" s="232" t="s">
        <v>356</v>
      </c>
      <c r="L10" s="294" t="s">
        <v>352</v>
      </c>
      <c r="M10" s="295" t="s">
        <v>183</v>
      </c>
      <c r="N10" s="298" t="s">
        <v>353</v>
      </c>
      <c r="O10" s="295" t="s">
        <v>218</v>
      </c>
      <c r="P10" s="295" t="s">
        <v>91</v>
      </c>
      <c r="Q10" s="295" t="s">
        <v>354</v>
      </c>
      <c r="R10" s="232" t="s">
        <v>357</v>
      </c>
      <c r="S10" s="232" t="s">
        <v>94</v>
      </c>
      <c r="T10" s="299" t="s">
        <v>94</v>
      </c>
      <c r="U10" s="115"/>
    </row>
    <row r="11" spans="1:21" s="42" customFormat="1" x14ac:dyDescent="0.2">
      <c r="A11" s="230" t="str">
        <f t="shared" si="0"/>
        <v>12STL GALV</v>
      </c>
      <c r="B11" s="291"/>
      <c r="C11" s="292"/>
      <c r="D11" s="293" t="s">
        <v>349</v>
      </c>
      <c r="E11" s="294">
        <v>12</v>
      </c>
      <c r="F11" s="295" t="s">
        <v>221</v>
      </c>
      <c r="G11" s="295" t="s">
        <v>222</v>
      </c>
      <c r="H11" s="296">
        <v>9.7009999999999999E-2</v>
      </c>
      <c r="I11" s="295" t="s">
        <v>9</v>
      </c>
      <c r="J11" s="295" t="s">
        <v>86</v>
      </c>
      <c r="K11" s="232" t="s">
        <v>358</v>
      </c>
      <c r="L11" s="294" t="s">
        <v>352</v>
      </c>
      <c r="M11" s="295" t="s">
        <v>183</v>
      </c>
      <c r="N11" s="298" t="s">
        <v>353</v>
      </c>
      <c r="O11" s="295" t="s">
        <v>100</v>
      </c>
      <c r="P11" s="295" t="s">
        <v>91</v>
      </c>
      <c r="Q11" s="295" t="s">
        <v>354</v>
      </c>
      <c r="R11" s="232" t="s">
        <v>359</v>
      </c>
      <c r="S11" s="232" t="s">
        <v>94</v>
      </c>
      <c r="T11" s="299" t="s">
        <v>94</v>
      </c>
      <c r="U11" s="115"/>
    </row>
    <row r="12" spans="1:21" s="42" customFormat="1" x14ac:dyDescent="0.2">
      <c r="A12" s="230" t="str">
        <f t="shared" si="0"/>
        <v>14STL GALV</v>
      </c>
      <c r="B12" s="291"/>
      <c r="C12" s="292"/>
      <c r="D12" s="293" t="s">
        <v>349</v>
      </c>
      <c r="E12" s="294">
        <v>14</v>
      </c>
      <c r="F12" s="295" t="s">
        <v>227</v>
      </c>
      <c r="G12" s="295" t="s">
        <v>228</v>
      </c>
      <c r="H12" s="296">
        <v>7.0010000000000003E-2</v>
      </c>
      <c r="I12" s="295" t="s">
        <v>9</v>
      </c>
      <c r="J12" s="295" t="s">
        <v>86</v>
      </c>
      <c r="K12" s="232" t="s">
        <v>360</v>
      </c>
      <c r="L12" s="294" t="s">
        <v>352</v>
      </c>
      <c r="M12" s="295" t="s">
        <v>183</v>
      </c>
      <c r="N12" s="298" t="s">
        <v>353</v>
      </c>
      <c r="O12" s="295" t="s">
        <v>100</v>
      </c>
      <c r="P12" s="295" t="s">
        <v>91</v>
      </c>
      <c r="Q12" s="295" t="s">
        <v>354</v>
      </c>
      <c r="R12" s="232" t="s">
        <v>361</v>
      </c>
      <c r="S12" s="232" t="s">
        <v>94</v>
      </c>
      <c r="T12" s="299" t="s">
        <v>94</v>
      </c>
      <c r="U12" s="115"/>
    </row>
    <row r="13" spans="1:21" s="42" customFormat="1" x14ac:dyDescent="0.2">
      <c r="A13" s="230" t="str">
        <f t="shared" si="0"/>
        <v>16STL GALV</v>
      </c>
      <c r="B13" s="291"/>
      <c r="C13" s="292"/>
      <c r="D13" s="293" t="s">
        <v>349</v>
      </c>
      <c r="E13" s="294">
        <v>16</v>
      </c>
      <c r="F13" s="295" t="s">
        <v>266</v>
      </c>
      <c r="G13" s="295" t="s">
        <v>267</v>
      </c>
      <c r="H13" s="296">
        <v>5.6009999999999997E-2</v>
      </c>
      <c r="I13" s="295" t="s">
        <v>97</v>
      </c>
      <c r="J13" s="295" t="s">
        <v>86</v>
      </c>
      <c r="K13" s="232" t="s">
        <v>379</v>
      </c>
      <c r="L13" s="294" t="s">
        <v>352</v>
      </c>
      <c r="M13" s="295" t="s">
        <v>183</v>
      </c>
      <c r="N13" s="298" t="s">
        <v>353</v>
      </c>
      <c r="O13" s="295" t="s">
        <v>100</v>
      </c>
      <c r="P13" s="295" t="s">
        <v>91</v>
      </c>
      <c r="Q13" s="295" t="s">
        <v>354</v>
      </c>
      <c r="R13" s="232" t="s">
        <v>380</v>
      </c>
      <c r="S13" s="232" t="s">
        <v>94</v>
      </c>
      <c r="T13" s="299" t="s">
        <v>94</v>
      </c>
      <c r="U13" s="115"/>
    </row>
    <row r="14" spans="1:21" s="42" customFormat="1" x14ac:dyDescent="0.2">
      <c r="A14" s="230" t="str">
        <f t="shared" si="0"/>
        <v>18STL GALV</v>
      </c>
      <c r="B14" s="291"/>
      <c r="C14" s="292"/>
      <c r="D14" s="293" t="s">
        <v>349</v>
      </c>
      <c r="E14" s="294">
        <v>18</v>
      </c>
      <c r="F14" s="295" t="s">
        <v>275</v>
      </c>
      <c r="G14" s="295" t="s">
        <v>276</v>
      </c>
      <c r="H14" s="296">
        <v>4.5010000000000001E-2</v>
      </c>
      <c r="I14" s="295" t="s">
        <v>97</v>
      </c>
      <c r="J14" s="295" t="s">
        <v>86</v>
      </c>
      <c r="K14" s="232" t="s">
        <v>386</v>
      </c>
      <c r="L14" s="294" t="s">
        <v>352</v>
      </c>
      <c r="M14" s="295" t="s">
        <v>183</v>
      </c>
      <c r="N14" s="298" t="s">
        <v>353</v>
      </c>
      <c r="O14" s="295" t="s">
        <v>100</v>
      </c>
      <c r="P14" s="295" t="s">
        <v>91</v>
      </c>
      <c r="Q14" s="295" t="s">
        <v>354</v>
      </c>
      <c r="R14" s="232" t="s">
        <v>387</v>
      </c>
      <c r="S14" s="232" t="s">
        <v>94</v>
      </c>
      <c r="T14" s="299" t="s">
        <v>94</v>
      </c>
      <c r="U14" s="115"/>
    </row>
    <row r="15" spans="1:21" s="42" customFormat="1" x14ac:dyDescent="0.2">
      <c r="A15" s="230" t="str">
        <f t="shared" si="0"/>
        <v>20STL GALV</v>
      </c>
      <c r="B15" s="291"/>
      <c r="C15" s="292"/>
      <c r="D15" s="293" t="s">
        <v>349</v>
      </c>
      <c r="E15" s="294">
        <v>20</v>
      </c>
      <c r="F15" s="295" t="s">
        <v>307</v>
      </c>
      <c r="G15" s="295" t="s">
        <v>180</v>
      </c>
      <c r="H15" s="296">
        <v>3.4009999999999999E-2</v>
      </c>
      <c r="I15" s="295" t="s">
        <v>97</v>
      </c>
      <c r="J15" s="295" t="s">
        <v>86</v>
      </c>
      <c r="K15" s="232" t="s">
        <v>393</v>
      </c>
      <c r="L15" s="294" t="s">
        <v>352</v>
      </c>
      <c r="M15" s="295" t="s">
        <v>183</v>
      </c>
      <c r="N15" s="298" t="s">
        <v>353</v>
      </c>
      <c r="O15" s="295" t="s">
        <v>100</v>
      </c>
      <c r="P15" s="295" t="s">
        <v>91</v>
      </c>
      <c r="Q15" s="295" t="s">
        <v>354</v>
      </c>
      <c r="R15" s="232" t="s">
        <v>394</v>
      </c>
      <c r="S15" s="232" t="s">
        <v>94</v>
      </c>
      <c r="T15" s="299" t="s">
        <v>94</v>
      </c>
      <c r="U15" s="115"/>
    </row>
    <row r="16" spans="1:21" s="42" customFormat="1" x14ac:dyDescent="0.2">
      <c r="A16" s="230" t="str">
        <f t="shared" si="0"/>
        <v>22STL GALV</v>
      </c>
      <c r="B16" s="291"/>
      <c r="C16" s="292"/>
      <c r="D16" s="293" t="s">
        <v>349</v>
      </c>
      <c r="E16" s="294" t="s">
        <v>395</v>
      </c>
      <c r="F16" s="295" t="s">
        <v>296</v>
      </c>
      <c r="G16" s="295" t="s">
        <v>296</v>
      </c>
      <c r="H16" s="296">
        <v>2.801E-2</v>
      </c>
      <c r="I16" s="295" t="s">
        <v>9</v>
      </c>
      <c r="J16" s="295" t="s">
        <v>86</v>
      </c>
      <c r="K16" s="300" t="s">
        <v>396</v>
      </c>
      <c r="L16" s="294" t="s">
        <v>352</v>
      </c>
      <c r="M16" s="295" t="s">
        <v>183</v>
      </c>
      <c r="N16" s="298" t="s">
        <v>353</v>
      </c>
      <c r="O16" s="295" t="s">
        <v>100</v>
      </c>
      <c r="P16" s="295" t="s">
        <v>91</v>
      </c>
      <c r="Q16" s="295" t="s">
        <v>354</v>
      </c>
      <c r="R16" s="232" t="s">
        <v>397</v>
      </c>
      <c r="S16" s="232" t="s">
        <v>94</v>
      </c>
      <c r="T16" s="299" t="s">
        <v>94</v>
      </c>
      <c r="U16" s="115"/>
    </row>
    <row r="17" spans="1:21" s="42" customFormat="1" x14ac:dyDescent="0.2">
      <c r="A17" s="230" t="str">
        <f t="shared" si="0"/>
        <v>24STL GALV</v>
      </c>
      <c r="B17" s="291"/>
      <c r="C17" s="292"/>
      <c r="D17" s="293" t="s">
        <v>349</v>
      </c>
      <c r="E17" s="293" t="s">
        <v>398</v>
      </c>
      <c r="F17" s="301" t="s">
        <v>399</v>
      </c>
      <c r="G17" s="301" t="s">
        <v>399</v>
      </c>
      <c r="H17" s="302">
        <v>2.2009999999999998E-2</v>
      </c>
      <c r="I17" s="301" t="s">
        <v>97</v>
      </c>
      <c r="J17" s="295" t="s">
        <v>86</v>
      </c>
      <c r="K17" s="300" t="s">
        <v>400</v>
      </c>
      <c r="L17" s="294" t="s">
        <v>352</v>
      </c>
      <c r="M17" s="295" t="s">
        <v>183</v>
      </c>
      <c r="N17" s="298" t="s">
        <v>353</v>
      </c>
      <c r="O17" s="295" t="s">
        <v>100</v>
      </c>
      <c r="P17" s="295" t="s">
        <v>91</v>
      </c>
      <c r="Q17" s="295" t="s">
        <v>354</v>
      </c>
      <c r="R17" s="303" t="s">
        <v>401</v>
      </c>
      <c r="S17" s="232" t="s">
        <v>94</v>
      </c>
      <c r="T17" s="299" t="s">
        <v>94</v>
      </c>
      <c r="U17" s="115"/>
    </row>
    <row r="18" spans="1:21" s="42" customFormat="1" x14ac:dyDescent="0.2">
      <c r="A18" s="230" t="str">
        <f t="shared" si="0"/>
        <v>16STL GALV2</v>
      </c>
      <c r="B18" s="291"/>
      <c r="C18" s="292"/>
      <c r="D18" s="294" t="s">
        <v>362</v>
      </c>
      <c r="E18" s="294">
        <v>16</v>
      </c>
      <c r="F18" s="295" t="s">
        <v>266</v>
      </c>
      <c r="G18" s="295" t="s">
        <v>267</v>
      </c>
      <c r="H18" s="296">
        <v>5.6050000000000003E-2</v>
      </c>
      <c r="I18" s="295" t="s">
        <v>9</v>
      </c>
      <c r="J18" s="295" t="s">
        <v>86</v>
      </c>
      <c r="K18" s="295" t="s">
        <v>363</v>
      </c>
      <c r="L18" s="294" t="s">
        <v>364</v>
      </c>
      <c r="M18" s="295" t="s">
        <v>365</v>
      </c>
      <c r="N18" s="298" t="s">
        <v>353</v>
      </c>
      <c r="O18" s="301" t="s">
        <v>366</v>
      </c>
      <c r="P18" s="301" t="s">
        <v>91</v>
      </c>
      <c r="Q18" s="295" t="s">
        <v>367</v>
      </c>
      <c r="R18" s="232" t="s">
        <v>368</v>
      </c>
      <c r="S18" s="232" t="s">
        <v>94</v>
      </c>
      <c r="T18" s="299" t="s">
        <v>94</v>
      </c>
      <c r="U18" s="115"/>
    </row>
    <row r="19" spans="1:21" s="42" customFormat="1" x14ac:dyDescent="0.2">
      <c r="A19" s="230" t="str">
        <f t="shared" si="0"/>
        <v>16STL GALV3</v>
      </c>
      <c r="B19" s="291"/>
      <c r="C19" s="292"/>
      <c r="D19" s="294" t="s">
        <v>362</v>
      </c>
      <c r="E19" s="294">
        <v>16</v>
      </c>
      <c r="F19" s="295" t="s">
        <v>266</v>
      </c>
      <c r="G19" s="295" t="s">
        <v>267</v>
      </c>
      <c r="H19" s="296">
        <v>5.6059999999999999E-2</v>
      </c>
      <c r="I19" s="295" t="s">
        <v>9</v>
      </c>
      <c r="J19" s="295" t="s">
        <v>86</v>
      </c>
      <c r="K19" s="295" t="s">
        <v>369</v>
      </c>
      <c r="L19" s="294" t="s">
        <v>370</v>
      </c>
      <c r="M19" s="295" t="s">
        <v>365</v>
      </c>
      <c r="N19" s="298" t="s">
        <v>353</v>
      </c>
      <c r="O19" s="301" t="s">
        <v>371</v>
      </c>
      <c r="P19" s="301" t="s">
        <v>91</v>
      </c>
      <c r="Q19" s="295" t="s">
        <v>372</v>
      </c>
      <c r="R19" s="232" t="s">
        <v>373</v>
      </c>
      <c r="S19" s="232" t="s">
        <v>94</v>
      </c>
      <c r="T19" s="299" t="s">
        <v>94</v>
      </c>
      <c r="U19" s="115"/>
    </row>
    <row r="20" spans="1:21" s="42" customFormat="1" x14ac:dyDescent="0.2">
      <c r="A20" s="230" t="str">
        <f t="shared" si="0"/>
        <v>16STL GALV4</v>
      </c>
      <c r="B20" s="291"/>
      <c r="C20" s="292"/>
      <c r="D20" s="294" t="s">
        <v>362</v>
      </c>
      <c r="E20" s="294">
        <v>16</v>
      </c>
      <c r="F20" s="295" t="s">
        <v>266</v>
      </c>
      <c r="G20" s="295" t="s">
        <v>267</v>
      </c>
      <c r="H20" s="296">
        <v>5.6070000000000002E-2</v>
      </c>
      <c r="I20" s="295" t="s">
        <v>9</v>
      </c>
      <c r="J20" s="295" t="s">
        <v>86</v>
      </c>
      <c r="K20" s="295" t="s">
        <v>374</v>
      </c>
      <c r="L20" s="294" t="s">
        <v>375</v>
      </c>
      <c r="M20" s="295" t="s">
        <v>365</v>
      </c>
      <c r="N20" s="298" t="s">
        <v>353</v>
      </c>
      <c r="O20" s="295" t="s">
        <v>376</v>
      </c>
      <c r="P20" s="301" t="s">
        <v>91</v>
      </c>
      <c r="Q20" s="295" t="s">
        <v>377</v>
      </c>
      <c r="R20" s="232" t="s">
        <v>378</v>
      </c>
      <c r="S20" s="232" t="s">
        <v>94</v>
      </c>
      <c r="T20" s="299" t="s">
        <v>94</v>
      </c>
      <c r="U20" s="115"/>
    </row>
    <row r="21" spans="1:21" s="42" customFormat="1" x14ac:dyDescent="0.2">
      <c r="A21" s="230" t="str">
        <f t="shared" si="0"/>
        <v>18STL GALVS</v>
      </c>
      <c r="B21" s="291"/>
      <c r="C21" s="292"/>
      <c r="D21" s="294" t="s">
        <v>362</v>
      </c>
      <c r="E21" s="294">
        <v>18</v>
      </c>
      <c r="F21" s="295" t="s">
        <v>275</v>
      </c>
      <c r="G21" s="295" t="s">
        <v>276</v>
      </c>
      <c r="H21" s="296">
        <v>4.5019999999999998E-2</v>
      </c>
      <c r="I21" s="295" t="s">
        <v>97</v>
      </c>
      <c r="J21" s="295" t="s">
        <v>9</v>
      </c>
      <c r="K21" s="300" t="s">
        <v>388</v>
      </c>
      <c r="L21" s="294" t="s">
        <v>389</v>
      </c>
      <c r="M21" s="295" t="s">
        <v>183</v>
      </c>
      <c r="N21" s="298" t="s">
        <v>353</v>
      </c>
      <c r="O21" s="295" t="s">
        <v>390</v>
      </c>
      <c r="P21" s="301" t="s">
        <v>91</v>
      </c>
      <c r="Q21" s="295" t="s">
        <v>391</v>
      </c>
      <c r="R21" s="232" t="s">
        <v>392</v>
      </c>
      <c r="S21" s="232" t="s">
        <v>94</v>
      </c>
      <c r="T21" s="299" t="s">
        <v>94</v>
      </c>
      <c r="U21" s="115"/>
    </row>
    <row r="22" spans="1:21" s="42" customFormat="1" x14ac:dyDescent="0.2">
      <c r="A22" s="230" t="str">
        <f t="shared" si="0"/>
        <v>16STL GALVR</v>
      </c>
      <c r="B22" s="291"/>
      <c r="C22" s="292"/>
      <c r="D22" s="294" t="s">
        <v>362</v>
      </c>
      <c r="E22" s="294">
        <v>16</v>
      </c>
      <c r="F22" s="295" t="s">
        <v>266</v>
      </c>
      <c r="G22" s="295" t="s">
        <v>267</v>
      </c>
      <c r="H22" s="296">
        <v>5.602E-2</v>
      </c>
      <c r="I22" s="295" t="s">
        <v>97</v>
      </c>
      <c r="J22" s="295" t="s">
        <v>9</v>
      </c>
      <c r="K22" s="300" t="s">
        <v>381</v>
      </c>
      <c r="L22" s="294" t="s">
        <v>382</v>
      </c>
      <c r="M22" s="295" t="s">
        <v>183</v>
      </c>
      <c r="N22" s="298" t="s">
        <v>353</v>
      </c>
      <c r="O22" s="295" t="s">
        <v>383</v>
      </c>
      <c r="P22" s="301" t="s">
        <v>91</v>
      </c>
      <c r="Q22" s="295" t="s">
        <v>384</v>
      </c>
      <c r="R22" s="232" t="s">
        <v>385</v>
      </c>
      <c r="S22" s="232" t="s">
        <v>94</v>
      </c>
      <c r="T22" s="299" t="s">
        <v>94</v>
      </c>
      <c r="U22" s="115"/>
    </row>
    <row r="23" spans="1:21" s="42" customFormat="1" x14ac:dyDescent="0.2">
      <c r="A23" s="230" t="str">
        <f t="shared" si="0"/>
        <v>14STL GALV PPG</v>
      </c>
      <c r="B23" s="291"/>
      <c r="C23" s="292"/>
      <c r="D23" s="294" t="s">
        <v>258</v>
      </c>
      <c r="E23" s="294">
        <v>14</v>
      </c>
      <c r="F23" s="295" t="s">
        <v>227</v>
      </c>
      <c r="G23" s="295" t="s">
        <v>228</v>
      </c>
      <c r="H23" s="296">
        <v>7.0029999999999995E-2</v>
      </c>
      <c r="I23" s="295" t="s">
        <v>9</v>
      </c>
      <c r="J23" s="295" t="s">
        <v>86</v>
      </c>
      <c r="K23" s="295" t="s">
        <v>259</v>
      </c>
      <c r="L23" s="294" t="s">
        <v>260</v>
      </c>
      <c r="M23" s="295" t="s">
        <v>261</v>
      </c>
      <c r="N23" s="232" t="s">
        <v>262</v>
      </c>
      <c r="O23" s="295" t="s">
        <v>263</v>
      </c>
      <c r="P23" s="295" t="s">
        <v>91</v>
      </c>
      <c r="Q23" s="295" t="s">
        <v>656</v>
      </c>
      <c r="R23" s="232" t="s">
        <v>264</v>
      </c>
      <c r="S23" s="295" t="s">
        <v>265</v>
      </c>
      <c r="T23" s="304" t="s">
        <v>94</v>
      </c>
      <c r="U23" s="115"/>
    </row>
    <row r="24" spans="1:21" s="42" customFormat="1" x14ac:dyDescent="0.2">
      <c r="A24" s="230" t="str">
        <f t="shared" si="0"/>
        <v>16STL GALV PPG</v>
      </c>
      <c r="B24" s="291"/>
      <c r="C24" s="292"/>
      <c r="D24" s="294" t="s">
        <v>258</v>
      </c>
      <c r="E24" s="294">
        <v>16</v>
      </c>
      <c r="F24" s="295" t="s">
        <v>266</v>
      </c>
      <c r="G24" s="295" t="s">
        <v>267</v>
      </c>
      <c r="H24" s="296">
        <v>5.6030000000000003E-2</v>
      </c>
      <c r="I24" s="295" t="s">
        <v>9</v>
      </c>
      <c r="J24" s="295" t="s">
        <v>86</v>
      </c>
      <c r="K24" s="295" t="s">
        <v>268</v>
      </c>
      <c r="L24" s="294" t="s">
        <v>269</v>
      </c>
      <c r="M24" s="305" t="s">
        <v>261</v>
      </c>
      <c r="N24" s="232" t="s">
        <v>262</v>
      </c>
      <c r="O24" s="295" t="s">
        <v>263</v>
      </c>
      <c r="P24" s="295" t="s">
        <v>91</v>
      </c>
      <c r="Q24" s="295" t="s">
        <v>656</v>
      </c>
      <c r="R24" s="232" t="s">
        <v>270</v>
      </c>
      <c r="S24" s="295" t="s">
        <v>265</v>
      </c>
      <c r="T24" s="304" t="s">
        <v>94</v>
      </c>
      <c r="U24" s="115"/>
    </row>
    <row r="25" spans="1:21" s="42" customFormat="1" x14ac:dyDescent="0.2">
      <c r="A25" s="230" t="str">
        <f t="shared" si="0"/>
        <v>16STL GALV PPC</v>
      </c>
      <c r="B25" s="291"/>
      <c r="C25" s="292"/>
      <c r="D25" s="294" t="s">
        <v>258</v>
      </c>
      <c r="E25" s="294">
        <v>16</v>
      </c>
      <c r="F25" s="295" t="s">
        <v>266</v>
      </c>
      <c r="G25" s="295" t="s">
        <v>267</v>
      </c>
      <c r="H25" s="296">
        <v>5.604E-2</v>
      </c>
      <c r="I25" s="295" t="s">
        <v>9</v>
      </c>
      <c r="J25" s="295" t="s">
        <v>86</v>
      </c>
      <c r="K25" s="295" t="s">
        <v>271</v>
      </c>
      <c r="L25" s="294" t="s">
        <v>272</v>
      </c>
      <c r="M25" s="295" t="s">
        <v>261</v>
      </c>
      <c r="N25" s="232" t="s">
        <v>262</v>
      </c>
      <c r="O25" s="301" t="s">
        <v>263</v>
      </c>
      <c r="P25" s="295" t="s">
        <v>91</v>
      </c>
      <c r="Q25" s="295" t="s">
        <v>657</v>
      </c>
      <c r="R25" s="232" t="s">
        <v>273</v>
      </c>
      <c r="S25" s="295" t="s">
        <v>274</v>
      </c>
      <c r="T25" s="304" t="s">
        <v>94</v>
      </c>
      <c r="U25" s="115"/>
    </row>
    <row r="26" spans="1:21" s="42" customFormat="1" x14ac:dyDescent="0.2">
      <c r="A26" s="230" t="str">
        <f t="shared" si="0"/>
        <v>18STL GALV PPW</v>
      </c>
      <c r="B26" s="291"/>
      <c r="C26" s="292"/>
      <c r="D26" s="294" t="s">
        <v>258</v>
      </c>
      <c r="E26" s="294">
        <v>18</v>
      </c>
      <c r="F26" s="295" t="s">
        <v>275</v>
      </c>
      <c r="G26" s="295" t="s">
        <v>276</v>
      </c>
      <c r="H26" s="296">
        <v>4.5030000000000001E-2</v>
      </c>
      <c r="I26" s="295" t="s">
        <v>9</v>
      </c>
      <c r="J26" s="295" t="s">
        <v>86</v>
      </c>
      <c r="K26" s="295" t="s">
        <v>277</v>
      </c>
      <c r="L26" s="294" t="s">
        <v>278</v>
      </c>
      <c r="M26" s="295" t="s">
        <v>261</v>
      </c>
      <c r="N26" s="232" t="s">
        <v>262</v>
      </c>
      <c r="O26" s="295" t="s">
        <v>263</v>
      </c>
      <c r="P26" s="295" t="s">
        <v>91</v>
      </c>
      <c r="Q26" s="295" t="s">
        <v>658</v>
      </c>
      <c r="R26" s="232" t="s">
        <v>279</v>
      </c>
      <c r="S26" s="295" t="s">
        <v>280</v>
      </c>
      <c r="T26" s="304" t="s">
        <v>94</v>
      </c>
      <c r="U26" s="115"/>
    </row>
    <row r="27" spans="1:21" s="42" customFormat="1" x14ac:dyDescent="0.2">
      <c r="A27" s="230" t="str">
        <f t="shared" si="0"/>
        <v>18STL GALV PPC</v>
      </c>
      <c r="B27" s="291"/>
      <c r="C27" s="292"/>
      <c r="D27" s="294" t="s">
        <v>258</v>
      </c>
      <c r="E27" s="294">
        <v>18</v>
      </c>
      <c r="F27" s="295" t="s">
        <v>275</v>
      </c>
      <c r="G27" s="295" t="s">
        <v>276</v>
      </c>
      <c r="H27" s="296">
        <v>4.5039999999999997E-2</v>
      </c>
      <c r="I27" s="295" t="s">
        <v>9</v>
      </c>
      <c r="J27" s="295" t="s">
        <v>86</v>
      </c>
      <c r="K27" s="295" t="s">
        <v>281</v>
      </c>
      <c r="L27" s="294" t="s">
        <v>282</v>
      </c>
      <c r="M27" s="295" t="s">
        <v>261</v>
      </c>
      <c r="N27" s="232" t="s">
        <v>262</v>
      </c>
      <c r="O27" s="295" t="s">
        <v>263</v>
      </c>
      <c r="P27" s="295" t="s">
        <v>91</v>
      </c>
      <c r="Q27" s="295" t="s">
        <v>657</v>
      </c>
      <c r="R27" s="232" t="s">
        <v>283</v>
      </c>
      <c r="S27" s="295" t="s">
        <v>274</v>
      </c>
      <c r="T27" s="304" t="s">
        <v>94</v>
      </c>
      <c r="U27" s="115"/>
    </row>
    <row r="28" spans="1:21" s="42" customFormat="1" x14ac:dyDescent="0.2">
      <c r="A28" s="230" t="str">
        <f t="shared" si="0"/>
        <v>10STL HOT ROLL</v>
      </c>
      <c r="B28" s="291"/>
      <c r="C28" s="292"/>
      <c r="D28" s="293" t="s">
        <v>236</v>
      </c>
      <c r="E28" s="293" t="s">
        <v>156</v>
      </c>
      <c r="F28" s="306" t="s">
        <v>237</v>
      </c>
      <c r="G28" s="306" t="s">
        <v>237</v>
      </c>
      <c r="H28" s="302">
        <v>0.12701000000000001</v>
      </c>
      <c r="I28" s="301" t="s">
        <v>9</v>
      </c>
      <c r="J28" s="295" t="s">
        <v>86</v>
      </c>
      <c r="K28" s="295" t="s">
        <v>238</v>
      </c>
      <c r="L28" s="294" t="s">
        <v>239</v>
      </c>
      <c r="M28" s="295" t="s">
        <v>217</v>
      </c>
      <c r="N28" s="232" t="s">
        <v>9</v>
      </c>
      <c r="O28" s="295" t="s">
        <v>218</v>
      </c>
      <c r="P28" s="295" t="s">
        <v>91</v>
      </c>
      <c r="Q28" s="301" t="s">
        <v>882</v>
      </c>
      <c r="R28" s="303" t="s">
        <v>240</v>
      </c>
      <c r="S28" s="295" t="s">
        <v>241</v>
      </c>
      <c r="T28" s="304" t="s">
        <v>94</v>
      </c>
      <c r="U28" s="115"/>
    </row>
    <row r="29" spans="1:21" s="42" customFormat="1" x14ac:dyDescent="0.2">
      <c r="A29" s="230" t="str">
        <f t="shared" si="0"/>
        <v>11STL HOT ROLL</v>
      </c>
      <c r="B29" s="291"/>
      <c r="C29" s="292"/>
      <c r="D29" s="293" t="s">
        <v>236</v>
      </c>
      <c r="E29" s="293" t="s">
        <v>105</v>
      </c>
      <c r="F29" s="306" t="s">
        <v>242</v>
      </c>
      <c r="G29" s="306" t="s">
        <v>242</v>
      </c>
      <c r="H29" s="302">
        <v>0.11201</v>
      </c>
      <c r="I29" s="301" t="s">
        <v>9</v>
      </c>
      <c r="J29" s="295" t="s">
        <v>86</v>
      </c>
      <c r="K29" s="295" t="s">
        <v>243</v>
      </c>
      <c r="L29" s="294" t="s">
        <v>244</v>
      </c>
      <c r="M29" s="295" t="s">
        <v>217</v>
      </c>
      <c r="N29" s="232" t="s">
        <v>9</v>
      </c>
      <c r="O29" s="295" t="s">
        <v>225</v>
      </c>
      <c r="P29" s="295" t="s">
        <v>91</v>
      </c>
      <c r="Q29" s="301" t="s">
        <v>882</v>
      </c>
      <c r="R29" s="303" t="s">
        <v>245</v>
      </c>
      <c r="S29" s="295" t="s">
        <v>241</v>
      </c>
      <c r="T29" s="304" t="s">
        <v>94</v>
      </c>
      <c r="U29" s="115"/>
    </row>
    <row r="30" spans="1:21" s="42" customFormat="1" x14ac:dyDescent="0.2">
      <c r="A30" s="230" t="str">
        <f t="shared" si="0"/>
        <v>12STL HOT ROLL</v>
      </c>
      <c r="B30" s="291"/>
      <c r="C30" s="292"/>
      <c r="D30" s="293" t="s">
        <v>236</v>
      </c>
      <c r="E30" s="293" t="s">
        <v>220</v>
      </c>
      <c r="F30" s="301" t="s">
        <v>222</v>
      </c>
      <c r="G30" s="301" t="s">
        <v>222</v>
      </c>
      <c r="H30" s="302">
        <v>9.7040000000000001E-2</v>
      </c>
      <c r="I30" s="301" t="s">
        <v>9</v>
      </c>
      <c r="J30" s="295" t="s">
        <v>86</v>
      </c>
      <c r="K30" s="295" t="s">
        <v>246</v>
      </c>
      <c r="L30" s="294" t="s">
        <v>247</v>
      </c>
      <c r="M30" s="295" t="s">
        <v>217</v>
      </c>
      <c r="N30" s="232" t="s">
        <v>9</v>
      </c>
      <c r="O30" s="295" t="s">
        <v>225</v>
      </c>
      <c r="P30" s="295" t="s">
        <v>91</v>
      </c>
      <c r="Q30" s="295" t="s">
        <v>882</v>
      </c>
      <c r="R30" s="303" t="s">
        <v>248</v>
      </c>
      <c r="S30" s="295" t="s">
        <v>241</v>
      </c>
      <c r="T30" s="304" t="s">
        <v>94</v>
      </c>
      <c r="U30" s="115"/>
    </row>
    <row r="31" spans="1:21" s="42" customFormat="1" x14ac:dyDescent="0.2">
      <c r="A31" s="230" t="str">
        <f t="shared" si="0"/>
        <v>14STL HOT ROLL</v>
      </c>
      <c r="B31" s="291"/>
      <c r="C31" s="292"/>
      <c r="D31" s="293" t="s">
        <v>236</v>
      </c>
      <c r="E31" s="293" t="s">
        <v>136</v>
      </c>
      <c r="F31" s="306" t="s">
        <v>249</v>
      </c>
      <c r="G31" s="306" t="s">
        <v>249</v>
      </c>
      <c r="H31" s="302">
        <v>6.8010000000000001E-2</v>
      </c>
      <c r="I31" s="301" t="s">
        <v>9</v>
      </c>
      <c r="J31" s="295" t="s">
        <v>86</v>
      </c>
      <c r="K31" s="295" t="s">
        <v>250</v>
      </c>
      <c r="L31" s="294" t="s">
        <v>251</v>
      </c>
      <c r="M31" s="295" t="s">
        <v>217</v>
      </c>
      <c r="N31" s="232" t="s">
        <v>9</v>
      </c>
      <c r="O31" s="295" t="s">
        <v>123</v>
      </c>
      <c r="P31" s="295" t="s">
        <v>91</v>
      </c>
      <c r="Q31" s="301" t="s">
        <v>882</v>
      </c>
      <c r="R31" s="303" t="s">
        <v>252</v>
      </c>
      <c r="S31" s="295" t="s">
        <v>241</v>
      </c>
      <c r="T31" s="304" t="s">
        <v>94</v>
      </c>
      <c r="U31" s="115"/>
    </row>
    <row r="32" spans="1:21" s="42" customFormat="1" x14ac:dyDescent="0.2">
      <c r="A32" s="230" t="str">
        <f t="shared" si="0"/>
        <v>20ALM SHT</v>
      </c>
      <c r="B32" s="291"/>
      <c r="C32" s="292"/>
      <c r="D32" s="294" t="s">
        <v>155</v>
      </c>
      <c r="E32" s="294" t="s">
        <v>169</v>
      </c>
      <c r="F32" s="295" t="s">
        <v>170</v>
      </c>
      <c r="G32" s="295" t="s">
        <v>170</v>
      </c>
      <c r="H32" s="296">
        <v>4.0009999999999997E-2</v>
      </c>
      <c r="I32" s="295" t="s">
        <v>9</v>
      </c>
      <c r="J32" s="295" t="s">
        <v>86</v>
      </c>
      <c r="K32" s="307" t="s">
        <v>171</v>
      </c>
      <c r="L32" s="308" t="s">
        <v>172</v>
      </c>
      <c r="M32" s="295" t="s">
        <v>89</v>
      </c>
      <c r="N32" s="232" t="s">
        <v>883</v>
      </c>
      <c r="O32" s="295" t="s">
        <v>90</v>
      </c>
      <c r="P32" s="301" t="s">
        <v>91</v>
      </c>
      <c r="Q32" s="295" t="s">
        <v>884</v>
      </c>
      <c r="R32" s="295" t="s">
        <v>173</v>
      </c>
      <c r="S32" s="295" t="s">
        <v>94</v>
      </c>
      <c r="T32" s="304" t="s">
        <v>94</v>
      </c>
      <c r="U32" s="115"/>
    </row>
    <row r="33" spans="1:21" s="42" customFormat="1" x14ac:dyDescent="0.2">
      <c r="A33" s="230" t="str">
        <f t="shared" si="0"/>
        <v>18ALM SHT</v>
      </c>
      <c r="B33" s="291"/>
      <c r="C33" s="292"/>
      <c r="D33" s="294" t="s">
        <v>155</v>
      </c>
      <c r="E33" s="294" t="s">
        <v>150</v>
      </c>
      <c r="F33" s="295" t="s">
        <v>151</v>
      </c>
      <c r="G33" s="295" t="s">
        <v>151</v>
      </c>
      <c r="H33" s="296">
        <v>5.0029999999999998E-2</v>
      </c>
      <c r="I33" s="295" t="s">
        <v>9</v>
      </c>
      <c r="J33" s="295" t="s">
        <v>86</v>
      </c>
      <c r="K33" s="307" t="s">
        <v>166</v>
      </c>
      <c r="L33" s="308" t="s">
        <v>167</v>
      </c>
      <c r="M33" s="295" t="s">
        <v>89</v>
      </c>
      <c r="N33" s="232" t="s">
        <v>883</v>
      </c>
      <c r="O33" s="295" t="s">
        <v>90</v>
      </c>
      <c r="P33" s="301" t="s">
        <v>91</v>
      </c>
      <c r="Q33" s="295" t="s">
        <v>884</v>
      </c>
      <c r="R33" s="295" t="s">
        <v>168</v>
      </c>
      <c r="S33" s="295" t="s">
        <v>94</v>
      </c>
      <c r="T33" s="304" t="s">
        <v>94</v>
      </c>
      <c r="U33" s="115"/>
    </row>
    <row r="34" spans="1:21" s="42" customFormat="1" x14ac:dyDescent="0.2">
      <c r="A34" s="230" t="str">
        <f t="shared" si="0"/>
        <v>16ALM SHT</v>
      </c>
      <c r="B34" s="291"/>
      <c r="C34" s="292"/>
      <c r="D34" s="294" t="s">
        <v>155</v>
      </c>
      <c r="E34" s="294" t="s">
        <v>119</v>
      </c>
      <c r="F34" s="295" t="s">
        <v>146</v>
      </c>
      <c r="G34" s="295" t="s">
        <v>146</v>
      </c>
      <c r="H34" s="296">
        <v>6.3009999999999997E-2</v>
      </c>
      <c r="I34" s="295" t="s">
        <v>9</v>
      </c>
      <c r="J34" s="295" t="s">
        <v>86</v>
      </c>
      <c r="K34" s="307" t="s">
        <v>163</v>
      </c>
      <c r="L34" s="308" t="s">
        <v>164</v>
      </c>
      <c r="M34" s="295" t="s">
        <v>89</v>
      </c>
      <c r="N34" s="232" t="s">
        <v>883</v>
      </c>
      <c r="O34" s="295" t="s">
        <v>90</v>
      </c>
      <c r="P34" s="295" t="s">
        <v>91</v>
      </c>
      <c r="Q34" s="295" t="s">
        <v>884</v>
      </c>
      <c r="R34" s="295" t="s">
        <v>165</v>
      </c>
      <c r="S34" s="295" t="s">
        <v>94</v>
      </c>
      <c r="T34" s="304" t="s">
        <v>94</v>
      </c>
      <c r="U34" s="115"/>
    </row>
    <row r="35" spans="1:21" s="42" customFormat="1" x14ac:dyDescent="0.2">
      <c r="A35" s="230" t="str">
        <f t="shared" si="0"/>
        <v>14ALM SHT</v>
      </c>
      <c r="B35" s="291"/>
      <c r="C35" s="292"/>
      <c r="D35" s="294" t="s">
        <v>155</v>
      </c>
      <c r="E35" s="294" t="s">
        <v>136</v>
      </c>
      <c r="F35" s="295" t="s">
        <v>137</v>
      </c>
      <c r="G35" s="295" t="s">
        <v>137</v>
      </c>
      <c r="H35" s="296">
        <v>8.0009999999999998E-2</v>
      </c>
      <c r="I35" s="295" t="s">
        <v>9</v>
      </c>
      <c r="J35" s="295" t="s">
        <v>86</v>
      </c>
      <c r="K35" s="307" t="s">
        <v>160</v>
      </c>
      <c r="L35" s="308" t="s">
        <v>161</v>
      </c>
      <c r="M35" s="295" t="s">
        <v>89</v>
      </c>
      <c r="N35" s="232" t="s">
        <v>883</v>
      </c>
      <c r="O35" s="295" t="s">
        <v>90</v>
      </c>
      <c r="P35" s="295" t="s">
        <v>91</v>
      </c>
      <c r="Q35" s="295" t="s">
        <v>884</v>
      </c>
      <c r="R35" s="295" t="s">
        <v>162</v>
      </c>
      <c r="S35" s="295" t="s">
        <v>94</v>
      </c>
      <c r="T35" s="304" t="s">
        <v>94</v>
      </c>
      <c r="U35" s="115"/>
    </row>
    <row r="36" spans="1:21" s="42" customFormat="1" x14ac:dyDescent="0.2">
      <c r="A36" s="230" t="str">
        <f t="shared" si="0"/>
        <v>10ALM SHT</v>
      </c>
      <c r="B36" s="291"/>
      <c r="C36" s="292"/>
      <c r="D36" s="294" t="s">
        <v>155</v>
      </c>
      <c r="E36" s="294" t="s">
        <v>156</v>
      </c>
      <c r="F36" s="295" t="s">
        <v>96</v>
      </c>
      <c r="G36" s="295" t="s">
        <v>96</v>
      </c>
      <c r="H36" s="296">
        <v>0.12501000000000001</v>
      </c>
      <c r="I36" s="295" t="s">
        <v>9</v>
      </c>
      <c r="J36" s="295" t="s">
        <v>86</v>
      </c>
      <c r="K36" s="307" t="s">
        <v>157</v>
      </c>
      <c r="L36" s="308" t="s">
        <v>158</v>
      </c>
      <c r="M36" s="295" t="s">
        <v>89</v>
      </c>
      <c r="N36" s="232" t="s">
        <v>883</v>
      </c>
      <c r="O36" s="295" t="s">
        <v>90</v>
      </c>
      <c r="P36" s="295" t="s">
        <v>91</v>
      </c>
      <c r="Q36" s="295" t="s">
        <v>884</v>
      </c>
      <c r="R36" s="295" t="s">
        <v>159</v>
      </c>
      <c r="S36" s="295" t="s">
        <v>94</v>
      </c>
      <c r="T36" s="304" t="s">
        <v>94</v>
      </c>
      <c r="U36" s="115"/>
    </row>
    <row r="37" spans="1:21" s="42" customFormat="1" x14ac:dyDescent="0.2">
      <c r="A37" s="230" t="str">
        <f t="shared" si="0"/>
        <v>8ALM SHT</v>
      </c>
      <c r="B37" s="291"/>
      <c r="C37" s="292"/>
      <c r="D37" s="294" t="s">
        <v>155</v>
      </c>
      <c r="E37" s="294" t="s">
        <v>174</v>
      </c>
      <c r="F37" s="295" t="s">
        <v>175</v>
      </c>
      <c r="G37" s="295" t="s">
        <v>175</v>
      </c>
      <c r="H37" s="296">
        <v>0.19001000000000001</v>
      </c>
      <c r="I37" s="295" t="s">
        <v>9</v>
      </c>
      <c r="J37" s="295" t="s">
        <v>86</v>
      </c>
      <c r="K37" s="307" t="s">
        <v>176</v>
      </c>
      <c r="L37" s="308" t="s">
        <v>177</v>
      </c>
      <c r="M37" s="295" t="s">
        <v>89</v>
      </c>
      <c r="N37" s="232" t="s">
        <v>883</v>
      </c>
      <c r="O37" s="295" t="s">
        <v>90</v>
      </c>
      <c r="P37" s="295" t="s">
        <v>91</v>
      </c>
      <c r="Q37" s="295" t="s">
        <v>884</v>
      </c>
      <c r="R37" s="295" t="s">
        <v>178</v>
      </c>
      <c r="S37" s="295" t="s">
        <v>94</v>
      </c>
      <c r="T37" s="304" t="s">
        <v>94</v>
      </c>
      <c r="U37" s="115"/>
    </row>
    <row r="38" spans="1:21" s="42" customFormat="1" x14ac:dyDescent="0.2">
      <c r="A38" s="230" t="str">
        <f t="shared" si="0"/>
        <v>8SST304</v>
      </c>
      <c r="B38" s="291"/>
      <c r="C38" s="292"/>
      <c r="D38" s="294" t="s">
        <v>402</v>
      </c>
      <c r="E38" s="294" t="s">
        <v>174</v>
      </c>
      <c r="F38" s="295" t="s">
        <v>475</v>
      </c>
      <c r="G38" s="295" t="s">
        <v>475</v>
      </c>
      <c r="H38" s="296">
        <v>0.16500999999999999</v>
      </c>
      <c r="I38" s="295" t="s">
        <v>94</v>
      </c>
      <c r="J38" s="295" t="s">
        <v>94</v>
      </c>
      <c r="K38" s="232" t="s">
        <v>476</v>
      </c>
      <c r="L38" s="294" t="s">
        <v>405</v>
      </c>
      <c r="M38" s="295" t="s">
        <v>406</v>
      </c>
      <c r="N38" s="300" t="s">
        <v>407</v>
      </c>
      <c r="O38" s="295" t="s">
        <v>218</v>
      </c>
      <c r="P38" s="295" t="s">
        <v>91</v>
      </c>
      <c r="Q38" s="295" t="s">
        <v>408</v>
      </c>
      <c r="R38" s="232" t="s">
        <v>477</v>
      </c>
      <c r="S38" s="232" t="s">
        <v>94</v>
      </c>
      <c r="T38" s="299" t="s">
        <v>94</v>
      </c>
      <c r="U38" s="115"/>
    </row>
    <row r="39" spans="1:21" s="42" customFormat="1" x14ac:dyDescent="0.2">
      <c r="A39" s="230" t="str">
        <f t="shared" si="0"/>
        <v>10SST304</v>
      </c>
      <c r="B39" s="291"/>
      <c r="C39" s="292"/>
      <c r="D39" s="293" t="s">
        <v>402</v>
      </c>
      <c r="E39" s="294" t="s">
        <v>156</v>
      </c>
      <c r="F39" s="295" t="s">
        <v>432</v>
      </c>
      <c r="G39" s="295" t="s">
        <v>432</v>
      </c>
      <c r="H39" s="296">
        <v>0.13500999999999999</v>
      </c>
      <c r="I39" s="295" t="s">
        <v>97</v>
      </c>
      <c r="J39" s="295" t="s">
        <v>86</v>
      </c>
      <c r="K39" s="232" t="s">
        <v>433</v>
      </c>
      <c r="L39" s="294" t="s">
        <v>405</v>
      </c>
      <c r="M39" s="295" t="s">
        <v>406</v>
      </c>
      <c r="N39" s="300" t="s">
        <v>407</v>
      </c>
      <c r="O39" s="295" t="s">
        <v>218</v>
      </c>
      <c r="P39" s="295" t="s">
        <v>91</v>
      </c>
      <c r="Q39" s="295" t="s">
        <v>408</v>
      </c>
      <c r="R39" s="232" t="s">
        <v>434</v>
      </c>
      <c r="S39" s="232" t="s">
        <v>94</v>
      </c>
      <c r="T39" s="299" t="s">
        <v>94</v>
      </c>
      <c r="U39" s="115"/>
    </row>
    <row r="40" spans="1:21" s="42" customFormat="1" x14ac:dyDescent="0.2">
      <c r="A40" s="230" t="str">
        <f t="shared" si="0"/>
        <v>12SST304</v>
      </c>
      <c r="B40" s="291"/>
      <c r="C40" s="292"/>
      <c r="D40" s="293" t="s">
        <v>402</v>
      </c>
      <c r="E40" s="294" t="s">
        <v>220</v>
      </c>
      <c r="F40" s="295" t="s">
        <v>440</v>
      </c>
      <c r="G40" s="295" t="s">
        <v>440</v>
      </c>
      <c r="H40" s="296">
        <v>0.10501000000000001</v>
      </c>
      <c r="I40" s="295" t="s">
        <v>97</v>
      </c>
      <c r="J40" s="295" t="s">
        <v>86</v>
      </c>
      <c r="K40" s="232" t="s">
        <v>441</v>
      </c>
      <c r="L40" s="294" t="s">
        <v>405</v>
      </c>
      <c r="M40" s="295" t="s">
        <v>406</v>
      </c>
      <c r="N40" s="300" t="s">
        <v>407</v>
      </c>
      <c r="O40" s="295" t="s">
        <v>100</v>
      </c>
      <c r="P40" s="295" t="s">
        <v>91</v>
      </c>
      <c r="Q40" s="295" t="s">
        <v>408</v>
      </c>
      <c r="R40" s="232" t="s">
        <v>442</v>
      </c>
      <c r="S40" s="232" t="s">
        <v>94</v>
      </c>
      <c r="T40" s="299" t="s">
        <v>94</v>
      </c>
      <c r="U40" s="115"/>
    </row>
    <row r="41" spans="1:21" s="42" customFormat="1" x14ac:dyDescent="0.2">
      <c r="A41" s="230" t="str">
        <f t="shared" si="0"/>
        <v>14SST304</v>
      </c>
      <c r="B41" s="291"/>
      <c r="C41" s="292"/>
      <c r="D41" s="293" t="s">
        <v>402</v>
      </c>
      <c r="E41" s="294">
        <v>14</v>
      </c>
      <c r="F41" s="295" t="s">
        <v>403</v>
      </c>
      <c r="G41" s="295" t="s">
        <v>403</v>
      </c>
      <c r="H41" s="296">
        <v>7.5009999999999993E-2</v>
      </c>
      <c r="I41" s="295" t="s">
        <v>97</v>
      </c>
      <c r="J41" s="295" t="s">
        <v>86</v>
      </c>
      <c r="K41" s="232" t="s">
        <v>404</v>
      </c>
      <c r="L41" s="294" t="s">
        <v>405</v>
      </c>
      <c r="M41" s="295" t="s">
        <v>406</v>
      </c>
      <c r="N41" s="300" t="s">
        <v>407</v>
      </c>
      <c r="O41" s="295" t="s">
        <v>100</v>
      </c>
      <c r="P41" s="295" t="s">
        <v>91</v>
      </c>
      <c r="Q41" s="295" t="s">
        <v>408</v>
      </c>
      <c r="R41" s="232" t="s">
        <v>409</v>
      </c>
      <c r="S41" s="232" t="s">
        <v>94</v>
      </c>
      <c r="T41" s="299" t="s">
        <v>94</v>
      </c>
      <c r="U41" s="115"/>
    </row>
    <row r="42" spans="1:21" s="42" customFormat="1" x14ac:dyDescent="0.2">
      <c r="A42" s="230" t="str">
        <f t="shared" si="0"/>
        <v>16SST304</v>
      </c>
      <c r="B42" s="291"/>
      <c r="C42" s="292"/>
      <c r="D42" s="293" t="s">
        <v>402</v>
      </c>
      <c r="E42" s="294">
        <v>16</v>
      </c>
      <c r="F42" s="295" t="s">
        <v>120</v>
      </c>
      <c r="G42" s="295" t="s">
        <v>120</v>
      </c>
      <c r="H42" s="296">
        <v>6.0010000000000001E-2</v>
      </c>
      <c r="I42" s="295" t="s">
        <v>97</v>
      </c>
      <c r="J42" s="295" t="s">
        <v>86</v>
      </c>
      <c r="K42" s="232" t="s">
        <v>410</v>
      </c>
      <c r="L42" s="294" t="s">
        <v>405</v>
      </c>
      <c r="M42" s="295" t="s">
        <v>406</v>
      </c>
      <c r="N42" s="300" t="s">
        <v>407</v>
      </c>
      <c r="O42" s="295" t="s">
        <v>100</v>
      </c>
      <c r="P42" s="295" t="s">
        <v>91</v>
      </c>
      <c r="Q42" s="295" t="s">
        <v>408</v>
      </c>
      <c r="R42" s="232" t="s">
        <v>411</v>
      </c>
      <c r="S42" s="232" t="s">
        <v>94</v>
      </c>
      <c r="T42" s="299" t="s">
        <v>94</v>
      </c>
      <c r="U42" s="115"/>
    </row>
    <row r="43" spans="1:21" s="42" customFormat="1" x14ac:dyDescent="0.2">
      <c r="A43" s="230" t="str">
        <f t="shared" si="0"/>
        <v>18SST304</v>
      </c>
      <c r="B43" s="291"/>
      <c r="C43" s="292"/>
      <c r="D43" s="293" t="s">
        <v>402</v>
      </c>
      <c r="E43" s="294">
        <v>18</v>
      </c>
      <c r="F43" s="295" t="s">
        <v>412</v>
      </c>
      <c r="G43" s="295" t="s">
        <v>412</v>
      </c>
      <c r="H43" s="296">
        <v>4.8009999999999997E-2</v>
      </c>
      <c r="I43" s="295" t="s">
        <v>97</v>
      </c>
      <c r="J43" s="295" t="s">
        <v>86</v>
      </c>
      <c r="K43" s="232" t="s">
        <v>413</v>
      </c>
      <c r="L43" s="294" t="s">
        <v>405</v>
      </c>
      <c r="M43" s="295" t="s">
        <v>406</v>
      </c>
      <c r="N43" s="300" t="s">
        <v>407</v>
      </c>
      <c r="O43" s="295" t="s">
        <v>100</v>
      </c>
      <c r="P43" s="295" t="s">
        <v>91</v>
      </c>
      <c r="Q43" s="295" t="s">
        <v>408</v>
      </c>
      <c r="R43" s="232" t="s">
        <v>414</v>
      </c>
      <c r="S43" s="232" t="s">
        <v>94</v>
      </c>
      <c r="T43" s="299" t="s">
        <v>94</v>
      </c>
      <c r="U43" s="115"/>
    </row>
    <row r="44" spans="1:21" s="42" customFormat="1" x14ac:dyDescent="0.2">
      <c r="A44" s="230" t="str">
        <f t="shared" si="0"/>
        <v>20SST304</v>
      </c>
      <c r="B44" s="291"/>
      <c r="C44" s="292"/>
      <c r="D44" s="293" t="s">
        <v>402</v>
      </c>
      <c r="E44" s="294">
        <v>20</v>
      </c>
      <c r="F44" s="295" t="s">
        <v>415</v>
      </c>
      <c r="G44" s="295" t="s">
        <v>415</v>
      </c>
      <c r="H44" s="296">
        <v>3.5009999999999999E-2</v>
      </c>
      <c r="I44" s="295" t="s">
        <v>97</v>
      </c>
      <c r="J44" s="295" t="s">
        <v>86</v>
      </c>
      <c r="K44" s="232" t="s">
        <v>416</v>
      </c>
      <c r="L44" s="294" t="s">
        <v>405</v>
      </c>
      <c r="M44" s="295" t="s">
        <v>406</v>
      </c>
      <c r="N44" s="300" t="s">
        <v>407</v>
      </c>
      <c r="O44" s="295" t="s">
        <v>100</v>
      </c>
      <c r="P44" s="295" t="s">
        <v>91</v>
      </c>
      <c r="Q44" s="295" t="s">
        <v>408</v>
      </c>
      <c r="R44" s="232" t="s">
        <v>417</v>
      </c>
      <c r="S44" s="232" t="s">
        <v>94</v>
      </c>
      <c r="T44" s="299" t="s">
        <v>94</v>
      </c>
      <c r="U44" s="115"/>
    </row>
    <row r="45" spans="1:21" s="42" customFormat="1" x14ac:dyDescent="0.2">
      <c r="A45" s="230" t="str">
        <f t="shared" si="0"/>
        <v>22SST304</v>
      </c>
      <c r="B45" s="291"/>
      <c r="C45" s="292"/>
      <c r="D45" s="293" t="s">
        <v>402</v>
      </c>
      <c r="E45" s="294" t="s">
        <v>395</v>
      </c>
      <c r="F45" s="295" t="s">
        <v>463</v>
      </c>
      <c r="G45" s="295" t="s">
        <v>463</v>
      </c>
      <c r="H45" s="296">
        <v>2.9010000000000001E-2</v>
      </c>
      <c r="I45" s="295" t="s">
        <v>9</v>
      </c>
      <c r="J45" s="295" t="s">
        <v>86</v>
      </c>
      <c r="K45" s="232" t="s">
        <v>464</v>
      </c>
      <c r="L45" s="294" t="s">
        <v>405</v>
      </c>
      <c r="M45" s="295" t="s">
        <v>406</v>
      </c>
      <c r="N45" s="300" t="s">
        <v>407</v>
      </c>
      <c r="O45" s="295" t="s">
        <v>100</v>
      </c>
      <c r="P45" s="295" t="s">
        <v>91</v>
      </c>
      <c r="Q45" s="295" t="s">
        <v>408</v>
      </c>
      <c r="R45" s="232" t="s">
        <v>465</v>
      </c>
      <c r="S45" s="232" t="s">
        <v>94</v>
      </c>
      <c r="T45" s="299" t="s">
        <v>94</v>
      </c>
      <c r="U45" s="115"/>
    </row>
    <row r="46" spans="1:21" s="42" customFormat="1" x14ac:dyDescent="0.2">
      <c r="A46" s="230" t="str">
        <f t="shared" si="0"/>
        <v>24SST304</v>
      </c>
      <c r="B46" s="291"/>
      <c r="C46" s="292"/>
      <c r="D46" s="293" t="s">
        <v>402</v>
      </c>
      <c r="E46" s="294" t="s">
        <v>398</v>
      </c>
      <c r="F46" s="295" t="s">
        <v>466</v>
      </c>
      <c r="G46" s="295" t="s">
        <v>466</v>
      </c>
      <c r="H46" s="296">
        <v>2.401E-2</v>
      </c>
      <c r="I46" s="295" t="s">
        <v>94</v>
      </c>
      <c r="J46" s="295" t="s">
        <v>94</v>
      </c>
      <c r="K46" s="232" t="s">
        <v>467</v>
      </c>
      <c r="L46" s="294" t="s">
        <v>405</v>
      </c>
      <c r="M46" s="295" t="s">
        <v>406</v>
      </c>
      <c r="N46" s="300" t="s">
        <v>407</v>
      </c>
      <c r="O46" s="295" t="s">
        <v>100</v>
      </c>
      <c r="P46" s="295" t="s">
        <v>91</v>
      </c>
      <c r="Q46" s="295" t="s">
        <v>408</v>
      </c>
      <c r="R46" s="232" t="s">
        <v>468</v>
      </c>
      <c r="S46" s="232" t="s">
        <v>94</v>
      </c>
      <c r="T46" s="299" t="s">
        <v>94</v>
      </c>
      <c r="U46" s="115"/>
    </row>
    <row r="47" spans="1:21" s="42" customFormat="1" x14ac:dyDescent="0.2">
      <c r="A47" s="230" t="str">
        <f t="shared" si="0"/>
        <v>12SST304L</v>
      </c>
      <c r="B47" s="291"/>
      <c r="C47" s="292"/>
      <c r="D47" s="293" t="s">
        <v>402</v>
      </c>
      <c r="E47" s="294" t="s">
        <v>220</v>
      </c>
      <c r="F47" s="295" t="s">
        <v>440</v>
      </c>
      <c r="G47" s="295" t="s">
        <v>440</v>
      </c>
      <c r="H47" s="296">
        <v>0.10502</v>
      </c>
      <c r="I47" s="295" t="s">
        <v>9</v>
      </c>
      <c r="J47" s="295" t="s">
        <v>86</v>
      </c>
      <c r="K47" s="295" t="s">
        <v>481</v>
      </c>
      <c r="L47" s="294" t="s">
        <v>482</v>
      </c>
      <c r="M47" s="295" t="s">
        <v>483</v>
      </c>
      <c r="N47" s="300" t="s">
        <v>407</v>
      </c>
      <c r="O47" s="295" t="s">
        <v>100</v>
      </c>
      <c r="P47" s="295" t="s">
        <v>91</v>
      </c>
      <c r="Q47" s="295" t="s">
        <v>484</v>
      </c>
      <c r="R47" s="232" t="s">
        <v>485</v>
      </c>
      <c r="S47" s="232" t="s">
        <v>94</v>
      </c>
      <c r="T47" s="299" t="s">
        <v>94</v>
      </c>
      <c r="U47" s="115"/>
    </row>
    <row r="48" spans="1:21" s="42" customFormat="1" x14ac:dyDescent="0.2">
      <c r="A48" s="230" t="str">
        <f t="shared" si="0"/>
        <v>16SST304L</v>
      </c>
      <c r="B48" s="291"/>
      <c r="C48" s="292"/>
      <c r="D48" s="293" t="s">
        <v>402</v>
      </c>
      <c r="E48" s="294" t="s">
        <v>119</v>
      </c>
      <c r="F48" s="295" t="s">
        <v>120</v>
      </c>
      <c r="G48" s="295" t="s">
        <v>120</v>
      </c>
      <c r="H48" s="296">
        <v>6.0019999999999997E-2</v>
      </c>
      <c r="I48" s="295" t="s">
        <v>9</v>
      </c>
      <c r="J48" s="295" t="s">
        <v>86</v>
      </c>
      <c r="K48" s="295" t="s">
        <v>486</v>
      </c>
      <c r="L48" s="294" t="s">
        <v>487</v>
      </c>
      <c r="M48" s="295" t="s">
        <v>483</v>
      </c>
      <c r="N48" s="300" t="s">
        <v>407</v>
      </c>
      <c r="O48" s="295" t="s">
        <v>100</v>
      </c>
      <c r="P48" s="295" t="s">
        <v>91</v>
      </c>
      <c r="Q48" s="295" t="s">
        <v>484</v>
      </c>
      <c r="R48" s="232" t="s">
        <v>488</v>
      </c>
      <c r="S48" s="232" t="s">
        <v>94</v>
      </c>
      <c r="T48" s="299" t="s">
        <v>94</v>
      </c>
      <c r="U48" s="115"/>
    </row>
    <row r="49" spans="1:21" s="43" customFormat="1" x14ac:dyDescent="0.2">
      <c r="A49" s="230" t="str">
        <f t="shared" si="0"/>
        <v>10SST316L</v>
      </c>
      <c r="B49" s="310"/>
      <c r="C49" s="311"/>
      <c r="D49" s="293" t="s">
        <v>402</v>
      </c>
      <c r="E49" s="294" t="s">
        <v>156</v>
      </c>
      <c r="F49" s="295" t="s">
        <v>432</v>
      </c>
      <c r="G49" s="295" t="s">
        <v>432</v>
      </c>
      <c r="H49" s="296">
        <v>0.13502</v>
      </c>
      <c r="I49" s="295" t="s">
        <v>9</v>
      </c>
      <c r="J49" s="295" t="s">
        <v>86</v>
      </c>
      <c r="K49" s="307" t="s">
        <v>489</v>
      </c>
      <c r="L49" s="312" t="s">
        <v>490</v>
      </c>
      <c r="M49" s="295" t="s">
        <v>491</v>
      </c>
      <c r="N49" s="300" t="s">
        <v>407</v>
      </c>
      <c r="O49" s="295" t="s">
        <v>100</v>
      </c>
      <c r="P49" s="295" t="s">
        <v>91</v>
      </c>
      <c r="Q49" s="295" t="s">
        <v>492</v>
      </c>
      <c r="R49" s="232" t="s">
        <v>493</v>
      </c>
      <c r="S49" s="232" t="s">
        <v>94</v>
      </c>
      <c r="T49" s="299" t="s">
        <v>94</v>
      </c>
      <c r="U49" s="44"/>
    </row>
    <row r="50" spans="1:21" s="43" customFormat="1" x14ac:dyDescent="0.2">
      <c r="A50" s="230" t="str">
        <f t="shared" si="0"/>
        <v>12SST316L</v>
      </c>
      <c r="B50" s="310"/>
      <c r="C50" s="311"/>
      <c r="D50" s="294" t="s">
        <v>402</v>
      </c>
      <c r="E50" s="294" t="s">
        <v>220</v>
      </c>
      <c r="F50" s="295" t="s">
        <v>440</v>
      </c>
      <c r="G50" s="295" t="s">
        <v>440</v>
      </c>
      <c r="H50" s="296">
        <v>0.10503</v>
      </c>
      <c r="I50" s="295" t="s">
        <v>9</v>
      </c>
      <c r="J50" s="295" t="s">
        <v>86</v>
      </c>
      <c r="K50" s="307" t="s">
        <v>494</v>
      </c>
      <c r="L50" s="312" t="s">
        <v>495</v>
      </c>
      <c r="M50" s="295" t="s">
        <v>491</v>
      </c>
      <c r="N50" s="300" t="s">
        <v>407</v>
      </c>
      <c r="O50" s="295" t="s">
        <v>100</v>
      </c>
      <c r="P50" s="295" t="s">
        <v>91</v>
      </c>
      <c r="Q50" s="295" t="s">
        <v>492</v>
      </c>
      <c r="R50" s="232" t="s">
        <v>496</v>
      </c>
      <c r="S50" s="232" t="s">
        <v>94</v>
      </c>
      <c r="T50" s="299" t="s">
        <v>94</v>
      </c>
      <c r="U50" s="44"/>
    </row>
    <row r="51" spans="1:21" s="43" customFormat="1" x14ac:dyDescent="0.2">
      <c r="A51" s="230" t="str">
        <f t="shared" si="0"/>
        <v>14SST316L</v>
      </c>
      <c r="B51" s="310"/>
      <c r="C51" s="311"/>
      <c r="D51" s="294" t="s">
        <v>402</v>
      </c>
      <c r="E51" s="294" t="s">
        <v>136</v>
      </c>
      <c r="F51" s="295" t="s">
        <v>403</v>
      </c>
      <c r="G51" s="295" t="s">
        <v>403</v>
      </c>
      <c r="H51" s="296">
        <v>7.5020000000000003E-2</v>
      </c>
      <c r="I51" s="295" t="s">
        <v>9</v>
      </c>
      <c r="J51" s="295" t="s">
        <v>86</v>
      </c>
      <c r="K51" s="307" t="s">
        <v>497</v>
      </c>
      <c r="L51" s="312" t="s">
        <v>498</v>
      </c>
      <c r="M51" s="295" t="s">
        <v>491</v>
      </c>
      <c r="N51" s="300" t="s">
        <v>407</v>
      </c>
      <c r="O51" s="295" t="s">
        <v>100</v>
      </c>
      <c r="P51" s="295" t="s">
        <v>91</v>
      </c>
      <c r="Q51" s="295" t="s">
        <v>492</v>
      </c>
      <c r="R51" s="232" t="s">
        <v>499</v>
      </c>
      <c r="S51" s="232" t="s">
        <v>94</v>
      </c>
      <c r="T51" s="299" t="s">
        <v>94</v>
      </c>
      <c r="U51" s="44"/>
    </row>
    <row r="52" spans="1:21" s="43" customFormat="1" x14ac:dyDescent="0.2">
      <c r="A52" s="230" t="str">
        <f t="shared" si="0"/>
        <v>16SST316L</v>
      </c>
      <c r="B52" s="310"/>
      <c r="C52" s="311"/>
      <c r="D52" s="293" t="s">
        <v>402</v>
      </c>
      <c r="E52" s="294" t="s">
        <v>119</v>
      </c>
      <c r="F52" s="295" t="s">
        <v>120</v>
      </c>
      <c r="G52" s="295" t="s">
        <v>120</v>
      </c>
      <c r="H52" s="296">
        <v>6.003E-2</v>
      </c>
      <c r="I52" s="295" t="s">
        <v>97</v>
      </c>
      <c r="J52" s="295" t="s">
        <v>86</v>
      </c>
      <c r="K52" s="295" t="s">
        <v>500</v>
      </c>
      <c r="L52" s="294" t="s">
        <v>501</v>
      </c>
      <c r="M52" s="295" t="s">
        <v>491</v>
      </c>
      <c r="N52" s="300" t="s">
        <v>407</v>
      </c>
      <c r="O52" s="295" t="s">
        <v>100</v>
      </c>
      <c r="P52" s="295" t="s">
        <v>91</v>
      </c>
      <c r="Q52" s="295" t="s">
        <v>492</v>
      </c>
      <c r="R52" s="232" t="s">
        <v>502</v>
      </c>
      <c r="S52" s="232" t="s">
        <v>94</v>
      </c>
      <c r="T52" s="299" t="s">
        <v>94</v>
      </c>
      <c r="U52" s="44"/>
    </row>
    <row r="53" spans="1:21" s="43" customFormat="1" x14ac:dyDescent="0.2">
      <c r="A53" s="230" t="str">
        <f t="shared" si="0"/>
        <v>18SST316L</v>
      </c>
      <c r="B53" s="310"/>
      <c r="C53" s="311"/>
      <c r="D53" s="293" t="s">
        <v>402</v>
      </c>
      <c r="E53" s="294" t="s">
        <v>150</v>
      </c>
      <c r="F53" s="295" t="s">
        <v>412</v>
      </c>
      <c r="G53" s="295" t="s">
        <v>412</v>
      </c>
      <c r="H53" s="296">
        <v>4.802E-2</v>
      </c>
      <c r="I53" s="295" t="s">
        <v>97</v>
      </c>
      <c r="J53" s="295" t="s">
        <v>86</v>
      </c>
      <c r="K53" s="232" t="s">
        <v>503</v>
      </c>
      <c r="L53" s="294" t="s">
        <v>504</v>
      </c>
      <c r="M53" s="295" t="s">
        <v>491</v>
      </c>
      <c r="N53" s="300" t="s">
        <v>407</v>
      </c>
      <c r="O53" s="295" t="s">
        <v>100</v>
      </c>
      <c r="P53" s="295" t="s">
        <v>91</v>
      </c>
      <c r="Q53" s="295" t="s">
        <v>492</v>
      </c>
      <c r="R53" s="232" t="s">
        <v>505</v>
      </c>
      <c r="S53" s="232" t="s">
        <v>94</v>
      </c>
      <c r="T53" s="299" t="s">
        <v>94</v>
      </c>
      <c r="U53" s="44"/>
    </row>
    <row r="54" spans="1:21" s="43" customFormat="1" x14ac:dyDescent="0.2">
      <c r="A54" s="313" t="str">
        <f t="shared" si="0"/>
        <v>20SST316L</v>
      </c>
      <c r="B54" s="310"/>
      <c r="C54" s="311"/>
      <c r="D54" s="293" t="s">
        <v>402</v>
      </c>
      <c r="E54" s="294" t="s">
        <v>169</v>
      </c>
      <c r="F54" s="295" t="s">
        <v>415</v>
      </c>
      <c r="G54" s="295" t="s">
        <v>415</v>
      </c>
      <c r="H54" s="296">
        <v>3.5020000000000003E-2</v>
      </c>
      <c r="I54" s="295" t="s">
        <v>97</v>
      </c>
      <c r="J54" s="295" t="s">
        <v>86</v>
      </c>
      <c r="K54" s="232" t="s">
        <v>506</v>
      </c>
      <c r="L54" s="294" t="s">
        <v>507</v>
      </c>
      <c r="M54" s="295" t="s">
        <v>491</v>
      </c>
      <c r="N54" s="300" t="s">
        <v>407</v>
      </c>
      <c r="O54" s="295" t="s">
        <v>100</v>
      </c>
      <c r="P54" s="295" t="s">
        <v>91</v>
      </c>
      <c r="Q54" s="295" t="s">
        <v>492</v>
      </c>
      <c r="R54" s="232" t="s">
        <v>508</v>
      </c>
      <c r="S54" s="232" t="s">
        <v>94</v>
      </c>
      <c r="T54" s="299" t="s">
        <v>94</v>
      </c>
      <c r="U54" s="44"/>
    </row>
    <row r="55" spans="1:21" s="43" customFormat="1" ht="13.5" thickBot="1" x14ac:dyDescent="0.25">
      <c r="A55" s="314" t="str">
        <f t="shared" si="0"/>
        <v>22SST316L</v>
      </c>
      <c r="B55" s="310"/>
      <c r="C55" s="315"/>
      <c r="D55" s="316" t="s">
        <v>402</v>
      </c>
      <c r="E55" s="316" t="s">
        <v>395</v>
      </c>
      <c r="F55" s="317" t="s">
        <v>463</v>
      </c>
      <c r="G55" s="317" t="s">
        <v>463</v>
      </c>
      <c r="H55" s="318">
        <v>2.9020000000000001E-2</v>
      </c>
      <c r="I55" s="317" t="s">
        <v>9</v>
      </c>
      <c r="J55" s="317" t="s">
        <v>86</v>
      </c>
      <c r="K55" s="319" t="s">
        <v>509</v>
      </c>
      <c r="L55" s="320" t="s">
        <v>510</v>
      </c>
      <c r="M55" s="317" t="s">
        <v>491</v>
      </c>
      <c r="N55" s="321" t="s">
        <v>407</v>
      </c>
      <c r="O55" s="317" t="s">
        <v>100</v>
      </c>
      <c r="P55" s="317" t="s">
        <v>91</v>
      </c>
      <c r="Q55" s="317" t="s">
        <v>492</v>
      </c>
      <c r="R55" s="322" t="s">
        <v>511</v>
      </c>
      <c r="S55" s="322" t="s">
        <v>94</v>
      </c>
      <c r="T55" s="323" t="s">
        <v>94</v>
      </c>
      <c r="U55" s="44"/>
    </row>
    <row r="56" spans="1:21" s="43" customFormat="1" ht="17.25" customHeight="1" thickTop="1" thickBot="1" x14ac:dyDescent="0.25">
      <c r="A56" s="324" t="str">
        <f t="shared" si="0"/>
        <v/>
      </c>
      <c r="B56" s="310"/>
      <c r="C56" s="325"/>
      <c r="D56" s="326"/>
      <c r="E56" s="326"/>
      <c r="F56" s="326"/>
      <c r="G56" s="326"/>
      <c r="H56" s="326"/>
      <c r="I56" s="326"/>
      <c r="J56" s="326"/>
      <c r="K56" s="326"/>
      <c r="L56" s="326"/>
      <c r="M56" s="327"/>
      <c r="N56" s="327"/>
      <c r="O56" s="327"/>
      <c r="P56" s="327"/>
      <c r="Q56" s="327"/>
      <c r="R56" s="327"/>
      <c r="S56" s="327"/>
      <c r="T56" s="327"/>
      <c r="U56" s="44"/>
    </row>
    <row r="57" spans="1:21" s="43" customFormat="1" ht="17.25" thickTop="1" thickBot="1" x14ac:dyDescent="0.25">
      <c r="A57" s="324" t="str">
        <f t="shared" si="0"/>
        <v/>
      </c>
      <c r="B57" s="310"/>
      <c r="C57" s="328" t="s">
        <v>659</v>
      </c>
      <c r="D57" s="329"/>
      <c r="E57" s="329"/>
      <c r="F57" s="329"/>
      <c r="G57" s="329"/>
      <c r="H57" s="329"/>
      <c r="I57" s="329"/>
      <c r="J57" s="329"/>
      <c r="K57" s="329"/>
      <c r="L57" s="329"/>
      <c r="M57" s="77"/>
      <c r="N57" s="77"/>
      <c r="O57" s="77"/>
      <c r="P57" s="77"/>
      <c r="Q57" s="77"/>
      <c r="R57" s="77"/>
      <c r="S57" s="77"/>
      <c r="T57" s="77"/>
      <c r="U57" s="44"/>
    </row>
    <row r="58" spans="1:21" s="43" customFormat="1" ht="13.5" thickTop="1" x14ac:dyDescent="0.2">
      <c r="A58" s="330" t="str">
        <f t="shared" si="0"/>
        <v>10STRUCT GALV</v>
      </c>
      <c r="B58" s="310"/>
      <c r="C58" s="311"/>
      <c r="D58" s="331" t="s">
        <v>319</v>
      </c>
      <c r="E58" s="331" t="s">
        <v>156</v>
      </c>
      <c r="F58" s="332" t="s">
        <v>96</v>
      </c>
      <c r="G58" s="332" t="s">
        <v>214</v>
      </c>
      <c r="H58" s="333">
        <v>0.12601999999999999</v>
      </c>
      <c r="I58" s="332" t="s">
        <v>97</v>
      </c>
      <c r="J58" s="332" t="s">
        <v>9</v>
      </c>
      <c r="K58" s="334" t="s">
        <v>320</v>
      </c>
      <c r="L58" s="331" t="s">
        <v>321</v>
      </c>
      <c r="M58" s="332" t="s">
        <v>183</v>
      </c>
      <c r="N58" s="335" t="s">
        <v>322</v>
      </c>
      <c r="O58" s="332" t="s">
        <v>218</v>
      </c>
      <c r="P58" s="332" t="s">
        <v>91</v>
      </c>
      <c r="Q58" s="332" t="s">
        <v>323</v>
      </c>
      <c r="R58" s="334" t="s">
        <v>324</v>
      </c>
      <c r="S58" s="336" t="s">
        <v>94</v>
      </c>
      <c r="T58" s="336" t="s">
        <v>94</v>
      </c>
      <c r="U58" s="44"/>
    </row>
    <row r="59" spans="1:21" s="43" customFormat="1" x14ac:dyDescent="0.2">
      <c r="A59" s="230" t="str">
        <f t="shared" si="0"/>
        <v>12STRUCT GALV</v>
      </c>
      <c r="B59" s="310"/>
      <c r="C59" s="311"/>
      <c r="D59" s="294" t="s">
        <v>319</v>
      </c>
      <c r="E59" s="293" t="s">
        <v>220</v>
      </c>
      <c r="F59" s="301" t="s">
        <v>221</v>
      </c>
      <c r="G59" s="301" t="s">
        <v>222</v>
      </c>
      <c r="H59" s="302">
        <v>9.7019999999999995E-2</v>
      </c>
      <c r="I59" s="301" t="s">
        <v>97</v>
      </c>
      <c r="J59" s="295" t="s">
        <v>9</v>
      </c>
      <c r="K59" s="232" t="s">
        <v>325</v>
      </c>
      <c r="L59" s="294" t="s">
        <v>321</v>
      </c>
      <c r="M59" s="295" t="s">
        <v>183</v>
      </c>
      <c r="N59" s="298" t="s">
        <v>322</v>
      </c>
      <c r="O59" s="295" t="s">
        <v>100</v>
      </c>
      <c r="P59" s="295" t="s">
        <v>91</v>
      </c>
      <c r="Q59" s="295" t="s">
        <v>323</v>
      </c>
      <c r="R59" s="232" t="s">
        <v>326</v>
      </c>
      <c r="S59" s="232" t="s">
        <v>94</v>
      </c>
      <c r="T59" s="232" t="s">
        <v>94</v>
      </c>
      <c r="U59" s="44"/>
    </row>
    <row r="60" spans="1:21" s="43" customFormat="1" ht="38.25" customHeight="1" thickBot="1" x14ac:dyDescent="0.25">
      <c r="A60" s="314" t="str">
        <f t="shared" si="0"/>
        <v>14STRUCT GALV</v>
      </c>
      <c r="B60" s="310"/>
      <c r="C60" s="311"/>
      <c r="D60" s="316" t="s">
        <v>319</v>
      </c>
      <c r="E60" s="337" t="s">
        <v>136</v>
      </c>
      <c r="F60" s="338" t="s">
        <v>227</v>
      </c>
      <c r="G60" s="338" t="s">
        <v>228</v>
      </c>
      <c r="H60" s="339">
        <v>7.0019999999999999E-2</v>
      </c>
      <c r="I60" s="338" t="s">
        <v>97</v>
      </c>
      <c r="J60" s="317" t="s">
        <v>9</v>
      </c>
      <c r="K60" s="322" t="s">
        <v>327</v>
      </c>
      <c r="L60" s="316" t="s">
        <v>321</v>
      </c>
      <c r="M60" s="317" t="s">
        <v>183</v>
      </c>
      <c r="N60" s="340" t="s">
        <v>322</v>
      </c>
      <c r="O60" s="317" t="s">
        <v>100</v>
      </c>
      <c r="P60" s="317" t="s">
        <v>91</v>
      </c>
      <c r="Q60" s="317" t="s">
        <v>323</v>
      </c>
      <c r="R60" s="322" t="s">
        <v>328</v>
      </c>
      <c r="S60" s="322" t="s">
        <v>94</v>
      </c>
      <c r="T60" s="322" t="s">
        <v>94</v>
      </c>
      <c r="U60" s="44"/>
    </row>
    <row r="61" spans="1:21" s="43" customFormat="1" ht="17.25" customHeight="1" thickTop="1" thickBot="1" x14ac:dyDescent="0.25">
      <c r="A61" s="324" t="str">
        <f t="shared" si="0"/>
        <v/>
      </c>
      <c r="B61" s="310"/>
      <c r="C61" s="325"/>
      <c r="D61" s="341"/>
      <c r="E61" s="341"/>
      <c r="F61" s="341"/>
      <c r="G61" s="341"/>
      <c r="H61" s="341"/>
      <c r="I61" s="341"/>
      <c r="J61" s="341"/>
      <c r="K61" s="341"/>
      <c r="L61" s="341"/>
      <c r="M61" s="342"/>
      <c r="N61" s="342"/>
      <c r="O61" s="342"/>
      <c r="P61" s="342"/>
      <c r="Q61" s="342"/>
      <c r="R61" s="342"/>
      <c r="S61" s="342"/>
      <c r="T61" s="343"/>
      <c r="U61" s="44"/>
    </row>
    <row r="62" spans="1:21" s="43" customFormat="1" ht="17.25" thickTop="1" thickBot="1" x14ac:dyDescent="0.25">
      <c r="A62" s="324" t="str">
        <f t="shared" si="0"/>
        <v/>
      </c>
      <c r="B62" s="310"/>
      <c r="C62" s="344" t="s">
        <v>660</v>
      </c>
      <c r="D62" s="329"/>
      <c r="E62" s="329"/>
      <c r="F62" s="329"/>
      <c r="G62" s="329"/>
      <c r="H62" s="329"/>
      <c r="I62" s="329"/>
      <c r="J62" s="329"/>
      <c r="K62" s="329"/>
      <c r="L62" s="329"/>
      <c r="M62" s="77"/>
      <c r="N62" s="77"/>
      <c r="O62" s="77"/>
      <c r="P62" s="77"/>
      <c r="Q62" s="77"/>
      <c r="R62" s="77"/>
      <c r="S62" s="77"/>
      <c r="T62" s="77"/>
      <c r="U62" s="44"/>
    </row>
    <row r="63" spans="1:21" s="43" customFormat="1" ht="13.5" thickTop="1" x14ac:dyDescent="0.2">
      <c r="A63" s="330" t="str">
        <f t="shared" si="0"/>
        <v>20GALV PRFA</v>
      </c>
      <c r="B63" s="310"/>
      <c r="C63" s="311"/>
      <c r="D63" s="331" t="s">
        <v>284</v>
      </c>
      <c r="E63" s="331">
        <v>20</v>
      </c>
      <c r="F63" s="332" t="s">
        <v>285</v>
      </c>
      <c r="G63" s="332" t="s">
        <v>285</v>
      </c>
      <c r="H63" s="333">
        <v>3.9010000000000003E-2</v>
      </c>
      <c r="I63" s="332" t="s">
        <v>97</v>
      </c>
      <c r="J63" s="332" t="s">
        <v>9</v>
      </c>
      <c r="K63" s="332" t="s">
        <v>286</v>
      </c>
      <c r="L63" s="331" t="s">
        <v>287</v>
      </c>
      <c r="M63" s="332" t="s">
        <v>183</v>
      </c>
      <c r="N63" s="334" t="s">
        <v>288</v>
      </c>
      <c r="O63" s="332" t="s">
        <v>123</v>
      </c>
      <c r="P63" s="332" t="s">
        <v>91</v>
      </c>
      <c r="Q63" s="332" t="s">
        <v>885</v>
      </c>
      <c r="R63" s="334" t="s">
        <v>289</v>
      </c>
      <c r="S63" s="332" t="s">
        <v>207</v>
      </c>
      <c r="T63" s="332" t="s">
        <v>202</v>
      </c>
      <c r="U63" s="44"/>
    </row>
    <row r="64" spans="1:21" s="43" customFormat="1" x14ac:dyDescent="0.2">
      <c r="A64" s="230" t="str">
        <f t="shared" si="0"/>
        <v>20GALV PRFD</v>
      </c>
      <c r="B64" s="310"/>
      <c r="C64" s="311"/>
      <c r="D64" s="293" t="s">
        <v>284</v>
      </c>
      <c r="E64" s="293">
        <v>20</v>
      </c>
      <c r="F64" s="301" t="s">
        <v>285</v>
      </c>
      <c r="G64" s="301" t="s">
        <v>285</v>
      </c>
      <c r="H64" s="302">
        <v>3.9019999999999999E-2</v>
      </c>
      <c r="I64" s="301" t="s">
        <v>97</v>
      </c>
      <c r="J64" s="295" t="s">
        <v>9</v>
      </c>
      <c r="K64" s="295" t="s">
        <v>290</v>
      </c>
      <c r="L64" s="294" t="s">
        <v>287</v>
      </c>
      <c r="M64" s="295" t="s">
        <v>183</v>
      </c>
      <c r="N64" s="232" t="s">
        <v>288</v>
      </c>
      <c r="O64" s="295" t="s">
        <v>123</v>
      </c>
      <c r="P64" s="295" t="s">
        <v>91</v>
      </c>
      <c r="Q64" s="301" t="s">
        <v>886</v>
      </c>
      <c r="R64" s="303" t="s">
        <v>291</v>
      </c>
      <c r="S64" s="295" t="s">
        <v>84</v>
      </c>
      <c r="T64" s="295" t="s">
        <v>202</v>
      </c>
      <c r="U64" s="44"/>
    </row>
    <row r="65" spans="1:21" s="43" customFormat="1" x14ac:dyDescent="0.2">
      <c r="A65" s="230" t="str">
        <f t="shared" si="0"/>
        <v>20GALV PRFE</v>
      </c>
      <c r="B65" s="310"/>
      <c r="C65" s="311"/>
      <c r="D65" s="293" t="s">
        <v>284</v>
      </c>
      <c r="E65" s="293" t="s">
        <v>169</v>
      </c>
      <c r="F65" s="306" t="s">
        <v>285</v>
      </c>
      <c r="G65" s="301" t="s">
        <v>285</v>
      </c>
      <c r="H65" s="496">
        <v>3.9030000000000002E-2</v>
      </c>
      <c r="I65" s="301" t="s">
        <v>97</v>
      </c>
      <c r="J65" s="295" t="s">
        <v>9</v>
      </c>
      <c r="K65" s="295" t="s">
        <v>292</v>
      </c>
      <c r="L65" s="294" t="s">
        <v>287</v>
      </c>
      <c r="M65" s="295" t="s">
        <v>183</v>
      </c>
      <c r="N65" s="232" t="s">
        <v>288</v>
      </c>
      <c r="O65" s="295" t="s">
        <v>123</v>
      </c>
      <c r="P65" s="295" t="s">
        <v>91</v>
      </c>
      <c r="Q65" s="301" t="s">
        <v>887</v>
      </c>
      <c r="R65" s="303" t="s">
        <v>293</v>
      </c>
      <c r="S65" s="295" t="s">
        <v>294</v>
      </c>
      <c r="T65" s="295" t="s">
        <v>295</v>
      </c>
      <c r="U65" s="44"/>
    </row>
    <row r="66" spans="1:21" s="43" customFormat="1" x14ac:dyDescent="0.2">
      <c r="A66" s="230" t="str">
        <f t="shared" si="0"/>
        <v>16GALV PRFG</v>
      </c>
      <c r="B66" s="310"/>
      <c r="C66" s="311"/>
      <c r="D66" s="293" t="s">
        <v>284</v>
      </c>
      <c r="E66" s="293" t="s">
        <v>119</v>
      </c>
      <c r="F66" s="301" t="s">
        <v>266</v>
      </c>
      <c r="G66" s="301" t="s">
        <v>266</v>
      </c>
      <c r="H66" s="302">
        <v>5.5010000000000003E-2</v>
      </c>
      <c r="I66" s="301" t="s">
        <v>9</v>
      </c>
      <c r="J66" s="295" t="s">
        <v>86</v>
      </c>
      <c r="K66" s="295" t="s">
        <v>300</v>
      </c>
      <c r="L66" s="294" t="s">
        <v>301</v>
      </c>
      <c r="M66" s="295" t="s">
        <v>183</v>
      </c>
      <c r="N66" s="232" t="s">
        <v>288</v>
      </c>
      <c r="O66" s="295" t="s">
        <v>302</v>
      </c>
      <c r="P66" s="295" t="s">
        <v>91</v>
      </c>
      <c r="Q66" s="301" t="s">
        <v>888</v>
      </c>
      <c r="R66" s="301" t="s">
        <v>303</v>
      </c>
      <c r="S66" s="295" t="s">
        <v>96</v>
      </c>
      <c r="T66" s="295" t="s">
        <v>111</v>
      </c>
      <c r="U66" s="44"/>
    </row>
    <row r="67" spans="1:21" s="43" customFormat="1" x14ac:dyDescent="0.2">
      <c r="A67" s="230" t="str">
        <f t="shared" si="0"/>
        <v>18GALV PRFG</v>
      </c>
      <c r="B67" s="310"/>
      <c r="C67" s="311"/>
      <c r="D67" s="293" t="s">
        <v>284</v>
      </c>
      <c r="E67" s="293" t="s">
        <v>150</v>
      </c>
      <c r="F67" s="301" t="s">
        <v>275</v>
      </c>
      <c r="G67" s="301" t="s">
        <v>275</v>
      </c>
      <c r="H67" s="302">
        <v>4.505E-2</v>
      </c>
      <c r="I67" s="301" t="s">
        <v>9</v>
      </c>
      <c r="J67" s="295" t="s">
        <v>86</v>
      </c>
      <c r="K67" s="295" t="s">
        <v>304</v>
      </c>
      <c r="L67" s="294" t="s">
        <v>305</v>
      </c>
      <c r="M67" s="295" t="s">
        <v>183</v>
      </c>
      <c r="N67" s="232" t="s">
        <v>288</v>
      </c>
      <c r="O67" s="295" t="s">
        <v>123</v>
      </c>
      <c r="P67" s="295" t="s">
        <v>91</v>
      </c>
      <c r="Q67" s="301" t="s">
        <v>888</v>
      </c>
      <c r="R67" s="301" t="s">
        <v>306</v>
      </c>
      <c r="S67" s="295" t="s">
        <v>96</v>
      </c>
      <c r="T67" s="295" t="s">
        <v>111</v>
      </c>
      <c r="U67" s="44"/>
    </row>
    <row r="68" spans="1:21" s="43" customFormat="1" x14ac:dyDescent="0.2">
      <c r="A68" s="230" t="str">
        <f t="shared" si="0"/>
        <v>20GALV PRFG</v>
      </c>
      <c r="B68" s="310"/>
      <c r="C68" s="311"/>
      <c r="D68" s="293" t="s">
        <v>284</v>
      </c>
      <c r="E68" s="293" t="s">
        <v>169</v>
      </c>
      <c r="F68" s="301" t="s">
        <v>307</v>
      </c>
      <c r="G68" s="301" t="s">
        <v>180</v>
      </c>
      <c r="H68" s="302">
        <v>3.4020000000000002E-2</v>
      </c>
      <c r="I68" s="301" t="s">
        <v>9</v>
      </c>
      <c r="J68" s="295" t="s">
        <v>86</v>
      </c>
      <c r="K68" s="295" t="s">
        <v>308</v>
      </c>
      <c r="L68" s="294" t="s">
        <v>309</v>
      </c>
      <c r="M68" s="295" t="s">
        <v>183</v>
      </c>
      <c r="N68" s="232" t="s">
        <v>288</v>
      </c>
      <c r="O68" s="295" t="s">
        <v>218</v>
      </c>
      <c r="P68" s="295" t="s">
        <v>91</v>
      </c>
      <c r="Q68" s="301" t="s">
        <v>888</v>
      </c>
      <c r="R68" s="301" t="s">
        <v>310</v>
      </c>
      <c r="S68" s="295" t="s">
        <v>96</v>
      </c>
      <c r="T68" s="295" t="s">
        <v>111</v>
      </c>
      <c r="U68" s="44"/>
    </row>
    <row r="69" spans="1:21" s="43" customFormat="1" x14ac:dyDescent="0.2">
      <c r="A69" s="230" t="str">
        <f t="shared" si="0"/>
        <v>22GALV PRFF</v>
      </c>
      <c r="B69" s="310"/>
      <c r="C69" s="311"/>
      <c r="D69" s="293" t="s">
        <v>284</v>
      </c>
      <c r="E69" s="345">
        <v>22</v>
      </c>
      <c r="F69" s="301" t="s">
        <v>296</v>
      </c>
      <c r="G69" s="301" t="s">
        <v>296</v>
      </c>
      <c r="H69" s="302">
        <v>2.802E-2</v>
      </c>
      <c r="I69" s="301" t="s">
        <v>97</v>
      </c>
      <c r="J69" s="295" t="s">
        <v>86</v>
      </c>
      <c r="K69" s="295" t="s">
        <v>297</v>
      </c>
      <c r="L69" s="294" t="s">
        <v>298</v>
      </c>
      <c r="M69" s="295" t="s">
        <v>183</v>
      </c>
      <c r="N69" s="232" t="s">
        <v>288</v>
      </c>
      <c r="O69" s="295" t="s">
        <v>100</v>
      </c>
      <c r="P69" s="295" t="s">
        <v>91</v>
      </c>
      <c r="Q69" s="301" t="s">
        <v>889</v>
      </c>
      <c r="R69" s="303" t="s">
        <v>299</v>
      </c>
      <c r="S69" s="295" t="s">
        <v>96</v>
      </c>
      <c r="T69" s="295" t="s">
        <v>111</v>
      </c>
      <c r="U69" s="44"/>
    </row>
    <row r="70" spans="1:21" s="43" customFormat="1" x14ac:dyDescent="0.2">
      <c r="A70" s="230" t="str">
        <f t="shared" si="0"/>
        <v>18GALV PRFH</v>
      </c>
      <c r="B70" s="310"/>
      <c r="C70" s="311"/>
      <c r="D70" s="293" t="s">
        <v>284</v>
      </c>
      <c r="E70" s="293" t="s">
        <v>150</v>
      </c>
      <c r="F70" s="301" t="s">
        <v>275</v>
      </c>
      <c r="G70" s="301" t="s">
        <v>275</v>
      </c>
      <c r="H70" s="302">
        <v>4.3999999999999997E-2</v>
      </c>
      <c r="I70" s="418" t="s">
        <v>9</v>
      </c>
      <c r="J70" s="297" t="s">
        <v>86</v>
      </c>
      <c r="K70" s="297" t="s">
        <v>311</v>
      </c>
      <c r="L70" s="419" t="s">
        <v>312</v>
      </c>
      <c r="M70" s="297" t="s">
        <v>183</v>
      </c>
      <c r="N70" s="309" t="s">
        <v>288</v>
      </c>
      <c r="O70" s="297" t="s">
        <v>123</v>
      </c>
      <c r="P70" s="297" t="s">
        <v>91</v>
      </c>
      <c r="Q70" s="418" t="s">
        <v>890</v>
      </c>
      <c r="R70" s="418" t="s">
        <v>313</v>
      </c>
      <c r="S70" s="297" t="s">
        <v>144</v>
      </c>
      <c r="T70" s="297" t="s">
        <v>145</v>
      </c>
      <c r="U70" s="44"/>
    </row>
    <row r="71" spans="1:21" s="43" customFormat="1" x14ac:dyDescent="0.2">
      <c r="A71" s="230" t="str">
        <f t="shared" si="0"/>
        <v>18ALM PRF</v>
      </c>
      <c r="B71" s="310"/>
      <c r="C71" s="311"/>
      <c r="D71" s="293" t="s">
        <v>135</v>
      </c>
      <c r="E71" s="293">
        <v>18</v>
      </c>
      <c r="F71" s="301" t="s">
        <v>151</v>
      </c>
      <c r="G71" s="301" t="s">
        <v>151</v>
      </c>
      <c r="H71" s="302">
        <v>5.0009999999999999E-2</v>
      </c>
      <c r="I71" s="301" t="s">
        <v>97</v>
      </c>
      <c r="J71" s="295" t="s">
        <v>9</v>
      </c>
      <c r="K71" s="295" t="s">
        <v>314</v>
      </c>
      <c r="L71" s="294" t="s">
        <v>315</v>
      </c>
      <c r="M71" s="295" t="s">
        <v>89</v>
      </c>
      <c r="N71" s="232" t="s">
        <v>316</v>
      </c>
      <c r="O71" s="295" t="s">
        <v>100</v>
      </c>
      <c r="P71" s="295" t="s">
        <v>91</v>
      </c>
      <c r="Q71" s="301" t="s">
        <v>891</v>
      </c>
      <c r="R71" s="303" t="s">
        <v>317</v>
      </c>
      <c r="S71" s="295" t="s">
        <v>95</v>
      </c>
      <c r="T71" s="295" t="s">
        <v>318</v>
      </c>
      <c r="U71" s="44"/>
    </row>
    <row r="72" spans="1:21" s="43" customFormat="1" x14ac:dyDescent="0.2">
      <c r="A72" s="230" t="str">
        <f t="shared" si="0"/>
        <v>18ALM PRFA</v>
      </c>
      <c r="B72" s="310"/>
      <c r="C72" s="311"/>
      <c r="D72" s="293" t="s">
        <v>135</v>
      </c>
      <c r="E72" s="293" t="s">
        <v>150</v>
      </c>
      <c r="F72" s="301" t="s">
        <v>151</v>
      </c>
      <c r="G72" s="301" t="s">
        <v>151</v>
      </c>
      <c r="H72" s="302">
        <v>5.0020000000000002E-2</v>
      </c>
      <c r="I72" s="301" t="s">
        <v>9</v>
      </c>
      <c r="J72" s="295" t="s">
        <v>86</v>
      </c>
      <c r="K72" s="307" t="s">
        <v>152</v>
      </c>
      <c r="L72" s="308" t="s">
        <v>153</v>
      </c>
      <c r="M72" s="295" t="s">
        <v>89</v>
      </c>
      <c r="N72" s="232" t="s">
        <v>9</v>
      </c>
      <c r="O72" s="295" t="s">
        <v>90</v>
      </c>
      <c r="P72" s="295" t="s">
        <v>91</v>
      </c>
      <c r="Q72" s="301" t="s">
        <v>892</v>
      </c>
      <c r="R72" s="301" t="s">
        <v>154</v>
      </c>
      <c r="S72" s="295" t="s">
        <v>96</v>
      </c>
      <c r="T72" s="295" t="s">
        <v>111</v>
      </c>
      <c r="U72" s="44"/>
    </row>
    <row r="73" spans="1:21" s="43" customFormat="1" x14ac:dyDescent="0.2">
      <c r="A73" s="230" t="str">
        <f t="shared" si="0"/>
        <v>16ALM PRFA</v>
      </c>
      <c r="B73" s="310"/>
      <c r="C73" s="311"/>
      <c r="D73" s="293" t="s">
        <v>135</v>
      </c>
      <c r="E73" s="293" t="s">
        <v>119</v>
      </c>
      <c r="F73" s="301" t="s">
        <v>146</v>
      </c>
      <c r="G73" s="301" t="s">
        <v>146</v>
      </c>
      <c r="H73" s="302">
        <v>6.3020000000000007E-2</v>
      </c>
      <c r="I73" s="301" t="s">
        <v>9</v>
      </c>
      <c r="J73" s="295" t="s">
        <v>86</v>
      </c>
      <c r="K73" s="295" t="s">
        <v>147</v>
      </c>
      <c r="L73" s="294" t="s">
        <v>148</v>
      </c>
      <c r="M73" s="295" t="s">
        <v>89</v>
      </c>
      <c r="N73" s="295" t="s">
        <v>9</v>
      </c>
      <c r="O73" s="295" t="s">
        <v>90</v>
      </c>
      <c r="P73" s="295" t="s">
        <v>91</v>
      </c>
      <c r="Q73" s="301" t="s">
        <v>892</v>
      </c>
      <c r="R73" s="301" t="s">
        <v>149</v>
      </c>
      <c r="S73" s="295" t="s">
        <v>96</v>
      </c>
      <c r="T73" s="295" t="s">
        <v>111</v>
      </c>
      <c r="U73" s="44"/>
    </row>
    <row r="74" spans="1:21" s="43" customFormat="1" x14ac:dyDescent="0.2">
      <c r="A74" s="230" t="str">
        <f t="shared" ref="A74:A121" si="1">CONCATENATE(E74,Q74)</f>
        <v>14ALM PRFA</v>
      </c>
      <c r="B74" s="310"/>
      <c r="C74" s="311"/>
      <c r="D74" s="293" t="s">
        <v>135</v>
      </c>
      <c r="E74" s="293" t="s">
        <v>136</v>
      </c>
      <c r="F74" s="301" t="s">
        <v>137</v>
      </c>
      <c r="G74" s="301" t="s">
        <v>137</v>
      </c>
      <c r="H74" s="302">
        <v>8.0030000000000004E-2</v>
      </c>
      <c r="I74" s="301" t="s">
        <v>9</v>
      </c>
      <c r="J74" s="295" t="s">
        <v>86</v>
      </c>
      <c r="K74" s="295" t="s">
        <v>138</v>
      </c>
      <c r="L74" s="294" t="s">
        <v>139</v>
      </c>
      <c r="M74" s="295" t="s">
        <v>89</v>
      </c>
      <c r="N74" s="295" t="s">
        <v>9</v>
      </c>
      <c r="O74" s="295" t="s">
        <v>90</v>
      </c>
      <c r="P74" s="295" t="s">
        <v>91</v>
      </c>
      <c r="Q74" s="301" t="s">
        <v>892</v>
      </c>
      <c r="R74" s="301" t="s">
        <v>140</v>
      </c>
      <c r="S74" s="295" t="s">
        <v>96</v>
      </c>
      <c r="T74" s="295" t="s">
        <v>111</v>
      </c>
      <c r="U74" s="44"/>
    </row>
    <row r="75" spans="1:21" s="43" customFormat="1" x14ac:dyDescent="0.2">
      <c r="A75" s="230" t="str">
        <f t="shared" si="1"/>
        <v>14ALM PRFB</v>
      </c>
      <c r="B75" s="310"/>
      <c r="C75" s="311"/>
      <c r="D75" s="293" t="s">
        <v>135</v>
      </c>
      <c r="E75" s="293" t="s">
        <v>136</v>
      </c>
      <c r="F75" s="301" t="s">
        <v>137</v>
      </c>
      <c r="G75" s="301" t="s">
        <v>137</v>
      </c>
      <c r="H75" s="302">
        <v>8.004E-2</v>
      </c>
      <c r="I75" s="301" t="s">
        <v>9</v>
      </c>
      <c r="J75" s="295" t="s">
        <v>86</v>
      </c>
      <c r="K75" s="295" t="s">
        <v>141</v>
      </c>
      <c r="L75" s="294" t="s">
        <v>142</v>
      </c>
      <c r="M75" s="295" t="s">
        <v>89</v>
      </c>
      <c r="N75" s="295" t="s">
        <v>9</v>
      </c>
      <c r="O75" s="295" t="s">
        <v>90</v>
      </c>
      <c r="P75" s="295" t="s">
        <v>91</v>
      </c>
      <c r="Q75" s="301" t="s">
        <v>893</v>
      </c>
      <c r="R75" s="301" t="s">
        <v>143</v>
      </c>
      <c r="S75" s="295" t="s">
        <v>144</v>
      </c>
      <c r="T75" s="295" t="s">
        <v>145</v>
      </c>
      <c r="U75" s="44"/>
    </row>
    <row r="76" spans="1:21" s="43" customFormat="1" x14ac:dyDescent="0.2">
      <c r="A76" s="230" t="str">
        <f t="shared" si="1"/>
        <v>16SST304PA</v>
      </c>
      <c r="B76" s="310"/>
      <c r="C76" s="311"/>
      <c r="D76" s="293" t="s">
        <v>443</v>
      </c>
      <c r="E76" s="293" t="s">
        <v>119</v>
      </c>
      <c r="F76" s="301" t="s">
        <v>120</v>
      </c>
      <c r="G76" s="301" t="s">
        <v>120</v>
      </c>
      <c r="H76" s="302">
        <v>6.0040000000000003E-2</v>
      </c>
      <c r="I76" s="301" t="s">
        <v>9</v>
      </c>
      <c r="J76" s="295" t="s">
        <v>86</v>
      </c>
      <c r="K76" s="295" t="s">
        <v>444</v>
      </c>
      <c r="L76" s="294" t="s">
        <v>445</v>
      </c>
      <c r="M76" s="295" t="s">
        <v>406</v>
      </c>
      <c r="N76" s="232" t="s">
        <v>407</v>
      </c>
      <c r="O76" s="295" t="s">
        <v>100</v>
      </c>
      <c r="P76" s="295" t="s">
        <v>91</v>
      </c>
      <c r="Q76" s="301" t="s">
        <v>446</v>
      </c>
      <c r="R76" s="301" t="s">
        <v>447</v>
      </c>
      <c r="S76" s="295" t="s">
        <v>96</v>
      </c>
      <c r="T76" s="295" t="s">
        <v>111</v>
      </c>
      <c r="U76" s="44"/>
    </row>
    <row r="77" spans="1:21" s="43" customFormat="1" x14ac:dyDescent="0.2">
      <c r="A77" s="230" t="str">
        <f t="shared" si="1"/>
        <v>18SST304PA</v>
      </c>
      <c r="B77" s="310"/>
      <c r="C77" s="346"/>
      <c r="D77" s="293" t="s">
        <v>443</v>
      </c>
      <c r="E77" s="293" t="s">
        <v>150</v>
      </c>
      <c r="F77" s="301" t="s">
        <v>412</v>
      </c>
      <c r="G77" s="301" t="s">
        <v>412</v>
      </c>
      <c r="H77" s="302">
        <v>4.8030000000000003E-2</v>
      </c>
      <c r="I77" s="301" t="s">
        <v>9</v>
      </c>
      <c r="J77" s="295" t="s">
        <v>86</v>
      </c>
      <c r="K77" s="295" t="s">
        <v>453</v>
      </c>
      <c r="L77" s="294" t="s">
        <v>454</v>
      </c>
      <c r="M77" s="295" t="s">
        <v>406</v>
      </c>
      <c r="N77" s="232" t="s">
        <v>407</v>
      </c>
      <c r="O77" s="295" t="s">
        <v>100</v>
      </c>
      <c r="P77" s="295" t="s">
        <v>91</v>
      </c>
      <c r="Q77" s="301" t="s">
        <v>446</v>
      </c>
      <c r="R77" s="301" t="s">
        <v>455</v>
      </c>
      <c r="S77" s="295" t="s">
        <v>96</v>
      </c>
      <c r="T77" s="295" t="s">
        <v>111</v>
      </c>
      <c r="U77" s="44"/>
    </row>
    <row r="78" spans="1:21" s="43" customFormat="1" x14ac:dyDescent="0.2">
      <c r="A78" s="230" t="str">
        <f t="shared" si="1"/>
        <v>20SST304PA</v>
      </c>
      <c r="B78" s="310"/>
      <c r="C78" s="346"/>
      <c r="D78" s="293" t="s">
        <v>443</v>
      </c>
      <c r="E78" s="293" t="s">
        <v>169</v>
      </c>
      <c r="F78" s="301" t="s">
        <v>415</v>
      </c>
      <c r="G78" s="301" t="s">
        <v>415</v>
      </c>
      <c r="H78" s="302">
        <v>3.5029999999999999E-2</v>
      </c>
      <c r="I78" s="301" t="s">
        <v>9</v>
      </c>
      <c r="J78" s="301" t="s">
        <v>86</v>
      </c>
      <c r="K78" s="301" t="s">
        <v>460</v>
      </c>
      <c r="L78" s="293" t="s">
        <v>461</v>
      </c>
      <c r="M78" s="301" t="s">
        <v>406</v>
      </c>
      <c r="N78" s="232" t="s">
        <v>407</v>
      </c>
      <c r="O78" s="301" t="s">
        <v>100</v>
      </c>
      <c r="P78" s="301" t="s">
        <v>91</v>
      </c>
      <c r="Q78" s="301" t="s">
        <v>446</v>
      </c>
      <c r="R78" s="301" t="s">
        <v>462</v>
      </c>
      <c r="S78" s="301" t="s">
        <v>96</v>
      </c>
      <c r="T78" s="301" t="s">
        <v>111</v>
      </c>
      <c r="U78" s="44"/>
    </row>
    <row r="79" spans="1:21" s="43" customFormat="1" x14ac:dyDescent="0.2">
      <c r="A79" s="230" t="str">
        <f t="shared" si="1"/>
        <v>16SST304PC</v>
      </c>
      <c r="B79" s="310"/>
      <c r="C79" s="346"/>
      <c r="D79" s="293" t="s">
        <v>443</v>
      </c>
      <c r="E79" s="294" t="s">
        <v>119</v>
      </c>
      <c r="F79" s="295" t="s">
        <v>120</v>
      </c>
      <c r="G79" s="295" t="s">
        <v>120</v>
      </c>
      <c r="H79" s="296">
        <v>6.0049999999999999E-2</v>
      </c>
      <c r="I79" s="295" t="s">
        <v>9</v>
      </c>
      <c r="J79" s="295" t="s">
        <v>86</v>
      </c>
      <c r="K79" s="295" t="s">
        <v>448</v>
      </c>
      <c r="L79" s="294" t="s">
        <v>449</v>
      </c>
      <c r="M79" s="295" t="s">
        <v>406</v>
      </c>
      <c r="N79" s="232" t="s">
        <v>407</v>
      </c>
      <c r="O79" s="301" t="s">
        <v>100</v>
      </c>
      <c r="P79" s="295" t="s">
        <v>91</v>
      </c>
      <c r="Q79" s="301" t="s">
        <v>450</v>
      </c>
      <c r="R79" s="295" t="s">
        <v>451</v>
      </c>
      <c r="S79" s="295" t="s">
        <v>111</v>
      </c>
      <c r="T79" s="295" t="s">
        <v>452</v>
      </c>
      <c r="U79" s="44"/>
    </row>
    <row r="80" spans="1:21" s="43" customFormat="1" ht="13.5" thickBot="1" x14ac:dyDescent="0.25">
      <c r="A80" s="314" t="str">
        <f t="shared" si="1"/>
        <v>18SST304PB</v>
      </c>
      <c r="B80" s="310"/>
      <c r="C80" s="346"/>
      <c r="D80" s="316" t="s">
        <v>443</v>
      </c>
      <c r="E80" s="316" t="s">
        <v>150</v>
      </c>
      <c r="F80" s="317" t="s">
        <v>412</v>
      </c>
      <c r="G80" s="317" t="s">
        <v>412</v>
      </c>
      <c r="H80" s="318">
        <v>4.8039999999999999E-2</v>
      </c>
      <c r="I80" s="416" t="s">
        <v>9</v>
      </c>
      <c r="J80" s="416" t="s">
        <v>86</v>
      </c>
      <c r="K80" s="416" t="s">
        <v>456</v>
      </c>
      <c r="L80" s="415" t="s">
        <v>457</v>
      </c>
      <c r="M80" s="416" t="s">
        <v>406</v>
      </c>
      <c r="N80" s="417" t="s">
        <v>407</v>
      </c>
      <c r="O80" s="416" t="s">
        <v>100</v>
      </c>
      <c r="P80" s="416" t="s">
        <v>91</v>
      </c>
      <c r="Q80" s="416" t="s">
        <v>458</v>
      </c>
      <c r="R80" s="416" t="s">
        <v>459</v>
      </c>
      <c r="S80" s="416" t="s">
        <v>144</v>
      </c>
      <c r="T80" s="416" t="s">
        <v>145</v>
      </c>
      <c r="U80" s="44"/>
    </row>
    <row r="81" spans="1:21" s="43" customFormat="1" ht="17.25" customHeight="1" thickTop="1" thickBot="1" x14ac:dyDescent="0.25">
      <c r="A81" s="324" t="str">
        <f t="shared" si="1"/>
        <v/>
      </c>
      <c r="B81" s="310"/>
      <c r="C81" s="325"/>
      <c r="D81" s="326"/>
      <c r="E81" s="326"/>
      <c r="F81" s="326"/>
      <c r="G81" s="326"/>
      <c r="H81" s="326"/>
      <c r="I81" s="326"/>
      <c r="J81" s="326"/>
      <c r="K81" s="326"/>
      <c r="L81" s="326"/>
      <c r="M81" s="327"/>
      <c r="N81" s="327"/>
      <c r="O81" s="327"/>
      <c r="P81" s="327"/>
      <c r="Q81" s="327"/>
      <c r="R81" s="327"/>
      <c r="S81" s="327"/>
      <c r="T81" s="347"/>
      <c r="U81" s="44"/>
    </row>
    <row r="82" spans="1:21" s="43" customFormat="1" ht="17.25" customHeight="1" thickTop="1" thickBot="1" x14ac:dyDescent="0.25">
      <c r="A82" s="324" t="str">
        <f t="shared" si="1"/>
        <v/>
      </c>
      <c r="B82" s="310"/>
      <c r="C82" s="348" t="s">
        <v>894</v>
      </c>
      <c r="D82" s="329"/>
      <c r="E82" s="329"/>
      <c r="F82" s="329"/>
      <c r="G82" s="329"/>
      <c r="H82" s="329"/>
      <c r="I82" s="329"/>
      <c r="J82" s="329"/>
      <c r="K82" s="329"/>
      <c r="L82" s="329"/>
      <c r="M82" s="77"/>
      <c r="N82" s="77"/>
      <c r="O82" s="77"/>
      <c r="P82" s="77"/>
      <c r="Q82" s="77"/>
      <c r="R82" s="77"/>
      <c r="S82" s="77"/>
      <c r="T82" s="77"/>
      <c r="U82" s="44"/>
    </row>
    <row r="83" spans="1:21" s="43" customFormat="1" ht="13.5" thickTop="1" x14ac:dyDescent="0.2">
      <c r="A83" s="330" t="str">
        <f t="shared" si="1"/>
        <v>9GALV EXPA</v>
      </c>
      <c r="B83" s="310"/>
      <c r="C83" s="346"/>
      <c r="D83" s="331" t="s">
        <v>329</v>
      </c>
      <c r="E83" s="331" t="s">
        <v>336</v>
      </c>
      <c r="F83" s="332" t="s">
        <v>337</v>
      </c>
      <c r="G83" s="332" t="s">
        <v>337</v>
      </c>
      <c r="H83" s="333">
        <v>0.14602000000000001</v>
      </c>
      <c r="I83" s="332" t="s">
        <v>97</v>
      </c>
      <c r="J83" s="332" t="s">
        <v>9</v>
      </c>
      <c r="K83" s="332" t="s">
        <v>338</v>
      </c>
      <c r="L83" s="331" t="s">
        <v>339</v>
      </c>
      <c r="M83" s="332" t="s">
        <v>183</v>
      </c>
      <c r="N83" s="334" t="s">
        <v>333</v>
      </c>
      <c r="O83" s="332" t="s">
        <v>193</v>
      </c>
      <c r="P83" s="332" t="s">
        <v>91</v>
      </c>
      <c r="Q83" s="332" t="s">
        <v>895</v>
      </c>
      <c r="R83" s="334" t="s">
        <v>340</v>
      </c>
      <c r="S83" s="332" t="s">
        <v>335</v>
      </c>
      <c r="T83" s="332" t="s">
        <v>126</v>
      </c>
      <c r="U83" s="44"/>
    </row>
    <row r="84" spans="1:21" s="43" customFormat="1" x14ac:dyDescent="0.2">
      <c r="A84" s="230" t="str">
        <f t="shared" si="1"/>
        <v>9GALV EXPB</v>
      </c>
      <c r="B84" s="310"/>
      <c r="C84" s="346"/>
      <c r="D84" s="293" t="s">
        <v>329</v>
      </c>
      <c r="E84" s="293" t="s">
        <v>336</v>
      </c>
      <c r="F84" s="301" t="s">
        <v>337</v>
      </c>
      <c r="G84" s="301" t="s">
        <v>337</v>
      </c>
      <c r="H84" s="296">
        <v>0.14601</v>
      </c>
      <c r="I84" s="301" t="s">
        <v>97</v>
      </c>
      <c r="J84" s="301" t="s">
        <v>9</v>
      </c>
      <c r="K84" s="301" t="s">
        <v>341</v>
      </c>
      <c r="L84" s="293" t="s">
        <v>342</v>
      </c>
      <c r="M84" s="301" t="s">
        <v>183</v>
      </c>
      <c r="N84" s="303" t="s">
        <v>333</v>
      </c>
      <c r="O84" s="301" t="s">
        <v>193</v>
      </c>
      <c r="P84" s="301" t="s">
        <v>91</v>
      </c>
      <c r="Q84" s="301" t="s">
        <v>896</v>
      </c>
      <c r="R84" s="303" t="s">
        <v>343</v>
      </c>
      <c r="S84" s="301" t="s">
        <v>344</v>
      </c>
      <c r="T84" s="301" t="s">
        <v>126</v>
      </c>
      <c r="U84" s="44"/>
    </row>
    <row r="85" spans="1:21" s="43" customFormat="1" x14ac:dyDescent="0.2">
      <c r="A85" s="230" t="str">
        <f t="shared" si="1"/>
        <v>9GALV EXPBY</v>
      </c>
      <c r="B85" s="310"/>
      <c r="C85" s="346"/>
      <c r="D85" s="293" t="s">
        <v>329</v>
      </c>
      <c r="E85" s="294" t="s">
        <v>336</v>
      </c>
      <c r="F85" s="295" t="s">
        <v>337</v>
      </c>
      <c r="G85" s="295" t="s">
        <v>337</v>
      </c>
      <c r="H85" s="302">
        <v>0.14604</v>
      </c>
      <c r="I85" s="295" t="s">
        <v>9</v>
      </c>
      <c r="J85" s="295" t="s">
        <v>86</v>
      </c>
      <c r="K85" s="295" t="s">
        <v>345</v>
      </c>
      <c r="L85" s="294" t="s">
        <v>346</v>
      </c>
      <c r="M85" s="295" t="s">
        <v>183</v>
      </c>
      <c r="N85" s="232" t="s">
        <v>333</v>
      </c>
      <c r="O85" s="295" t="s">
        <v>347</v>
      </c>
      <c r="P85" s="295" t="s">
        <v>91</v>
      </c>
      <c r="Q85" s="295" t="s">
        <v>897</v>
      </c>
      <c r="R85" s="232" t="s">
        <v>348</v>
      </c>
      <c r="S85" s="295" t="s">
        <v>344</v>
      </c>
      <c r="T85" s="295" t="s">
        <v>126</v>
      </c>
      <c r="U85" s="44"/>
    </row>
    <row r="86" spans="1:21" s="43" customFormat="1" x14ac:dyDescent="0.2">
      <c r="A86" s="230" t="str">
        <f t="shared" si="1"/>
        <v>11GALV EXPA</v>
      </c>
      <c r="B86" s="310"/>
      <c r="C86" s="311"/>
      <c r="D86" s="293" t="s">
        <v>329</v>
      </c>
      <c r="E86" s="294" t="s">
        <v>105</v>
      </c>
      <c r="F86" s="295" t="s">
        <v>330</v>
      </c>
      <c r="G86" s="295" t="s">
        <v>330</v>
      </c>
      <c r="H86" s="296">
        <v>0.12001000000000001</v>
      </c>
      <c r="I86" s="295" t="s">
        <v>9</v>
      </c>
      <c r="J86" s="295" t="s">
        <v>86</v>
      </c>
      <c r="K86" s="295" t="s">
        <v>331</v>
      </c>
      <c r="L86" s="294" t="s">
        <v>332</v>
      </c>
      <c r="M86" s="295" t="s">
        <v>183</v>
      </c>
      <c r="N86" s="232" t="s">
        <v>333</v>
      </c>
      <c r="O86" s="295" t="s">
        <v>193</v>
      </c>
      <c r="P86" s="295" t="s">
        <v>91</v>
      </c>
      <c r="Q86" s="295" t="s">
        <v>895</v>
      </c>
      <c r="R86" s="232" t="s">
        <v>334</v>
      </c>
      <c r="S86" s="295" t="s">
        <v>335</v>
      </c>
      <c r="T86" s="295" t="s">
        <v>126</v>
      </c>
      <c r="U86" s="44"/>
    </row>
    <row r="87" spans="1:21" s="43" customFormat="1" x14ac:dyDescent="0.2">
      <c r="A87" s="230" t="str">
        <f t="shared" si="1"/>
        <v>16ALM EXP</v>
      </c>
      <c r="B87" s="310"/>
      <c r="C87" s="311"/>
      <c r="D87" s="293" t="s">
        <v>118</v>
      </c>
      <c r="E87" s="294" t="s">
        <v>119</v>
      </c>
      <c r="F87" s="295" t="s">
        <v>120</v>
      </c>
      <c r="G87" s="295" t="s">
        <v>120</v>
      </c>
      <c r="H87" s="296">
        <v>6.0060000000000002E-2</v>
      </c>
      <c r="I87" s="295" t="s">
        <v>97</v>
      </c>
      <c r="J87" s="295" t="s">
        <v>9</v>
      </c>
      <c r="K87" s="295" t="s">
        <v>121</v>
      </c>
      <c r="L87" s="294" t="s">
        <v>122</v>
      </c>
      <c r="M87" s="295" t="s">
        <v>89</v>
      </c>
      <c r="N87" s="232" t="s">
        <v>9</v>
      </c>
      <c r="O87" s="295" t="s">
        <v>123</v>
      </c>
      <c r="P87" s="295" t="s">
        <v>91</v>
      </c>
      <c r="Q87" s="295" t="s">
        <v>898</v>
      </c>
      <c r="R87" s="232" t="s">
        <v>124</v>
      </c>
      <c r="S87" s="295" t="s">
        <v>125</v>
      </c>
      <c r="T87" s="295" t="s">
        <v>126</v>
      </c>
      <c r="U87" s="44"/>
    </row>
    <row r="88" spans="1:21" s="43" customFormat="1" x14ac:dyDescent="0.2">
      <c r="A88" s="230" t="str">
        <f t="shared" si="1"/>
        <v>9SST304E</v>
      </c>
      <c r="B88" s="310"/>
      <c r="C88" s="311"/>
      <c r="D88" s="293" t="s">
        <v>435</v>
      </c>
      <c r="E88" s="294" t="s">
        <v>336</v>
      </c>
      <c r="F88" s="295" t="s">
        <v>337</v>
      </c>
      <c r="G88" s="295" t="s">
        <v>337</v>
      </c>
      <c r="H88" s="296">
        <v>0.14602999999999999</v>
      </c>
      <c r="I88" s="295" t="s">
        <v>9</v>
      </c>
      <c r="J88" s="295" t="s">
        <v>86</v>
      </c>
      <c r="K88" s="295" t="s">
        <v>478</v>
      </c>
      <c r="L88" s="294" t="s">
        <v>479</v>
      </c>
      <c r="M88" s="307">
        <v>304</v>
      </c>
      <c r="N88" s="232" t="s">
        <v>407</v>
      </c>
      <c r="O88" s="295" t="s">
        <v>347</v>
      </c>
      <c r="P88" s="295" t="s">
        <v>91</v>
      </c>
      <c r="Q88" s="295" t="s">
        <v>438</v>
      </c>
      <c r="R88" s="232" t="s">
        <v>480</v>
      </c>
      <c r="S88" s="295" t="s">
        <v>344</v>
      </c>
      <c r="T88" s="295" t="s">
        <v>126</v>
      </c>
      <c r="U88" s="44"/>
    </row>
    <row r="89" spans="1:21" s="43" customFormat="1" x14ac:dyDescent="0.2">
      <c r="A89" s="230" t="str">
        <f t="shared" si="1"/>
        <v>11SST304E</v>
      </c>
      <c r="B89" s="310"/>
      <c r="C89" s="311"/>
      <c r="D89" s="293" t="s">
        <v>435</v>
      </c>
      <c r="E89" s="294" t="s">
        <v>105</v>
      </c>
      <c r="F89" s="295" t="s">
        <v>330</v>
      </c>
      <c r="G89" s="295" t="s">
        <v>330</v>
      </c>
      <c r="H89" s="296">
        <v>0.12002</v>
      </c>
      <c r="I89" s="295" t="s">
        <v>9</v>
      </c>
      <c r="J89" s="295" t="s">
        <v>86</v>
      </c>
      <c r="K89" s="295" t="s">
        <v>436</v>
      </c>
      <c r="L89" s="294" t="s">
        <v>437</v>
      </c>
      <c r="M89" s="295" t="s">
        <v>406</v>
      </c>
      <c r="N89" s="232" t="s">
        <v>407</v>
      </c>
      <c r="O89" s="295" t="s">
        <v>100</v>
      </c>
      <c r="P89" s="295" t="s">
        <v>91</v>
      </c>
      <c r="Q89" s="295" t="s">
        <v>438</v>
      </c>
      <c r="R89" s="295" t="s">
        <v>439</v>
      </c>
      <c r="S89" s="295" t="s">
        <v>335</v>
      </c>
      <c r="T89" s="295" t="s">
        <v>126</v>
      </c>
      <c r="U89" s="44"/>
    </row>
    <row r="90" spans="1:21" s="43" customFormat="1" x14ac:dyDescent="0.2">
      <c r="A90" s="230" t="str">
        <f t="shared" si="1"/>
        <v>20ALM EMB</v>
      </c>
      <c r="B90" s="310"/>
      <c r="C90" s="311"/>
      <c r="D90" s="294" t="s">
        <v>512</v>
      </c>
      <c r="E90" s="294" t="s">
        <v>169</v>
      </c>
      <c r="F90" s="295" t="s">
        <v>170</v>
      </c>
      <c r="G90" s="295" t="s">
        <v>170</v>
      </c>
      <c r="H90" s="296">
        <v>4.002E-2</v>
      </c>
      <c r="I90" s="295" t="s">
        <v>9</v>
      </c>
      <c r="J90" s="295" t="s">
        <v>86</v>
      </c>
      <c r="K90" s="295" t="s">
        <v>518</v>
      </c>
      <c r="L90" s="294" t="s">
        <v>519</v>
      </c>
      <c r="M90" s="295" t="s">
        <v>89</v>
      </c>
      <c r="N90" s="232" t="s">
        <v>515</v>
      </c>
      <c r="O90" s="295" t="s">
        <v>90</v>
      </c>
      <c r="P90" s="295" t="s">
        <v>91</v>
      </c>
      <c r="Q90" s="295" t="s">
        <v>899</v>
      </c>
      <c r="R90" s="295" t="s">
        <v>520</v>
      </c>
      <c r="S90" s="295" t="s">
        <v>517</v>
      </c>
      <c r="T90" s="295" t="s">
        <v>94</v>
      </c>
      <c r="U90" s="44"/>
    </row>
    <row r="91" spans="1:21" s="43" customFormat="1" x14ac:dyDescent="0.2">
      <c r="A91" s="230" t="str">
        <f t="shared" si="1"/>
        <v>14ALM EMB</v>
      </c>
      <c r="B91" s="310"/>
      <c r="C91" s="346"/>
      <c r="D91" s="294" t="s">
        <v>512</v>
      </c>
      <c r="E91" s="294" t="s">
        <v>136</v>
      </c>
      <c r="F91" s="295" t="s">
        <v>137</v>
      </c>
      <c r="G91" s="295" t="s">
        <v>137</v>
      </c>
      <c r="H91" s="296">
        <v>8.0019999999999994E-2</v>
      </c>
      <c r="I91" s="295" t="s">
        <v>9</v>
      </c>
      <c r="J91" s="295" t="s">
        <v>86</v>
      </c>
      <c r="K91" s="307" t="s">
        <v>513</v>
      </c>
      <c r="L91" s="308" t="s">
        <v>514</v>
      </c>
      <c r="M91" s="307" t="s">
        <v>89</v>
      </c>
      <c r="N91" s="232" t="s">
        <v>515</v>
      </c>
      <c r="O91" s="295" t="s">
        <v>90</v>
      </c>
      <c r="P91" s="295" t="s">
        <v>91</v>
      </c>
      <c r="Q91" s="295" t="s">
        <v>899</v>
      </c>
      <c r="R91" s="295" t="s">
        <v>516</v>
      </c>
      <c r="S91" s="295" t="s">
        <v>517</v>
      </c>
      <c r="T91" s="295" t="s">
        <v>94</v>
      </c>
      <c r="U91" s="44"/>
    </row>
    <row r="92" spans="1:21" s="43" customFormat="1" x14ac:dyDescent="0.2">
      <c r="A92" s="230" t="str">
        <f t="shared" si="1"/>
        <v>1SST304G</v>
      </c>
      <c r="B92" s="310"/>
      <c r="C92" s="346"/>
      <c r="D92" s="293" t="s">
        <v>127</v>
      </c>
      <c r="E92" s="293" t="s">
        <v>128</v>
      </c>
      <c r="F92" s="301" t="s">
        <v>129</v>
      </c>
      <c r="G92" s="301" t="s">
        <v>129</v>
      </c>
      <c r="H92" s="302">
        <v>1.0000199999999999</v>
      </c>
      <c r="I92" s="301" t="s">
        <v>9</v>
      </c>
      <c r="J92" s="301" t="s">
        <v>86</v>
      </c>
      <c r="K92" s="349" t="s">
        <v>418</v>
      </c>
      <c r="L92" s="293" t="s">
        <v>419</v>
      </c>
      <c r="M92" s="301" t="s">
        <v>406</v>
      </c>
      <c r="N92" s="349" t="s">
        <v>407</v>
      </c>
      <c r="O92" s="301" t="s">
        <v>132</v>
      </c>
      <c r="P92" s="301" t="s">
        <v>91</v>
      </c>
      <c r="Q92" s="301" t="s">
        <v>420</v>
      </c>
      <c r="R92" s="303" t="s">
        <v>421</v>
      </c>
      <c r="S92" s="303" t="s">
        <v>422</v>
      </c>
      <c r="T92" s="303" t="s">
        <v>94</v>
      </c>
      <c r="U92" s="44"/>
    </row>
    <row r="93" spans="1:21" s="43" customFormat="1" x14ac:dyDescent="0.2">
      <c r="A93" s="230" t="str">
        <f t="shared" si="1"/>
        <v>1ALM GRATE</v>
      </c>
      <c r="B93" s="310"/>
      <c r="C93" s="346"/>
      <c r="D93" s="294" t="s">
        <v>127</v>
      </c>
      <c r="E93" s="294" t="s">
        <v>128</v>
      </c>
      <c r="F93" s="295" t="s">
        <v>129</v>
      </c>
      <c r="G93" s="295" t="s">
        <v>129</v>
      </c>
      <c r="H93" s="296">
        <v>1.00003</v>
      </c>
      <c r="I93" s="295" t="s">
        <v>9</v>
      </c>
      <c r="J93" s="295" t="s">
        <v>86</v>
      </c>
      <c r="K93" s="295" t="s">
        <v>130</v>
      </c>
      <c r="L93" s="294" t="s">
        <v>131</v>
      </c>
      <c r="M93" s="295" t="s">
        <v>89</v>
      </c>
      <c r="N93" s="303" t="s">
        <v>9</v>
      </c>
      <c r="O93" s="301" t="s">
        <v>132</v>
      </c>
      <c r="P93" s="301" t="s">
        <v>91</v>
      </c>
      <c r="Q93" s="295" t="s">
        <v>900</v>
      </c>
      <c r="R93" s="232" t="s">
        <v>133</v>
      </c>
      <c r="S93" s="295" t="s">
        <v>134</v>
      </c>
      <c r="T93" s="295" t="s">
        <v>94</v>
      </c>
      <c r="U93" s="44"/>
    </row>
    <row r="94" spans="1:21" s="43" customFormat="1" x14ac:dyDescent="0.2">
      <c r="A94" s="230" t="str">
        <f t="shared" si="1"/>
        <v>1GALV GRATE</v>
      </c>
      <c r="B94" s="310"/>
      <c r="C94" s="346"/>
      <c r="D94" s="294" t="s">
        <v>127</v>
      </c>
      <c r="E94" s="294" t="s">
        <v>128</v>
      </c>
      <c r="F94" s="295" t="s">
        <v>129</v>
      </c>
      <c r="G94" s="295" t="s">
        <v>129</v>
      </c>
      <c r="H94" s="296">
        <v>1.0000100000000001</v>
      </c>
      <c r="I94" s="295" t="s">
        <v>9</v>
      </c>
      <c r="J94" s="295" t="s">
        <v>86</v>
      </c>
      <c r="K94" s="295" t="s">
        <v>253</v>
      </c>
      <c r="L94" s="294" t="s">
        <v>254</v>
      </c>
      <c r="M94" s="295" t="s">
        <v>183</v>
      </c>
      <c r="N94" s="232" t="s">
        <v>255</v>
      </c>
      <c r="O94" s="295" t="s">
        <v>132</v>
      </c>
      <c r="P94" s="295" t="s">
        <v>91</v>
      </c>
      <c r="Q94" s="295" t="s">
        <v>901</v>
      </c>
      <c r="R94" s="232" t="s">
        <v>256</v>
      </c>
      <c r="S94" s="295" t="s">
        <v>257</v>
      </c>
      <c r="T94" s="295" t="s">
        <v>94</v>
      </c>
      <c r="U94" s="44"/>
    </row>
    <row r="95" spans="1:21" s="43" customFormat="1" ht="18" customHeight="1" thickBot="1" x14ac:dyDescent="0.25">
      <c r="A95" s="314" t="str">
        <f t="shared" si="1"/>
        <v>19GALV CLOTH</v>
      </c>
      <c r="B95" s="310"/>
      <c r="C95" s="346"/>
      <c r="D95" s="316" t="s">
        <v>902</v>
      </c>
      <c r="E95" s="316" t="s">
        <v>903</v>
      </c>
      <c r="F95" s="317" t="s">
        <v>904</v>
      </c>
      <c r="G95" s="317" t="s">
        <v>904</v>
      </c>
      <c r="H95" s="318">
        <v>4.0030000000000003E-2</v>
      </c>
      <c r="I95" s="317" t="s">
        <v>9</v>
      </c>
      <c r="J95" s="317" t="s">
        <v>86</v>
      </c>
      <c r="K95" s="317" t="s">
        <v>905</v>
      </c>
      <c r="L95" s="316" t="s">
        <v>906</v>
      </c>
      <c r="M95" s="317" t="s">
        <v>183</v>
      </c>
      <c r="N95" s="322" t="s">
        <v>907</v>
      </c>
      <c r="O95" s="317" t="s">
        <v>193</v>
      </c>
      <c r="P95" s="317" t="s">
        <v>91</v>
      </c>
      <c r="Q95" s="317" t="s">
        <v>908</v>
      </c>
      <c r="R95" s="322" t="s">
        <v>909</v>
      </c>
      <c r="S95" s="317" t="s">
        <v>94</v>
      </c>
      <c r="T95" s="317" t="s">
        <v>94</v>
      </c>
      <c r="U95" s="44"/>
    </row>
    <row r="96" spans="1:21" s="43" customFormat="1" ht="18" customHeight="1" thickTop="1" thickBot="1" x14ac:dyDescent="0.25">
      <c r="A96" s="324" t="str">
        <f t="shared" si="1"/>
        <v/>
      </c>
      <c r="B96" s="310"/>
      <c r="C96" s="350"/>
      <c r="D96" s="351"/>
      <c r="E96" s="351"/>
      <c r="F96" s="351"/>
      <c r="G96" s="351"/>
      <c r="H96" s="351"/>
      <c r="I96" s="351"/>
      <c r="J96" s="351"/>
      <c r="K96" s="351"/>
      <c r="L96" s="351"/>
      <c r="M96" s="352"/>
      <c r="N96" s="352"/>
      <c r="O96" s="352"/>
      <c r="P96" s="352"/>
      <c r="Q96" s="352"/>
      <c r="R96" s="352"/>
      <c r="S96" s="352"/>
      <c r="T96" s="353"/>
      <c r="U96" s="44"/>
    </row>
    <row r="97" spans="1:21" s="43" customFormat="1" ht="17.25" thickTop="1" thickBot="1" x14ac:dyDescent="0.25">
      <c r="A97" s="324" t="str">
        <f t="shared" si="1"/>
        <v/>
      </c>
      <c r="B97" s="310"/>
      <c r="C97" s="348" t="s">
        <v>661</v>
      </c>
      <c r="D97" s="329"/>
      <c r="E97" s="329"/>
      <c r="F97" s="329"/>
      <c r="G97" s="329"/>
      <c r="H97" s="329"/>
      <c r="I97" s="329"/>
      <c r="J97" s="329"/>
      <c r="K97" s="329"/>
      <c r="L97" s="329"/>
      <c r="M97" s="77"/>
      <c r="N97" s="77"/>
      <c r="O97" s="77"/>
      <c r="P97" s="77"/>
      <c r="Q97" s="77"/>
      <c r="R97" s="77"/>
      <c r="S97" s="77"/>
      <c r="T97" s="77"/>
      <c r="U97" s="44"/>
    </row>
    <row r="98" spans="1:21" s="43" customFormat="1" ht="13.5" thickTop="1" x14ac:dyDescent="0.2">
      <c r="A98" s="330" t="str">
        <f t="shared" si="1"/>
        <v>12STL DIA HR</v>
      </c>
      <c r="B98" s="310"/>
      <c r="C98" s="346"/>
      <c r="D98" s="354" t="s">
        <v>213</v>
      </c>
      <c r="E98" s="354" t="s">
        <v>220</v>
      </c>
      <c r="F98" s="355" t="s">
        <v>221</v>
      </c>
      <c r="G98" s="355" t="s">
        <v>222</v>
      </c>
      <c r="H98" s="356">
        <v>9.7030000000000005E-2</v>
      </c>
      <c r="I98" s="355" t="s">
        <v>9</v>
      </c>
      <c r="J98" s="355" t="s">
        <v>86</v>
      </c>
      <c r="K98" s="355" t="s">
        <v>223</v>
      </c>
      <c r="L98" s="354" t="s">
        <v>224</v>
      </c>
      <c r="M98" s="355" t="s">
        <v>217</v>
      </c>
      <c r="N98" s="357" t="s">
        <v>9</v>
      </c>
      <c r="O98" s="355" t="s">
        <v>225</v>
      </c>
      <c r="P98" s="355" t="s">
        <v>91</v>
      </c>
      <c r="Q98" s="355" t="s">
        <v>910</v>
      </c>
      <c r="R98" s="357" t="s">
        <v>226</v>
      </c>
      <c r="S98" s="355" t="s">
        <v>93</v>
      </c>
      <c r="T98" s="355" t="s">
        <v>94</v>
      </c>
      <c r="U98" s="44"/>
    </row>
    <row r="99" spans="1:21" s="43" customFormat="1" x14ac:dyDescent="0.2">
      <c r="A99" s="230" t="str">
        <f t="shared" si="1"/>
        <v>14STL DIA HR</v>
      </c>
      <c r="B99" s="310"/>
      <c r="C99" s="346"/>
      <c r="D99" s="358" t="s">
        <v>213</v>
      </c>
      <c r="E99" s="358" t="s">
        <v>136</v>
      </c>
      <c r="F99" s="359" t="s">
        <v>227</v>
      </c>
      <c r="G99" s="359" t="s">
        <v>228</v>
      </c>
      <c r="H99" s="360">
        <v>7.0040000000000005E-2</v>
      </c>
      <c r="I99" s="359" t="s">
        <v>9</v>
      </c>
      <c r="J99" s="359" t="s">
        <v>86</v>
      </c>
      <c r="K99" s="359" t="s">
        <v>229</v>
      </c>
      <c r="L99" s="358" t="s">
        <v>230</v>
      </c>
      <c r="M99" s="359" t="s">
        <v>217</v>
      </c>
      <c r="N99" s="361" t="s">
        <v>9</v>
      </c>
      <c r="O99" s="362" t="s">
        <v>123</v>
      </c>
      <c r="P99" s="362" t="s">
        <v>91</v>
      </c>
      <c r="Q99" s="359" t="s">
        <v>910</v>
      </c>
      <c r="R99" s="363" t="s">
        <v>231</v>
      </c>
      <c r="S99" s="359" t="s">
        <v>93</v>
      </c>
      <c r="T99" s="359" t="s">
        <v>94</v>
      </c>
      <c r="U99" s="44"/>
    </row>
    <row r="100" spans="1:21" s="43" customFormat="1" x14ac:dyDescent="0.2">
      <c r="A100" s="230" t="str">
        <f t="shared" si="1"/>
        <v>10STL DIA HR</v>
      </c>
      <c r="B100" s="310"/>
      <c r="C100" s="346"/>
      <c r="D100" s="358" t="s">
        <v>213</v>
      </c>
      <c r="E100" s="358" t="s">
        <v>156</v>
      </c>
      <c r="F100" s="359" t="s">
        <v>96</v>
      </c>
      <c r="G100" s="359" t="s">
        <v>214</v>
      </c>
      <c r="H100" s="360">
        <v>0.12603</v>
      </c>
      <c r="I100" s="359" t="s">
        <v>9</v>
      </c>
      <c r="J100" s="359" t="s">
        <v>86</v>
      </c>
      <c r="K100" s="359" t="s">
        <v>215</v>
      </c>
      <c r="L100" s="358" t="s">
        <v>216</v>
      </c>
      <c r="M100" s="359" t="s">
        <v>217</v>
      </c>
      <c r="N100" s="361" t="s">
        <v>9</v>
      </c>
      <c r="O100" s="362" t="s">
        <v>218</v>
      </c>
      <c r="P100" s="362" t="s">
        <v>91</v>
      </c>
      <c r="Q100" s="359" t="s">
        <v>910</v>
      </c>
      <c r="R100" s="363" t="s">
        <v>219</v>
      </c>
      <c r="S100" s="359" t="s">
        <v>93</v>
      </c>
      <c r="T100" s="359" t="s">
        <v>94</v>
      </c>
      <c r="U100" s="44"/>
    </row>
    <row r="101" spans="1:21" s="43" customFormat="1" x14ac:dyDescent="0.2">
      <c r="A101" s="230" t="str">
        <f t="shared" si="1"/>
        <v>7STL DIA HR</v>
      </c>
      <c r="B101" s="310"/>
      <c r="C101" s="346"/>
      <c r="D101" s="358" t="s">
        <v>213</v>
      </c>
      <c r="E101" s="358" t="s">
        <v>232</v>
      </c>
      <c r="F101" s="359" t="s">
        <v>111</v>
      </c>
      <c r="G101" s="359" t="s">
        <v>111</v>
      </c>
      <c r="H101" s="360">
        <v>0.18801000000000001</v>
      </c>
      <c r="I101" s="359" t="s">
        <v>9</v>
      </c>
      <c r="J101" s="359" t="s">
        <v>86</v>
      </c>
      <c r="K101" s="359" t="s">
        <v>233</v>
      </c>
      <c r="L101" s="358" t="s">
        <v>234</v>
      </c>
      <c r="M101" s="359" t="s">
        <v>217</v>
      </c>
      <c r="N101" s="361" t="s">
        <v>9</v>
      </c>
      <c r="O101" s="362" t="s">
        <v>123</v>
      </c>
      <c r="P101" s="362" t="s">
        <v>91</v>
      </c>
      <c r="Q101" s="359" t="s">
        <v>910</v>
      </c>
      <c r="R101" s="363" t="s">
        <v>235</v>
      </c>
      <c r="S101" s="359" t="s">
        <v>93</v>
      </c>
      <c r="T101" s="359" t="s">
        <v>94</v>
      </c>
      <c r="U101" s="44"/>
    </row>
    <row r="102" spans="1:21" s="43" customFormat="1" x14ac:dyDescent="0.2">
      <c r="A102" s="230" t="str">
        <f t="shared" si="1"/>
        <v>11ALM DIA</v>
      </c>
      <c r="B102" s="310"/>
      <c r="C102" s="346"/>
      <c r="D102" s="358" t="s">
        <v>83</v>
      </c>
      <c r="E102" s="358" t="s">
        <v>105</v>
      </c>
      <c r="F102" s="359" t="s">
        <v>106</v>
      </c>
      <c r="G102" s="359" t="s">
        <v>106</v>
      </c>
      <c r="H102" s="360">
        <v>0.10001</v>
      </c>
      <c r="I102" s="359" t="s">
        <v>9</v>
      </c>
      <c r="J102" s="359" t="s">
        <v>86</v>
      </c>
      <c r="K102" s="364" t="s">
        <v>107</v>
      </c>
      <c r="L102" s="365" t="s">
        <v>108</v>
      </c>
      <c r="M102" s="359" t="s">
        <v>89</v>
      </c>
      <c r="N102" s="361" t="s">
        <v>9</v>
      </c>
      <c r="O102" s="362" t="s">
        <v>90</v>
      </c>
      <c r="P102" s="362" t="s">
        <v>91</v>
      </c>
      <c r="Q102" s="359" t="s">
        <v>911</v>
      </c>
      <c r="R102" s="359" t="s">
        <v>109</v>
      </c>
      <c r="S102" s="359" t="s">
        <v>93</v>
      </c>
      <c r="T102" s="359" t="s">
        <v>94</v>
      </c>
      <c r="U102" s="44"/>
    </row>
    <row r="103" spans="1:21" s="43" customFormat="1" x14ac:dyDescent="0.2">
      <c r="A103" s="230" t="str">
        <f t="shared" si="1"/>
        <v>1/8ALM DIA</v>
      </c>
      <c r="B103" s="310"/>
      <c r="C103" s="346"/>
      <c r="D103" s="358" t="s">
        <v>83</v>
      </c>
      <c r="E103" s="358" t="s">
        <v>95</v>
      </c>
      <c r="F103" s="359" t="s">
        <v>96</v>
      </c>
      <c r="G103" s="359" t="s">
        <v>96</v>
      </c>
      <c r="H103" s="360">
        <v>0.12503</v>
      </c>
      <c r="I103" s="359" t="s">
        <v>97</v>
      </c>
      <c r="J103" s="359" t="s">
        <v>86</v>
      </c>
      <c r="K103" s="359" t="s">
        <v>98</v>
      </c>
      <c r="L103" s="365" t="s">
        <v>99</v>
      </c>
      <c r="M103" s="359" t="s">
        <v>89</v>
      </c>
      <c r="N103" s="361" t="s">
        <v>9</v>
      </c>
      <c r="O103" s="362" t="s">
        <v>100</v>
      </c>
      <c r="P103" s="362" t="s">
        <v>91</v>
      </c>
      <c r="Q103" s="359" t="s">
        <v>911</v>
      </c>
      <c r="R103" s="363" t="s">
        <v>101</v>
      </c>
      <c r="S103" s="359" t="s">
        <v>93</v>
      </c>
      <c r="T103" s="359" t="s">
        <v>94</v>
      </c>
      <c r="U103" s="44"/>
    </row>
    <row r="104" spans="1:21" s="43" customFormat="1" x14ac:dyDescent="0.2">
      <c r="A104" s="230" t="str">
        <f t="shared" si="1"/>
        <v>3/16ALM DIA</v>
      </c>
      <c r="B104" s="310"/>
      <c r="C104" s="346"/>
      <c r="D104" s="358" t="s">
        <v>83</v>
      </c>
      <c r="E104" s="358" t="s">
        <v>110</v>
      </c>
      <c r="F104" s="359" t="s">
        <v>111</v>
      </c>
      <c r="G104" s="359" t="s">
        <v>111</v>
      </c>
      <c r="H104" s="360">
        <v>0.18801999999999999</v>
      </c>
      <c r="I104" s="359" t="s">
        <v>9</v>
      </c>
      <c r="J104" s="359" t="s">
        <v>86</v>
      </c>
      <c r="K104" s="364" t="s">
        <v>112</v>
      </c>
      <c r="L104" s="365" t="s">
        <v>113</v>
      </c>
      <c r="M104" s="359" t="s">
        <v>89</v>
      </c>
      <c r="N104" s="361" t="s">
        <v>9</v>
      </c>
      <c r="O104" s="362" t="s">
        <v>90</v>
      </c>
      <c r="P104" s="362" t="s">
        <v>91</v>
      </c>
      <c r="Q104" s="359" t="s">
        <v>911</v>
      </c>
      <c r="R104" s="359" t="s">
        <v>114</v>
      </c>
      <c r="S104" s="359" t="s">
        <v>93</v>
      </c>
      <c r="T104" s="359" t="s">
        <v>94</v>
      </c>
      <c r="U104" s="44"/>
    </row>
    <row r="105" spans="1:21" s="43" customFormat="1" x14ac:dyDescent="0.2">
      <c r="A105" s="230" t="str">
        <f t="shared" si="1"/>
        <v>1/8ALMB DIA</v>
      </c>
      <c r="B105" s="310"/>
      <c r="C105" s="346"/>
      <c r="D105" s="358" t="s">
        <v>83</v>
      </c>
      <c r="E105" s="358" t="s">
        <v>95</v>
      </c>
      <c r="F105" s="359" t="s">
        <v>96</v>
      </c>
      <c r="G105" s="366" t="s">
        <v>96</v>
      </c>
      <c r="H105" s="360">
        <v>0.12504000000000001</v>
      </c>
      <c r="I105" s="359" t="s">
        <v>9</v>
      </c>
      <c r="J105" s="359" t="s">
        <v>86</v>
      </c>
      <c r="K105" s="359" t="s">
        <v>102</v>
      </c>
      <c r="L105" s="358" t="s">
        <v>103</v>
      </c>
      <c r="M105" s="359" t="s">
        <v>89</v>
      </c>
      <c r="N105" s="361" t="s">
        <v>9</v>
      </c>
      <c r="O105" s="362" t="s">
        <v>90</v>
      </c>
      <c r="P105" s="362" t="s">
        <v>91</v>
      </c>
      <c r="Q105" s="359" t="s">
        <v>912</v>
      </c>
      <c r="R105" s="359" t="s">
        <v>104</v>
      </c>
      <c r="S105" s="359" t="s">
        <v>93</v>
      </c>
      <c r="T105" s="359" t="s">
        <v>94</v>
      </c>
      <c r="U105" s="44"/>
    </row>
    <row r="106" spans="1:21" s="43" customFormat="1" x14ac:dyDescent="0.2">
      <c r="A106" s="230" t="str">
        <f t="shared" si="1"/>
        <v>3/16ALMB DIA</v>
      </c>
      <c r="B106" s="310"/>
      <c r="C106" s="346"/>
      <c r="D106" s="358" t="s">
        <v>83</v>
      </c>
      <c r="E106" s="358" t="s">
        <v>110</v>
      </c>
      <c r="F106" s="359" t="s">
        <v>111</v>
      </c>
      <c r="G106" s="366" t="s">
        <v>111</v>
      </c>
      <c r="H106" s="360">
        <v>0.18804000000000001</v>
      </c>
      <c r="I106" s="359" t="s">
        <v>9</v>
      </c>
      <c r="J106" s="359" t="s">
        <v>86</v>
      </c>
      <c r="K106" s="359" t="s">
        <v>115</v>
      </c>
      <c r="L106" s="358" t="s">
        <v>116</v>
      </c>
      <c r="M106" s="359" t="s">
        <v>89</v>
      </c>
      <c r="N106" s="361" t="s">
        <v>9</v>
      </c>
      <c r="O106" s="362" t="s">
        <v>90</v>
      </c>
      <c r="P106" s="362" t="s">
        <v>91</v>
      </c>
      <c r="Q106" s="359" t="s">
        <v>912</v>
      </c>
      <c r="R106" s="359" t="s">
        <v>117</v>
      </c>
      <c r="S106" s="359" t="s">
        <v>93</v>
      </c>
      <c r="T106" s="359" t="s">
        <v>94</v>
      </c>
      <c r="U106" s="44"/>
    </row>
    <row r="107" spans="1:21" s="43" customFormat="1" x14ac:dyDescent="0.2">
      <c r="A107" s="230" t="str">
        <f t="shared" si="1"/>
        <v>1/4ALMB DIA</v>
      </c>
      <c r="B107" s="310"/>
      <c r="C107" s="346"/>
      <c r="D107" s="358" t="s">
        <v>83</v>
      </c>
      <c r="E107" s="358" t="s">
        <v>84</v>
      </c>
      <c r="F107" s="359" t="s">
        <v>85</v>
      </c>
      <c r="G107" s="359" t="s">
        <v>85</v>
      </c>
      <c r="H107" s="360">
        <v>0.25002999999999997</v>
      </c>
      <c r="I107" s="359" t="s">
        <v>9</v>
      </c>
      <c r="J107" s="359" t="s">
        <v>86</v>
      </c>
      <c r="K107" s="359" t="s">
        <v>87</v>
      </c>
      <c r="L107" s="358" t="s">
        <v>88</v>
      </c>
      <c r="M107" s="359" t="s">
        <v>89</v>
      </c>
      <c r="N107" s="361" t="s">
        <v>9</v>
      </c>
      <c r="O107" s="362" t="s">
        <v>90</v>
      </c>
      <c r="P107" s="362" t="s">
        <v>91</v>
      </c>
      <c r="Q107" s="359" t="s">
        <v>912</v>
      </c>
      <c r="R107" s="359" t="s">
        <v>92</v>
      </c>
      <c r="S107" s="359" t="s">
        <v>93</v>
      </c>
      <c r="T107" s="359" t="s">
        <v>94</v>
      </c>
      <c r="U107" s="44"/>
    </row>
    <row r="108" spans="1:21" s="43" customFormat="1" x14ac:dyDescent="0.2">
      <c r="A108" s="230" t="str">
        <f t="shared" si="1"/>
        <v>1/8SST304D</v>
      </c>
      <c r="B108" s="310"/>
      <c r="C108" s="346"/>
      <c r="D108" s="358" t="s">
        <v>427</v>
      </c>
      <c r="E108" s="367" t="s">
        <v>95</v>
      </c>
      <c r="F108" s="368" t="s">
        <v>96</v>
      </c>
      <c r="G108" s="368" t="s">
        <v>96</v>
      </c>
      <c r="H108" s="369">
        <v>0.12501999999999999</v>
      </c>
      <c r="I108" s="363" t="s">
        <v>9</v>
      </c>
      <c r="J108" s="359" t="s">
        <v>86</v>
      </c>
      <c r="K108" s="359" t="s">
        <v>428</v>
      </c>
      <c r="L108" s="358" t="s">
        <v>429</v>
      </c>
      <c r="M108" s="359">
        <v>304</v>
      </c>
      <c r="N108" s="361" t="s">
        <v>407</v>
      </c>
      <c r="O108" s="362" t="s">
        <v>123</v>
      </c>
      <c r="P108" s="362" t="s">
        <v>91</v>
      </c>
      <c r="Q108" s="359" t="s">
        <v>430</v>
      </c>
      <c r="R108" s="363" t="s">
        <v>431</v>
      </c>
      <c r="S108" s="363" t="s">
        <v>93</v>
      </c>
      <c r="T108" s="359" t="s">
        <v>94</v>
      </c>
      <c r="U108" s="44"/>
    </row>
    <row r="109" spans="1:21" s="43" customFormat="1" ht="18" customHeight="1" thickBot="1" x14ac:dyDescent="0.25">
      <c r="A109" s="314" t="str">
        <f t="shared" si="1"/>
        <v>3/16SST304D</v>
      </c>
      <c r="B109" s="310"/>
      <c r="C109" s="346"/>
      <c r="D109" s="370" t="s">
        <v>427</v>
      </c>
      <c r="E109" s="371" t="s">
        <v>110</v>
      </c>
      <c r="F109" s="372" t="s">
        <v>111</v>
      </c>
      <c r="G109" s="372" t="s">
        <v>111</v>
      </c>
      <c r="H109" s="373">
        <v>0.18804999999999999</v>
      </c>
      <c r="I109" s="374" t="s">
        <v>9</v>
      </c>
      <c r="J109" s="375" t="s">
        <v>86</v>
      </c>
      <c r="K109" s="375" t="s">
        <v>469</v>
      </c>
      <c r="L109" s="370" t="s">
        <v>470</v>
      </c>
      <c r="M109" s="375">
        <v>304</v>
      </c>
      <c r="N109" s="376" t="s">
        <v>407</v>
      </c>
      <c r="O109" s="377" t="s">
        <v>123</v>
      </c>
      <c r="P109" s="375" t="s">
        <v>91</v>
      </c>
      <c r="Q109" s="375" t="s">
        <v>430</v>
      </c>
      <c r="R109" s="374" t="s">
        <v>471</v>
      </c>
      <c r="S109" s="374" t="s">
        <v>93</v>
      </c>
      <c r="T109" s="375" t="s">
        <v>94</v>
      </c>
      <c r="U109" s="44"/>
    </row>
    <row r="110" spans="1:21" s="43" customFormat="1" ht="18" customHeight="1" thickTop="1" thickBot="1" x14ac:dyDescent="0.25">
      <c r="A110" s="324" t="str">
        <f t="shared" si="1"/>
        <v/>
      </c>
      <c r="B110" s="310"/>
      <c r="C110" s="325"/>
      <c r="D110" s="326"/>
      <c r="E110" s="326"/>
      <c r="F110" s="326"/>
      <c r="G110" s="326"/>
      <c r="H110" s="326"/>
      <c r="I110" s="326"/>
      <c r="J110" s="326"/>
      <c r="K110" s="326"/>
      <c r="L110" s="326"/>
      <c r="M110" s="327"/>
      <c r="N110" s="327"/>
      <c r="O110" s="327"/>
      <c r="P110" s="327"/>
      <c r="Q110" s="327"/>
      <c r="R110" s="327"/>
      <c r="S110" s="327"/>
      <c r="T110" s="347"/>
      <c r="U110" s="44"/>
    </row>
    <row r="111" spans="1:21" s="43" customFormat="1" ht="17.25" thickTop="1" thickBot="1" x14ac:dyDescent="0.25">
      <c r="A111" s="324" t="str">
        <f t="shared" si="1"/>
        <v/>
      </c>
      <c r="B111" s="310"/>
      <c r="C111" s="348" t="s">
        <v>662</v>
      </c>
      <c r="D111" s="329"/>
      <c r="E111" s="329"/>
      <c r="F111" s="329"/>
      <c r="G111" s="329"/>
      <c r="H111" s="329"/>
      <c r="I111" s="329"/>
      <c r="J111" s="329"/>
      <c r="K111" s="329"/>
      <c r="L111" s="329"/>
      <c r="M111" s="77"/>
      <c r="N111" s="77"/>
      <c r="O111" s="77"/>
      <c r="P111" s="77"/>
      <c r="Q111" s="77"/>
      <c r="R111" s="77"/>
      <c r="S111" s="77"/>
      <c r="T111" s="77"/>
      <c r="U111" s="44"/>
    </row>
    <row r="112" spans="1:21" s="43" customFormat="1" ht="18" customHeight="1" thickTop="1" thickBot="1" x14ac:dyDescent="0.25">
      <c r="A112" s="378" t="str">
        <f t="shared" si="1"/>
        <v>20GALV CORA</v>
      </c>
      <c r="B112" s="310"/>
      <c r="C112" s="346"/>
      <c r="D112" s="379" t="s">
        <v>179</v>
      </c>
      <c r="E112" s="379">
        <v>20</v>
      </c>
      <c r="F112" s="380" t="s">
        <v>180</v>
      </c>
      <c r="G112" s="380" t="s">
        <v>180</v>
      </c>
      <c r="H112" s="381">
        <v>3.4029999999999998E-2</v>
      </c>
      <c r="I112" s="380" t="s">
        <v>97</v>
      </c>
      <c r="J112" s="380" t="s">
        <v>9</v>
      </c>
      <c r="K112" s="382" t="s">
        <v>181</v>
      </c>
      <c r="L112" s="379" t="s">
        <v>182</v>
      </c>
      <c r="M112" s="380" t="s">
        <v>183</v>
      </c>
      <c r="N112" s="383" t="s">
        <v>9</v>
      </c>
      <c r="O112" s="380" t="s">
        <v>184</v>
      </c>
      <c r="P112" s="380" t="s">
        <v>91</v>
      </c>
      <c r="Q112" s="380" t="s">
        <v>913</v>
      </c>
      <c r="R112" s="383" t="s">
        <v>185</v>
      </c>
      <c r="S112" s="380" t="s">
        <v>186</v>
      </c>
      <c r="T112" s="380" t="s">
        <v>94</v>
      </c>
      <c r="U112" s="44"/>
    </row>
    <row r="113" spans="1:21" s="43" customFormat="1" ht="18" customHeight="1" thickTop="1" thickBot="1" x14ac:dyDescent="0.25">
      <c r="A113" s="324" t="str">
        <f t="shared" si="1"/>
        <v/>
      </c>
      <c r="B113" s="310"/>
      <c r="C113" s="325"/>
      <c r="D113" s="326"/>
      <c r="E113" s="326"/>
      <c r="F113" s="326"/>
      <c r="G113" s="326"/>
      <c r="H113" s="326"/>
      <c r="I113" s="326"/>
      <c r="J113" s="326"/>
      <c r="K113" s="326"/>
      <c r="L113" s="326"/>
      <c r="M113" s="327"/>
      <c r="N113" s="327"/>
      <c r="O113" s="327"/>
      <c r="P113" s="327"/>
      <c r="Q113" s="327"/>
      <c r="R113" s="327"/>
      <c r="S113" s="327"/>
      <c r="T113" s="347"/>
      <c r="U113" s="44"/>
    </row>
    <row r="114" spans="1:21" s="43" customFormat="1" ht="17.25" thickTop="1" thickBot="1" x14ac:dyDescent="0.25">
      <c r="A114" s="324" t="str">
        <f t="shared" si="1"/>
        <v/>
      </c>
      <c r="B114" s="310"/>
      <c r="C114" s="348" t="s">
        <v>663</v>
      </c>
      <c r="D114" s="329"/>
      <c r="E114" s="329"/>
      <c r="F114" s="329"/>
      <c r="G114" s="329"/>
      <c r="H114" s="329"/>
      <c r="I114" s="329"/>
      <c r="J114" s="329"/>
      <c r="K114" s="329"/>
      <c r="L114" s="329"/>
      <c r="M114" s="77"/>
      <c r="N114" s="77"/>
      <c r="O114" s="77"/>
      <c r="P114" s="77"/>
      <c r="Q114" s="77"/>
      <c r="R114" s="77"/>
      <c r="S114" s="77"/>
      <c r="T114" s="77"/>
      <c r="U114" s="44"/>
    </row>
    <row r="115" spans="1:21" s="43" customFormat="1" ht="13.5" thickTop="1" x14ac:dyDescent="0.2">
      <c r="A115" s="330" t="str">
        <f t="shared" si="1"/>
        <v>7SST304</v>
      </c>
      <c r="B115" s="310"/>
      <c r="C115" s="346"/>
      <c r="D115" s="331" t="s">
        <v>423</v>
      </c>
      <c r="E115" s="331" t="s">
        <v>232</v>
      </c>
      <c r="F115" s="332" t="s">
        <v>111</v>
      </c>
      <c r="G115" s="332" t="s">
        <v>111</v>
      </c>
      <c r="H115" s="333">
        <v>0.18803</v>
      </c>
      <c r="I115" s="332" t="s">
        <v>9</v>
      </c>
      <c r="J115" s="332" t="s">
        <v>86</v>
      </c>
      <c r="K115" s="384" t="s">
        <v>472</v>
      </c>
      <c r="L115" s="385" t="s">
        <v>473</v>
      </c>
      <c r="M115" s="332" t="s">
        <v>406</v>
      </c>
      <c r="N115" s="386" t="s">
        <v>407</v>
      </c>
      <c r="O115" s="332" t="s">
        <v>100</v>
      </c>
      <c r="P115" s="332" t="s">
        <v>91</v>
      </c>
      <c r="Q115" s="332" t="s">
        <v>408</v>
      </c>
      <c r="R115" s="334" t="s">
        <v>474</v>
      </c>
      <c r="S115" s="334" t="s">
        <v>94</v>
      </c>
      <c r="T115" s="334" t="s">
        <v>94</v>
      </c>
      <c r="U115" s="44"/>
    </row>
    <row r="116" spans="1:21" s="43" customFormat="1" x14ac:dyDescent="0.2">
      <c r="A116" s="230" t="str">
        <f t="shared" si="1"/>
        <v>1/4SST304</v>
      </c>
      <c r="B116" s="310"/>
      <c r="C116" s="346"/>
      <c r="D116" s="294" t="s">
        <v>423</v>
      </c>
      <c r="E116" s="294" t="s">
        <v>84</v>
      </c>
      <c r="F116" s="295" t="s">
        <v>85</v>
      </c>
      <c r="G116" s="295" t="s">
        <v>85</v>
      </c>
      <c r="H116" s="296">
        <v>0.25002000000000002</v>
      </c>
      <c r="I116" s="295" t="s">
        <v>9</v>
      </c>
      <c r="J116" s="295" t="s">
        <v>86</v>
      </c>
      <c r="K116" s="307" t="s">
        <v>424</v>
      </c>
      <c r="L116" s="387" t="s">
        <v>425</v>
      </c>
      <c r="M116" s="295" t="s">
        <v>406</v>
      </c>
      <c r="N116" s="349" t="s">
        <v>407</v>
      </c>
      <c r="O116" s="301" t="s">
        <v>100</v>
      </c>
      <c r="P116" s="301" t="s">
        <v>91</v>
      </c>
      <c r="Q116" s="295" t="s">
        <v>408</v>
      </c>
      <c r="R116" s="232" t="s">
        <v>426</v>
      </c>
      <c r="S116" s="232" t="s">
        <v>94</v>
      </c>
      <c r="T116" s="232" t="s">
        <v>94</v>
      </c>
      <c r="U116" s="44"/>
    </row>
    <row r="117" spans="1:21" s="43" customFormat="1" x14ac:dyDescent="0.2">
      <c r="A117" s="230" t="str">
        <f t="shared" si="1"/>
        <v>3/16STL PLATE</v>
      </c>
      <c r="B117" s="310"/>
      <c r="C117" s="346"/>
      <c r="D117" s="293" t="s">
        <v>187</v>
      </c>
      <c r="E117" s="294" t="s">
        <v>110</v>
      </c>
      <c r="F117" s="295" t="s">
        <v>111</v>
      </c>
      <c r="G117" s="388" t="s">
        <v>111</v>
      </c>
      <c r="H117" s="389">
        <v>0.18806</v>
      </c>
      <c r="I117" s="295" t="s">
        <v>9</v>
      </c>
      <c r="J117" s="295" t="s">
        <v>86</v>
      </c>
      <c r="K117" s="301" t="s">
        <v>199</v>
      </c>
      <c r="L117" s="293" t="s">
        <v>200</v>
      </c>
      <c r="M117" s="295" t="s">
        <v>192</v>
      </c>
      <c r="N117" s="295" t="s">
        <v>9</v>
      </c>
      <c r="O117" s="295" t="s">
        <v>193</v>
      </c>
      <c r="P117" s="295" t="s">
        <v>91</v>
      </c>
      <c r="Q117" s="295" t="s">
        <v>194</v>
      </c>
      <c r="R117" s="295" t="s">
        <v>201</v>
      </c>
      <c r="S117" s="295" t="s">
        <v>94</v>
      </c>
      <c r="T117" s="295" t="s">
        <v>94</v>
      </c>
      <c r="U117" s="44"/>
    </row>
    <row r="118" spans="1:21" s="43" customFormat="1" x14ac:dyDescent="0.2">
      <c r="A118" s="230" t="str">
        <f t="shared" si="1"/>
        <v>1/4STL PLATE</v>
      </c>
      <c r="B118" s="310"/>
      <c r="C118" s="346"/>
      <c r="D118" s="293" t="s">
        <v>187</v>
      </c>
      <c r="E118" s="294" t="s">
        <v>84</v>
      </c>
      <c r="F118" s="295" t="s">
        <v>85</v>
      </c>
      <c r="G118" s="295" t="s">
        <v>85</v>
      </c>
      <c r="H118" s="389">
        <v>0.25001000000000001</v>
      </c>
      <c r="I118" s="295" t="s">
        <v>9</v>
      </c>
      <c r="J118" s="295" t="s">
        <v>86</v>
      </c>
      <c r="K118" s="301" t="s">
        <v>196</v>
      </c>
      <c r="L118" s="293" t="s">
        <v>197</v>
      </c>
      <c r="M118" s="295" t="s">
        <v>192</v>
      </c>
      <c r="N118" s="295" t="s">
        <v>9</v>
      </c>
      <c r="O118" s="295" t="s">
        <v>193</v>
      </c>
      <c r="P118" s="295" t="s">
        <v>91</v>
      </c>
      <c r="Q118" s="295" t="s">
        <v>194</v>
      </c>
      <c r="R118" s="295" t="s">
        <v>198</v>
      </c>
      <c r="S118" s="295" t="s">
        <v>94</v>
      </c>
      <c r="T118" s="295" t="s">
        <v>94</v>
      </c>
      <c r="U118" s="44"/>
    </row>
    <row r="119" spans="1:21" s="43" customFormat="1" x14ac:dyDescent="0.2">
      <c r="A119" s="230" t="str">
        <f t="shared" si="1"/>
        <v>5/16STL PLATE</v>
      </c>
      <c r="B119" s="310"/>
      <c r="C119" s="346"/>
      <c r="D119" s="294" t="s">
        <v>187</v>
      </c>
      <c r="E119" s="294" t="s">
        <v>207</v>
      </c>
      <c r="F119" s="295" t="s">
        <v>208</v>
      </c>
      <c r="G119" s="295" t="s">
        <v>208</v>
      </c>
      <c r="H119" s="296">
        <v>0.31301000000000001</v>
      </c>
      <c r="I119" s="295" t="s">
        <v>9</v>
      </c>
      <c r="J119" s="295" t="s">
        <v>86</v>
      </c>
      <c r="K119" s="295" t="s">
        <v>209</v>
      </c>
      <c r="L119" s="294" t="s">
        <v>210</v>
      </c>
      <c r="M119" s="295" t="s">
        <v>192</v>
      </c>
      <c r="N119" s="295" t="s">
        <v>9</v>
      </c>
      <c r="O119" s="301" t="s">
        <v>211</v>
      </c>
      <c r="P119" s="301" t="s">
        <v>91</v>
      </c>
      <c r="Q119" s="295" t="s">
        <v>194</v>
      </c>
      <c r="R119" s="295" t="s">
        <v>212</v>
      </c>
      <c r="S119" s="295" t="s">
        <v>94</v>
      </c>
      <c r="T119" s="295" t="s">
        <v>94</v>
      </c>
      <c r="U119" s="44"/>
    </row>
    <row r="120" spans="1:21" s="43" customFormat="1" x14ac:dyDescent="0.2">
      <c r="A120" s="230" t="str">
        <f t="shared" si="1"/>
        <v>3/8STL PLATE</v>
      </c>
      <c r="B120" s="310"/>
      <c r="C120" s="346"/>
      <c r="D120" s="294" t="s">
        <v>187</v>
      </c>
      <c r="E120" s="294" t="s">
        <v>202</v>
      </c>
      <c r="F120" s="295" t="s">
        <v>203</v>
      </c>
      <c r="G120" s="388" t="s">
        <v>203</v>
      </c>
      <c r="H120" s="296">
        <v>0.37501000000000001</v>
      </c>
      <c r="I120" s="295" t="s">
        <v>9</v>
      </c>
      <c r="J120" s="295" t="s">
        <v>86</v>
      </c>
      <c r="K120" s="295" t="s">
        <v>204</v>
      </c>
      <c r="L120" s="294" t="s">
        <v>205</v>
      </c>
      <c r="M120" s="295" t="s">
        <v>192</v>
      </c>
      <c r="N120" s="295" t="s">
        <v>9</v>
      </c>
      <c r="O120" s="301" t="s">
        <v>193</v>
      </c>
      <c r="P120" s="301" t="s">
        <v>91</v>
      </c>
      <c r="Q120" s="295" t="s">
        <v>194</v>
      </c>
      <c r="R120" s="295" t="s">
        <v>206</v>
      </c>
      <c r="S120" s="295" t="s">
        <v>94</v>
      </c>
      <c r="T120" s="295" t="s">
        <v>94</v>
      </c>
      <c r="U120" s="44"/>
    </row>
    <row r="121" spans="1:21" s="43" customFormat="1" ht="18" customHeight="1" thickBot="1" x14ac:dyDescent="0.25">
      <c r="A121" s="314" t="str">
        <f t="shared" si="1"/>
        <v>1/2STL PLATE</v>
      </c>
      <c r="B121" s="310"/>
      <c r="C121" s="311"/>
      <c r="D121" s="316" t="s">
        <v>187</v>
      </c>
      <c r="E121" s="390" t="s">
        <v>188</v>
      </c>
      <c r="F121" s="317" t="s">
        <v>189</v>
      </c>
      <c r="G121" s="317" t="s">
        <v>189</v>
      </c>
      <c r="H121" s="318">
        <v>0.5</v>
      </c>
      <c r="I121" s="317" t="s">
        <v>9</v>
      </c>
      <c r="J121" s="317" t="s">
        <v>86</v>
      </c>
      <c r="K121" s="317" t="s">
        <v>190</v>
      </c>
      <c r="L121" s="316" t="s">
        <v>191</v>
      </c>
      <c r="M121" s="317" t="s">
        <v>192</v>
      </c>
      <c r="N121" s="317" t="s">
        <v>9</v>
      </c>
      <c r="O121" s="338" t="s">
        <v>193</v>
      </c>
      <c r="P121" s="338" t="s">
        <v>91</v>
      </c>
      <c r="Q121" s="317" t="s">
        <v>194</v>
      </c>
      <c r="R121" s="317" t="s">
        <v>195</v>
      </c>
      <c r="S121" s="317" t="s">
        <v>94</v>
      </c>
      <c r="T121" s="317" t="s">
        <v>94</v>
      </c>
      <c r="U121" s="44"/>
    </row>
    <row r="122" spans="1:21" s="43" customFormat="1" ht="18" customHeight="1" thickTop="1" thickBot="1" x14ac:dyDescent="0.25">
      <c r="A122" s="391"/>
      <c r="B122" s="310"/>
      <c r="C122" s="325"/>
      <c r="D122" s="341"/>
      <c r="E122" s="326"/>
      <c r="F122" s="326"/>
      <c r="G122" s="326"/>
      <c r="H122" s="326"/>
      <c r="I122" s="326"/>
      <c r="J122" s="326"/>
      <c r="K122" s="326"/>
      <c r="L122" s="326"/>
      <c r="M122" s="326"/>
      <c r="N122" s="326"/>
      <c r="O122" s="326"/>
      <c r="P122" s="326"/>
      <c r="Q122" s="326"/>
      <c r="R122" s="326"/>
      <c r="S122" s="326"/>
      <c r="T122" s="392"/>
      <c r="U122" s="44"/>
    </row>
    <row r="123" spans="1:21" ht="13.5" thickTop="1" x14ac:dyDescent="0.2">
      <c r="A123" s="393"/>
      <c r="B123" s="310"/>
      <c r="C123" s="346"/>
      <c r="D123" s="394"/>
      <c r="E123" s="329"/>
      <c r="F123" s="329"/>
      <c r="G123" s="329"/>
      <c r="H123" s="329"/>
      <c r="I123" s="329"/>
      <c r="J123" s="329"/>
      <c r="K123" s="329"/>
      <c r="L123" s="329"/>
      <c r="M123" s="329"/>
      <c r="N123" s="329"/>
      <c r="O123" s="329"/>
      <c r="P123" s="329"/>
      <c r="Q123" s="329"/>
      <c r="R123" s="329"/>
      <c r="S123" s="329"/>
      <c r="T123" s="329"/>
      <c r="U123" s="104"/>
    </row>
    <row r="124" spans="1:21" x14ac:dyDescent="0.2">
      <c r="A124" s="393"/>
      <c r="B124" s="393"/>
      <c r="C124" s="395"/>
      <c r="D124" s="396" t="s">
        <v>521</v>
      </c>
      <c r="E124" s="75"/>
      <c r="F124" s="397"/>
      <c r="G124" s="397"/>
      <c r="H124" s="398"/>
      <c r="I124" s="397"/>
      <c r="J124" s="397"/>
      <c r="K124" s="397"/>
      <c r="L124" s="399"/>
      <c r="M124" s="399"/>
      <c r="N124" s="399"/>
      <c r="O124" s="399"/>
      <c r="P124" s="397"/>
      <c r="Q124" s="399"/>
      <c r="R124" s="399"/>
      <c r="S124" s="399"/>
      <c r="T124" s="399"/>
      <c r="U124" s="104"/>
    </row>
    <row r="125" spans="1:21" x14ac:dyDescent="0.2">
      <c r="A125" s="393"/>
      <c r="B125" s="393"/>
      <c r="C125" s="400"/>
      <c r="D125" s="401" t="s">
        <v>522</v>
      </c>
      <c r="E125" s="75"/>
      <c r="F125" s="305"/>
      <c r="G125" s="305"/>
      <c r="H125" s="402"/>
      <c r="I125" s="305"/>
      <c r="J125" s="305"/>
      <c r="K125" s="305"/>
      <c r="L125" s="401"/>
      <c r="M125" s="401"/>
      <c r="N125" s="401"/>
      <c r="O125" s="401"/>
      <c r="P125" s="305"/>
      <c r="Q125" s="401"/>
      <c r="R125" s="401"/>
      <c r="S125" s="401"/>
      <c r="T125" s="401"/>
      <c r="U125" s="104"/>
    </row>
    <row r="126" spans="1:21" x14ac:dyDescent="0.2">
      <c r="A126" s="393"/>
      <c r="B126" s="393"/>
      <c r="C126" s="403"/>
      <c r="D126" s="394" t="s">
        <v>523</v>
      </c>
      <c r="E126" s="75"/>
      <c r="F126" s="305"/>
      <c r="G126" s="305"/>
      <c r="H126" s="402"/>
      <c r="I126" s="305"/>
      <c r="J126" s="305"/>
      <c r="K126" s="305"/>
      <c r="L126" s="401"/>
      <c r="M126" s="401"/>
      <c r="N126" s="401"/>
      <c r="O126" s="401"/>
      <c r="P126" s="305"/>
      <c r="Q126" s="401"/>
      <c r="R126" s="401"/>
      <c r="S126" s="401"/>
      <c r="T126" s="401"/>
      <c r="U126" s="104"/>
    </row>
    <row r="127" spans="1:21" x14ac:dyDescent="0.2">
      <c r="A127" s="393"/>
      <c r="B127" s="393"/>
      <c r="C127" s="400"/>
      <c r="D127" s="401" t="s">
        <v>524</v>
      </c>
      <c r="E127" s="75"/>
      <c r="F127" s="305"/>
      <c r="G127" s="305"/>
      <c r="H127" s="402"/>
      <c r="I127" s="305"/>
      <c r="J127" s="305"/>
      <c r="K127" s="305"/>
      <c r="L127" s="401"/>
      <c r="M127" s="401"/>
      <c r="N127" s="401"/>
      <c r="O127" s="401"/>
      <c r="P127" s="305"/>
      <c r="Q127" s="401"/>
      <c r="R127" s="401"/>
      <c r="S127" s="401"/>
      <c r="T127" s="401"/>
      <c r="U127" s="104"/>
    </row>
    <row r="128" spans="1:21" ht="18" customHeight="1" x14ac:dyDescent="0.2">
      <c r="A128" s="393"/>
      <c r="B128" s="393"/>
      <c r="C128" s="400"/>
      <c r="D128" s="399" t="s">
        <v>525</v>
      </c>
      <c r="E128" s="75"/>
      <c r="F128" s="397"/>
      <c r="G128" s="397"/>
      <c r="H128" s="398"/>
      <c r="I128" s="397"/>
      <c r="J128" s="397"/>
      <c r="K128" s="397"/>
      <c r="L128" s="399"/>
      <c r="M128" s="401"/>
      <c r="N128" s="401"/>
      <c r="O128" s="401"/>
      <c r="P128" s="305"/>
      <c r="Q128" s="401"/>
      <c r="R128" s="401"/>
      <c r="S128" s="401"/>
      <c r="T128" s="401"/>
      <c r="U128" s="104"/>
    </row>
    <row r="129" spans="1:20" ht="13.5" thickBot="1" x14ac:dyDescent="0.25">
      <c r="A129" s="404"/>
      <c r="B129" s="404"/>
      <c r="C129" s="405"/>
      <c r="D129" s="406"/>
      <c r="E129" s="407"/>
      <c r="F129" s="327"/>
      <c r="G129" s="327"/>
      <c r="H129" s="408"/>
      <c r="I129" s="327"/>
      <c r="J129" s="327"/>
      <c r="K129" s="327"/>
      <c r="L129" s="326"/>
      <c r="M129" s="326"/>
      <c r="N129" s="326"/>
      <c r="O129" s="326"/>
      <c r="P129" s="327"/>
      <c r="Q129" s="326"/>
      <c r="R129" s="326"/>
      <c r="S129" s="326"/>
      <c r="T129" s="326"/>
    </row>
    <row r="130" spans="1:20" ht="13.9" customHeight="1" thickTop="1" x14ac:dyDescent="0.2">
      <c r="P130" s="12"/>
    </row>
    <row r="131" spans="1:20" ht="13.9" customHeight="1" x14ac:dyDescent="0.2">
      <c r="P131" s="12"/>
    </row>
    <row r="132" spans="1:20" x14ac:dyDescent="0.2">
      <c r="P132" s="12"/>
    </row>
    <row r="133" spans="1:20" x14ac:dyDescent="0.2">
      <c r="P133" s="12"/>
    </row>
    <row r="134" spans="1:20" x14ac:dyDescent="0.2">
      <c r="P134" s="12"/>
    </row>
    <row r="135" spans="1:20" x14ac:dyDescent="0.2">
      <c r="P135" s="12"/>
    </row>
    <row r="136" spans="1:20" x14ac:dyDescent="0.2">
      <c r="P136" s="12"/>
    </row>
    <row r="137" spans="1:20" x14ac:dyDescent="0.2">
      <c r="P137" s="12"/>
    </row>
    <row r="138" spans="1:20" x14ac:dyDescent="0.2">
      <c r="P138" s="12"/>
    </row>
    <row r="139" spans="1:20" x14ac:dyDescent="0.2">
      <c r="P139" s="12"/>
    </row>
    <row r="140" spans="1:20" x14ac:dyDescent="0.2">
      <c r="P140" s="12"/>
    </row>
  </sheetData>
  <mergeCells count="8">
    <mergeCell ref="A1:F1"/>
    <mergeCell ref="K1:L1"/>
    <mergeCell ref="M1:T1"/>
    <mergeCell ref="A2:L3"/>
    <mergeCell ref="M2:P2"/>
    <mergeCell ref="Q2:T2"/>
    <mergeCell ref="M3:P3"/>
    <mergeCell ref="Q3:T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dimension ref="A1:U98"/>
  <sheetViews>
    <sheetView zoomScale="90" zoomScaleNormal="90" workbookViewId="0"/>
  </sheetViews>
  <sheetFormatPr defaultColWidth="9.140625" defaultRowHeight="12.75" x14ac:dyDescent="0.2"/>
  <cols>
    <col min="1" max="1" width="23.28515625" style="78" bestFit="1" customWidth="1"/>
    <col min="2" max="3" width="3.28515625" style="78" customWidth="1"/>
    <col min="4" max="4" width="21.42578125" style="120" customWidth="1"/>
    <col min="5" max="5" width="10.28515625" style="78" bestFit="1" customWidth="1"/>
    <col min="6" max="6" width="12.140625" style="81" customWidth="1"/>
    <col min="7" max="8" width="11.85546875" style="81" customWidth="1"/>
    <col min="9" max="10" width="11.85546875" style="121" customWidth="1"/>
    <col min="11" max="12" width="11.85546875" style="81" customWidth="1"/>
    <col min="13" max="13" width="17.140625" style="81" customWidth="1"/>
    <col min="14" max="14" width="52.42578125" style="78" bestFit="1" customWidth="1"/>
    <col min="15" max="15" width="13.85546875" style="78" bestFit="1" customWidth="1"/>
    <col min="16" max="16" width="17.140625" style="78" customWidth="1"/>
    <col min="17" max="17" width="13.140625" style="78" bestFit="1" customWidth="1"/>
    <col min="18" max="18" width="11.140625" style="81" bestFit="1" customWidth="1"/>
    <col min="19" max="19" width="16.5703125" style="78" customWidth="1"/>
    <col min="20" max="20" width="14" style="78" customWidth="1"/>
    <col min="21" max="22" width="3" style="78" customWidth="1"/>
    <col min="23" max="16384" width="9.140625" style="78"/>
  </cols>
  <sheetData>
    <row r="1" spans="1:21" ht="13.5" thickBot="1" x14ac:dyDescent="0.25">
      <c r="O1" s="122"/>
    </row>
    <row r="2" spans="1:21" ht="21.75" customHeight="1" thickTop="1" thickBot="1" x14ac:dyDescent="0.35">
      <c r="B2" s="123" t="s">
        <v>65</v>
      </c>
      <c r="C2" s="124"/>
      <c r="D2" s="125"/>
      <c r="E2" s="126"/>
      <c r="F2" s="127"/>
      <c r="G2" s="127"/>
      <c r="H2" s="127"/>
      <c r="I2" s="128"/>
      <c r="J2" s="128"/>
      <c r="K2" s="127"/>
      <c r="L2" s="127"/>
      <c r="M2" s="129"/>
      <c r="N2" s="124"/>
      <c r="O2" s="124"/>
      <c r="P2" s="124"/>
      <c r="Q2" s="124"/>
      <c r="R2" s="127"/>
      <c r="S2" s="124"/>
      <c r="T2" s="124"/>
      <c r="U2" s="130"/>
    </row>
    <row r="3" spans="1:21" s="131" customFormat="1" ht="47.25" customHeight="1" thickTop="1" thickBot="1" x14ac:dyDescent="0.25">
      <c r="B3" s="132"/>
      <c r="C3" s="133"/>
      <c r="D3" s="134" t="s">
        <v>66</v>
      </c>
      <c r="E3" s="134" t="s">
        <v>664</v>
      </c>
      <c r="F3" s="134" t="s">
        <v>665</v>
      </c>
      <c r="G3" s="134" t="s">
        <v>633</v>
      </c>
      <c r="H3" s="134"/>
      <c r="I3" s="135" t="s">
        <v>666</v>
      </c>
      <c r="J3" s="135" t="s">
        <v>667</v>
      </c>
      <c r="K3" s="134" t="s">
        <v>71</v>
      </c>
      <c r="L3" s="134" t="s">
        <v>72</v>
      </c>
      <c r="M3" s="134" t="s">
        <v>73</v>
      </c>
      <c r="N3" s="134" t="s">
        <v>74</v>
      </c>
      <c r="O3" s="134" t="s">
        <v>75</v>
      </c>
      <c r="P3" s="136" t="s">
        <v>76</v>
      </c>
      <c r="Q3" s="134" t="s">
        <v>77</v>
      </c>
      <c r="R3" s="134" t="s">
        <v>78</v>
      </c>
      <c r="S3" s="134" t="s">
        <v>79</v>
      </c>
      <c r="T3" s="134" t="s">
        <v>80</v>
      </c>
      <c r="U3" s="137"/>
    </row>
    <row r="4" spans="1:21" s="145" customFormat="1" ht="14.25" thickTop="1" thickBot="1" x14ac:dyDescent="0.25">
      <c r="A4" s="138" t="s">
        <v>668</v>
      </c>
      <c r="B4" s="139"/>
      <c r="C4" s="140"/>
      <c r="D4" s="141" t="s">
        <v>669</v>
      </c>
      <c r="E4" s="141" t="s">
        <v>670</v>
      </c>
      <c r="F4" s="141" t="s">
        <v>671</v>
      </c>
      <c r="G4" s="141" t="s">
        <v>672</v>
      </c>
      <c r="H4" s="141"/>
      <c r="I4" s="141" t="s">
        <v>673</v>
      </c>
      <c r="J4" s="142" t="s">
        <v>674</v>
      </c>
      <c r="K4" s="142" t="s">
        <v>675</v>
      </c>
      <c r="L4" s="141" t="s">
        <v>676</v>
      </c>
      <c r="M4" s="141" t="s">
        <v>677</v>
      </c>
      <c r="N4" s="141" t="s">
        <v>678</v>
      </c>
      <c r="O4" s="141" t="s">
        <v>679</v>
      </c>
      <c r="P4" s="143" t="s">
        <v>680</v>
      </c>
      <c r="Q4" s="141" t="s">
        <v>681</v>
      </c>
      <c r="R4" s="141" t="s">
        <v>682</v>
      </c>
      <c r="S4" s="141" t="s">
        <v>683</v>
      </c>
      <c r="T4" s="141" t="s">
        <v>684</v>
      </c>
      <c r="U4" s="144"/>
    </row>
    <row r="5" spans="1:21" s="145" customFormat="1" ht="17.25" customHeight="1" thickTop="1" thickBot="1" x14ac:dyDescent="0.3">
      <c r="A5" s="139"/>
      <c r="B5" s="139"/>
      <c r="C5" s="146" t="s">
        <v>685</v>
      </c>
      <c r="D5" s="147"/>
      <c r="E5" s="148"/>
      <c r="F5" s="148"/>
      <c r="G5" s="148"/>
      <c r="H5" s="148"/>
      <c r="I5" s="148"/>
      <c r="J5" s="149"/>
      <c r="K5" s="81"/>
      <c r="L5" s="150"/>
      <c r="M5" s="148"/>
      <c r="N5" s="148"/>
      <c r="O5" s="151"/>
      <c r="P5" s="148"/>
      <c r="Q5" s="148"/>
      <c r="R5" s="148"/>
      <c r="S5" s="150"/>
      <c r="T5" s="150"/>
      <c r="U5" s="144"/>
    </row>
    <row r="6" spans="1:21" s="145" customFormat="1" ht="13.5" customHeight="1" thickTop="1" x14ac:dyDescent="0.2">
      <c r="A6" s="152" t="str">
        <f>CONCATENATE(RIGHT(D6,LEN(D6)-FIND(" ",D6)),G6,E6)</f>
        <v>Channel20.56</v>
      </c>
      <c r="B6" s="139"/>
      <c r="C6" s="153"/>
      <c r="D6" s="154" t="s">
        <v>686</v>
      </c>
      <c r="E6" s="155">
        <v>0.56000000000000005</v>
      </c>
      <c r="F6" s="155">
        <v>0.188</v>
      </c>
      <c r="G6" s="155">
        <v>2</v>
      </c>
      <c r="H6" s="155"/>
      <c r="I6" s="155" t="s">
        <v>687</v>
      </c>
      <c r="J6" s="155">
        <v>0.188</v>
      </c>
      <c r="K6" s="156" t="s">
        <v>9</v>
      </c>
      <c r="L6" s="157" t="s">
        <v>86</v>
      </c>
      <c r="M6" s="158" t="s">
        <v>688</v>
      </c>
      <c r="N6" s="159" t="s">
        <v>689</v>
      </c>
      <c r="O6" s="156" t="s">
        <v>690</v>
      </c>
      <c r="P6" s="157" t="s">
        <v>691</v>
      </c>
      <c r="Q6" s="156" t="s">
        <v>692</v>
      </c>
      <c r="R6" s="156" t="s">
        <v>693</v>
      </c>
      <c r="S6" s="157" t="s">
        <v>9</v>
      </c>
      <c r="T6" s="157" t="s">
        <v>9</v>
      </c>
      <c r="U6" s="144"/>
    </row>
    <row r="7" spans="1:21" s="145" customFormat="1" ht="13.5" customHeight="1" x14ac:dyDescent="0.2">
      <c r="A7" s="160" t="str">
        <f t="shared" ref="A7:A15" si="0">CONCATENATE(RIGHT(D7,LEN(D7)-FIND(" ",D7)),G7,E7)</f>
        <v>Channel34.1</v>
      </c>
      <c r="B7" s="139"/>
      <c r="C7" s="153"/>
      <c r="D7" s="161" t="s">
        <v>686</v>
      </c>
      <c r="E7" s="162">
        <v>4.0999999999999996</v>
      </c>
      <c r="F7" s="163">
        <v>0.17</v>
      </c>
      <c r="G7" s="162">
        <v>3</v>
      </c>
      <c r="H7" s="162"/>
      <c r="I7" s="162">
        <v>1.41</v>
      </c>
      <c r="J7" s="162">
        <v>0.27300000000000002</v>
      </c>
      <c r="K7" s="164" t="s">
        <v>9</v>
      </c>
      <c r="L7" s="164" t="s">
        <v>86</v>
      </c>
      <c r="M7" s="165" t="s">
        <v>630</v>
      </c>
      <c r="N7" s="166" t="s">
        <v>694</v>
      </c>
      <c r="O7" s="167" t="s">
        <v>690</v>
      </c>
      <c r="P7" s="164" t="s">
        <v>691</v>
      </c>
      <c r="Q7" s="167" t="s">
        <v>692</v>
      </c>
      <c r="R7" s="167" t="s">
        <v>693</v>
      </c>
      <c r="S7" s="164" t="s">
        <v>9</v>
      </c>
      <c r="T7" s="164" t="s">
        <v>9</v>
      </c>
      <c r="U7" s="144"/>
    </row>
    <row r="8" spans="1:21" s="145" customFormat="1" ht="13.5" customHeight="1" x14ac:dyDescent="0.2">
      <c r="A8" s="160" t="str">
        <f t="shared" si="0"/>
        <v>Channel35</v>
      </c>
      <c r="B8" s="139"/>
      <c r="C8" s="153"/>
      <c r="D8" s="168" t="s">
        <v>686</v>
      </c>
      <c r="E8" s="163">
        <v>5</v>
      </c>
      <c r="F8" s="163">
        <v>0.25800000000000001</v>
      </c>
      <c r="G8" s="169">
        <v>3</v>
      </c>
      <c r="H8" s="169"/>
      <c r="I8" s="162">
        <v>1.498</v>
      </c>
      <c r="J8" s="162">
        <v>0.27300000000000002</v>
      </c>
      <c r="K8" s="160" t="s">
        <v>97</v>
      </c>
      <c r="L8" s="160" t="s">
        <v>9</v>
      </c>
      <c r="M8" s="167" t="s">
        <v>695</v>
      </c>
      <c r="N8" s="168" t="s">
        <v>696</v>
      </c>
      <c r="O8" s="167" t="s">
        <v>690</v>
      </c>
      <c r="P8" s="164" t="s">
        <v>691</v>
      </c>
      <c r="Q8" s="167" t="s">
        <v>692</v>
      </c>
      <c r="R8" s="167" t="s">
        <v>693</v>
      </c>
      <c r="S8" s="164" t="s">
        <v>9</v>
      </c>
      <c r="T8" s="164" t="s">
        <v>9</v>
      </c>
      <c r="U8" s="144"/>
    </row>
    <row r="9" spans="1:21" s="145" customFormat="1" ht="13.5" customHeight="1" x14ac:dyDescent="0.2">
      <c r="A9" s="160" t="str">
        <f t="shared" si="0"/>
        <v>Channel45.4</v>
      </c>
      <c r="B9" s="139"/>
      <c r="C9" s="153"/>
      <c r="D9" s="168" t="s">
        <v>686</v>
      </c>
      <c r="E9" s="163">
        <v>5.4</v>
      </c>
      <c r="F9" s="163">
        <v>0.184</v>
      </c>
      <c r="G9" s="163">
        <v>4</v>
      </c>
      <c r="H9" s="163"/>
      <c r="I9" s="162">
        <v>1.5840000000000001</v>
      </c>
      <c r="J9" s="162">
        <v>0.29599999999999999</v>
      </c>
      <c r="K9" s="160" t="s">
        <v>97</v>
      </c>
      <c r="L9" s="160" t="s">
        <v>86</v>
      </c>
      <c r="M9" s="167" t="s">
        <v>697</v>
      </c>
      <c r="N9" s="168" t="s">
        <v>698</v>
      </c>
      <c r="O9" s="167" t="s">
        <v>690</v>
      </c>
      <c r="P9" s="164" t="s">
        <v>691</v>
      </c>
      <c r="Q9" s="167" t="s">
        <v>692</v>
      </c>
      <c r="R9" s="167" t="s">
        <v>693</v>
      </c>
      <c r="S9" s="164" t="s">
        <v>9</v>
      </c>
      <c r="T9" s="164" t="s">
        <v>9</v>
      </c>
      <c r="U9" s="144"/>
    </row>
    <row r="10" spans="1:21" s="145" customFormat="1" ht="13.5" customHeight="1" x14ac:dyDescent="0.2">
      <c r="A10" s="160" t="str">
        <f t="shared" si="0"/>
        <v>Channel47.25</v>
      </c>
      <c r="B10" s="139"/>
      <c r="C10" s="153"/>
      <c r="D10" s="168" t="s">
        <v>686</v>
      </c>
      <c r="E10" s="163">
        <v>7.25</v>
      </c>
      <c r="F10" s="163">
        <v>0.32100000000000001</v>
      </c>
      <c r="G10" s="163">
        <v>4</v>
      </c>
      <c r="H10" s="163"/>
      <c r="I10" s="162">
        <v>1.7210000000000001</v>
      </c>
      <c r="J10" s="162">
        <v>0.29599999999999999</v>
      </c>
      <c r="K10" s="160" t="s">
        <v>97</v>
      </c>
      <c r="L10" s="160" t="s">
        <v>9</v>
      </c>
      <c r="M10" s="167" t="s">
        <v>699</v>
      </c>
      <c r="N10" s="168" t="s">
        <v>700</v>
      </c>
      <c r="O10" s="167" t="s">
        <v>690</v>
      </c>
      <c r="P10" s="164" t="s">
        <v>691</v>
      </c>
      <c r="Q10" s="167" t="s">
        <v>692</v>
      </c>
      <c r="R10" s="167" t="s">
        <v>693</v>
      </c>
      <c r="S10" s="164" t="s">
        <v>9</v>
      </c>
      <c r="T10" s="164" t="s">
        <v>9</v>
      </c>
      <c r="U10" s="144"/>
    </row>
    <row r="11" spans="1:21" s="145" customFormat="1" ht="13.5" customHeight="1" x14ac:dyDescent="0.2">
      <c r="A11" s="160" t="str">
        <f t="shared" si="0"/>
        <v>Channel56.7</v>
      </c>
      <c r="B11" s="139"/>
      <c r="C11" s="153"/>
      <c r="D11" s="161" t="s">
        <v>686</v>
      </c>
      <c r="E11" s="162">
        <v>6.7</v>
      </c>
      <c r="F11" s="163">
        <v>0.19</v>
      </c>
      <c r="G11" s="162">
        <v>5</v>
      </c>
      <c r="H11" s="162"/>
      <c r="I11" s="162">
        <v>1.75</v>
      </c>
      <c r="J11" s="162">
        <v>0.32</v>
      </c>
      <c r="K11" s="164" t="s">
        <v>9</v>
      </c>
      <c r="L11" s="164" t="s">
        <v>86</v>
      </c>
      <c r="M11" s="167" t="s">
        <v>827</v>
      </c>
      <c r="N11" s="166" t="s">
        <v>701</v>
      </c>
      <c r="O11" s="167" t="s">
        <v>690</v>
      </c>
      <c r="P11" s="164" t="s">
        <v>691</v>
      </c>
      <c r="Q11" s="167" t="s">
        <v>692</v>
      </c>
      <c r="R11" s="167" t="s">
        <v>693</v>
      </c>
      <c r="S11" s="164" t="s">
        <v>9</v>
      </c>
      <c r="T11" s="164" t="s">
        <v>9</v>
      </c>
      <c r="U11" s="144"/>
    </row>
    <row r="12" spans="1:21" s="145" customFormat="1" ht="13.5" customHeight="1" x14ac:dyDescent="0.2">
      <c r="A12" s="160" t="str">
        <f t="shared" si="0"/>
        <v>Channel68.2</v>
      </c>
      <c r="B12" s="139"/>
      <c r="C12" s="153"/>
      <c r="D12" s="168" t="s">
        <v>686</v>
      </c>
      <c r="E12" s="163">
        <v>8.1999999999999993</v>
      </c>
      <c r="F12" s="163">
        <v>0.2</v>
      </c>
      <c r="G12" s="163">
        <v>6</v>
      </c>
      <c r="H12" s="163"/>
      <c r="I12" s="162">
        <v>1.92</v>
      </c>
      <c r="J12" s="162">
        <v>0.34300000000000003</v>
      </c>
      <c r="K12" s="160" t="s">
        <v>97</v>
      </c>
      <c r="L12" s="160" t="s">
        <v>86</v>
      </c>
      <c r="M12" s="167" t="s">
        <v>702</v>
      </c>
      <c r="N12" s="168" t="s">
        <v>703</v>
      </c>
      <c r="O12" s="167" t="s">
        <v>690</v>
      </c>
      <c r="P12" s="164" t="s">
        <v>691</v>
      </c>
      <c r="Q12" s="167" t="s">
        <v>692</v>
      </c>
      <c r="R12" s="167" t="s">
        <v>693</v>
      </c>
      <c r="S12" s="164" t="s">
        <v>9</v>
      </c>
      <c r="T12" s="164" t="s">
        <v>9</v>
      </c>
      <c r="U12" s="144"/>
    </row>
    <row r="13" spans="1:21" s="145" customFormat="1" ht="13.5" customHeight="1" x14ac:dyDescent="0.2">
      <c r="A13" s="160" t="str">
        <f t="shared" si="0"/>
        <v>Channel811.5</v>
      </c>
      <c r="B13" s="139"/>
      <c r="C13" s="153"/>
      <c r="D13" s="168" t="s">
        <v>686</v>
      </c>
      <c r="E13" s="163">
        <v>11.5</v>
      </c>
      <c r="F13" s="163">
        <v>0.22</v>
      </c>
      <c r="G13" s="163">
        <v>8</v>
      </c>
      <c r="H13" s="163"/>
      <c r="I13" s="162">
        <v>2.2599999999999998</v>
      </c>
      <c r="J13" s="162">
        <v>0.39</v>
      </c>
      <c r="K13" s="160" t="s">
        <v>97</v>
      </c>
      <c r="L13" s="160" t="s">
        <v>86</v>
      </c>
      <c r="M13" s="167" t="s">
        <v>704</v>
      </c>
      <c r="N13" s="168" t="s">
        <v>705</v>
      </c>
      <c r="O13" s="167" t="s">
        <v>690</v>
      </c>
      <c r="P13" s="164" t="s">
        <v>691</v>
      </c>
      <c r="Q13" s="167" t="s">
        <v>692</v>
      </c>
      <c r="R13" s="167" t="s">
        <v>693</v>
      </c>
      <c r="S13" s="164" t="s">
        <v>9</v>
      </c>
      <c r="T13" s="164" t="s">
        <v>9</v>
      </c>
      <c r="U13" s="144"/>
    </row>
    <row r="14" spans="1:21" s="145" customFormat="1" ht="13.5" customHeight="1" x14ac:dyDescent="0.2">
      <c r="A14" s="160" t="str">
        <f t="shared" si="0"/>
        <v>Channel1015.3</v>
      </c>
      <c r="B14" s="139"/>
      <c r="C14" s="153"/>
      <c r="D14" s="168" t="s">
        <v>686</v>
      </c>
      <c r="E14" s="163">
        <v>15.3</v>
      </c>
      <c r="F14" s="163">
        <v>0.24</v>
      </c>
      <c r="G14" s="163">
        <v>10</v>
      </c>
      <c r="H14" s="163"/>
      <c r="I14" s="162">
        <v>2.6</v>
      </c>
      <c r="J14" s="162">
        <v>0.438</v>
      </c>
      <c r="K14" s="160" t="s">
        <v>97</v>
      </c>
      <c r="L14" s="160" t="s">
        <v>86</v>
      </c>
      <c r="M14" s="167" t="s">
        <v>706</v>
      </c>
      <c r="N14" s="168" t="s">
        <v>707</v>
      </c>
      <c r="O14" s="167" t="s">
        <v>690</v>
      </c>
      <c r="P14" s="164" t="s">
        <v>691</v>
      </c>
      <c r="Q14" s="167" t="s">
        <v>692</v>
      </c>
      <c r="R14" s="167" t="s">
        <v>693</v>
      </c>
      <c r="S14" s="164" t="s">
        <v>9</v>
      </c>
      <c r="T14" s="164" t="s">
        <v>9</v>
      </c>
      <c r="U14" s="144"/>
    </row>
    <row r="15" spans="1:21" s="145" customFormat="1" ht="13.5" customHeight="1" x14ac:dyDescent="0.2">
      <c r="A15" s="160" t="str">
        <f t="shared" si="0"/>
        <v>Channel1220.7</v>
      </c>
      <c r="B15" s="139"/>
      <c r="C15" s="153"/>
      <c r="D15" s="168" t="s">
        <v>686</v>
      </c>
      <c r="E15" s="163">
        <v>20.7</v>
      </c>
      <c r="F15" s="163">
        <v>0.28199999999999997</v>
      </c>
      <c r="G15" s="163">
        <v>12</v>
      </c>
      <c r="H15" s="163"/>
      <c r="I15" s="162">
        <v>2.9420000000000002</v>
      </c>
      <c r="J15" s="162">
        <v>0.501</v>
      </c>
      <c r="K15" s="160" t="s">
        <v>97</v>
      </c>
      <c r="L15" s="160" t="s">
        <v>86</v>
      </c>
      <c r="M15" s="167" t="s">
        <v>708</v>
      </c>
      <c r="N15" s="168" t="s">
        <v>709</v>
      </c>
      <c r="O15" s="167" t="s">
        <v>690</v>
      </c>
      <c r="P15" s="164" t="s">
        <v>691</v>
      </c>
      <c r="Q15" s="167" t="s">
        <v>692</v>
      </c>
      <c r="R15" s="167" t="s">
        <v>693</v>
      </c>
      <c r="S15" s="164" t="s">
        <v>9</v>
      </c>
      <c r="T15" s="164" t="s">
        <v>9</v>
      </c>
      <c r="U15" s="144"/>
    </row>
    <row r="16" spans="1:21" s="145" customFormat="1" ht="13.5" customHeight="1" x14ac:dyDescent="0.2">
      <c r="A16" s="160" t="str">
        <f>CONCATENATE(RIGHT(D16,LEN(D16)-FIND(" ",D16)),G16,E16)</f>
        <v>I-Beam35.7</v>
      </c>
      <c r="B16" s="139"/>
      <c r="C16" s="170"/>
      <c r="D16" s="161" t="s">
        <v>710</v>
      </c>
      <c r="E16" s="162">
        <v>5.7</v>
      </c>
      <c r="F16" s="163">
        <v>0.17</v>
      </c>
      <c r="G16" s="162">
        <v>3</v>
      </c>
      <c r="H16" s="162"/>
      <c r="I16" s="162">
        <v>2.33</v>
      </c>
      <c r="J16" s="162">
        <v>0.26</v>
      </c>
      <c r="K16" s="164" t="s">
        <v>9</v>
      </c>
      <c r="L16" s="164" t="s">
        <v>86</v>
      </c>
      <c r="M16" s="164" t="s">
        <v>711</v>
      </c>
      <c r="N16" s="161" t="s">
        <v>712</v>
      </c>
      <c r="O16" s="167" t="s">
        <v>713</v>
      </c>
      <c r="P16" s="164" t="s">
        <v>691</v>
      </c>
      <c r="Q16" s="167" t="s">
        <v>692</v>
      </c>
      <c r="R16" s="167" t="s">
        <v>693</v>
      </c>
      <c r="S16" s="164" t="s">
        <v>9</v>
      </c>
      <c r="T16" s="164" t="s">
        <v>9</v>
      </c>
      <c r="U16" s="144"/>
    </row>
    <row r="17" spans="1:21" s="145" customFormat="1" ht="13.5" customHeight="1" x14ac:dyDescent="0.2">
      <c r="A17" s="160" t="str">
        <f>CONCATENATE(RIGHT(D17,LEN(D17)-FIND(" ",D17)),G17,E17)</f>
        <v>I-Beam47.7</v>
      </c>
      <c r="B17" s="139"/>
      <c r="C17" s="170"/>
      <c r="D17" s="161" t="s">
        <v>710</v>
      </c>
      <c r="E17" s="162">
        <v>7.7</v>
      </c>
      <c r="F17" s="163">
        <v>0.19</v>
      </c>
      <c r="G17" s="162">
        <v>4</v>
      </c>
      <c r="H17" s="162"/>
      <c r="I17" s="162">
        <v>2.66</v>
      </c>
      <c r="J17" s="162">
        <v>0.29299999999999998</v>
      </c>
      <c r="K17" s="164" t="s">
        <v>97</v>
      </c>
      <c r="L17" s="164" t="s">
        <v>86</v>
      </c>
      <c r="M17" s="164" t="s">
        <v>826</v>
      </c>
      <c r="N17" s="161" t="s">
        <v>714</v>
      </c>
      <c r="O17" s="167" t="s">
        <v>713</v>
      </c>
      <c r="P17" s="164" t="s">
        <v>691</v>
      </c>
      <c r="Q17" s="167" t="s">
        <v>692</v>
      </c>
      <c r="R17" s="167" t="s">
        <v>693</v>
      </c>
      <c r="S17" s="164" t="s">
        <v>9</v>
      </c>
      <c r="T17" s="164" t="s">
        <v>9</v>
      </c>
      <c r="U17" s="144"/>
    </row>
    <row r="18" spans="1:21" s="145" customFormat="1" ht="13.5" customHeight="1" x14ac:dyDescent="0.2">
      <c r="A18" s="160" t="str">
        <f>CONCATENATE(RIGHT(D18,LEN(D18)-FIND(" ",D18)),G18,E18)</f>
        <v>I-Beam612.5</v>
      </c>
      <c r="B18" s="139"/>
      <c r="C18" s="170"/>
      <c r="D18" s="161" t="s">
        <v>710</v>
      </c>
      <c r="E18" s="162">
        <v>12.5</v>
      </c>
      <c r="F18" s="163">
        <v>0.23</v>
      </c>
      <c r="G18" s="162">
        <v>6</v>
      </c>
      <c r="H18" s="162"/>
      <c r="I18" s="162">
        <v>3.33</v>
      </c>
      <c r="J18" s="162">
        <v>0.35899999999999999</v>
      </c>
      <c r="K18" s="164" t="s">
        <v>9</v>
      </c>
      <c r="L18" s="164" t="s">
        <v>86</v>
      </c>
      <c r="M18" s="164" t="s">
        <v>715</v>
      </c>
      <c r="N18" s="161" t="s">
        <v>716</v>
      </c>
      <c r="O18" s="167" t="s">
        <v>713</v>
      </c>
      <c r="P18" s="164" t="s">
        <v>691</v>
      </c>
      <c r="Q18" s="167" t="s">
        <v>692</v>
      </c>
      <c r="R18" s="167" t="s">
        <v>693</v>
      </c>
      <c r="S18" s="164" t="s">
        <v>9</v>
      </c>
      <c r="T18" s="164" t="s">
        <v>9</v>
      </c>
      <c r="U18" s="144"/>
    </row>
    <row r="19" spans="1:21" s="145" customFormat="1" ht="13.5" customHeight="1" x14ac:dyDescent="0.2">
      <c r="A19" s="160" t="str">
        <f>CONCATENATE(RIGHT(D19,LEN(D19)-FIND(" ",D19)),G19,E19)</f>
        <v>I-Beam818.4</v>
      </c>
      <c r="B19" s="139"/>
      <c r="C19" s="170"/>
      <c r="D19" s="161" t="s">
        <v>710</v>
      </c>
      <c r="E19" s="162">
        <v>18.399999999999999</v>
      </c>
      <c r="F19" s="163">
        <v>0.27</v>
      </c>
      <c r="G19" s="162">
        <v>8</v>
      </c>
      <c r="H19" s="162"/>
      <c r="I19" s="162">
        <v>4</v>
      </c>
      <c r="J19" s="162">
        <v>0.42499999999999999</v>
      </c>
      <c r="K19" s="164" t="s">
        <v>9</v>
      </c>
      <c r="L19" s="164" t="s">
        <v>86</v>
      </c>
      <c r="M19" s="164" t="s">
        <v>717</v>
      </c>
      <c r="N19" s="161" t="s">
        <v>718</v>
      </c>
      <c r="O19" s="167" t="s">
        <v>713</v>
      </c>
      <c r="P19" s="164" t="s">
        <v>691</v>
      </c>
      <c r="Q19" s="167" t="s">
        <v>692</v>
      </c>
      <c r="R19" s="167" t="s">
        <v>693</v>
      </c>
      <c r="S19" s="164" t="s">
        <v>9</v>
      </c>
      <c r="T19" s="164" t="s">
        <v>9</v>
      </c>
      <c r="U19" s="144"/>
    </row>
    <row r="20" spans="1:21" s="145" customFormat="1" ht="13.5" customHeight="1" x14ac:dyDescent="0.2">
      <c r="A20" s="160" t="str">
        <f>CONCATENATE(RIGHT(D20,LEN(D20)-FIND(" ",D20)),G20,I20,F20)</f>
        <v>Angle0.750.750.125</v>
      </c>
      <c r="B20" s="139"/>
      <c r="C20" s="170"/>
      <c r="D20" s="168" t="s">
        <v>719</v>
      </c>
      <c r="E20" s="228">
        <v>0.59</v>
      </c>
      <c r="F20" s="229">
        <v>0.125</v>
      </c>
      <c r="G20" s="229">
        <v>0.75</v>
      </c>
      <c r="H20" s="229"/>
      <c r="I20" s="228">
        <v>0.75</v>
      </c>
      <c r="J20" s="228">
        <v>0.125</v>
      </c>
      <c r="K20" s="230" t="s">
        <v>97</v>
      </c>
      <c r="L20" s="230" t="s">
        <v>9</v>
      </c>
      <c r="M20" s="227" t="s">
        <v>828</v>
      </c>
      <c r="N20" s="231" t="s">
        <v>829</v>
      </c>
      <c r="O20" s="227" t="s">
        <v>713</v>
      </c>
      <c r="P20" s="232" t="s">
        <v>691</v>
      </c>
      <c r="Q20" s="227" t="s">
        <v>692</v>
      </c>
      <c r="R20" s="227" t="s">
        <v>693</v>
      </c>
      <c r="S20" s="232" t="s">
        <v>9</v>
      </c>
      <c r="T20" s="232" t="s">
        <v>9</v>
      </c>
      <c r="U20" s="144"/>
    </row>
    <row r="21" spans="1:21" s="145" customFormat="1" ht="13.5" customHeight="1" x14ac:dyDescent="0.2">
      <c r="A21" s="160" t="str">
        <f>CONCATENATE(RIGHT(D21,LEN(D21)-FIND(" ",D21)),G21,I21,F21)</f>
        <v>Angle110.25</v>
      </c>
      <c r="B21" s="139"/>
      <c r="C21" s="170"/>
      <c r="D21" s="168" t="s">
        <v>719</v>
      </c>
      <c r="E21" s="162">
        <v>1.49</v>
      </c>
      <c r="F21" s="163">
        <v>0.25</v>
      </c>
      <c r="G21" s="163">
        <v>1</v>
      </c>
      <c r="H21" s="163"/>
      <c r="I21" s="162">
        <v>1</v>
      </c>
      <c r="J21" s="162">
        <v>0.125</v>
      </c>
      <c r="K21" s="160" t="s">
        <v>97</v>
      </c>
      <c r="L21" s="160" t="s">
        <v>9</v>
      </c>
      <c r="M21" s="167" t="s">
        <v>720</v>
      </c>
      <c r="N21" s="168" t="s">
        <v>721</v>
      </c>
      <c r="O21" s="167" t="s">
        <v>713</v>
      </c>
      <c r="P21" s="164" t="s">
        <v>691</v>
      </c>
      <c r="Q21" s="167" t="s">
        <v>692</v>
      </c>
      <c r="R21" s="167" t="s">
        <v>693</v>
      </c>
      <c r="S21" s="164" t="s">
        <v>9</v>
      </c>
      <c r="T21" s="164" t="s">
        <v>9</v>
      </c>
      <c r="U21" s="144"/>
    </row>
    <row r="22" spans="1:21" s="145" customFormat="1" ht="13.5" customHeight="1" x14ac:dyDescent="0.2">
      <c r="A22" s="160" t="str">
        <f t="shared" ref="A22:A29" si="1">CONCATENATE(RIGHT(D22,LEN(D22)-FIND(" ",D22)),G22,I22,F22)</f>
        <v>Angle1.251.250.25</v>
      </c>
      <c r="B22" s="139"/>
      <c r="C22" s="170"/>
      <c r="D22" s="168" t="s">
        <v>719</v>
      </c>
      <c r="E22" s="162">
        <v>1.92</v>
      </c>
      <c r="F22" s="163">
        <v>0.25</v>
      </c>
      <c r="G22" s="163">
        <v>1.25</v>
      </c>
      <c r="H22" s="163"/>
      <c r="I22" s="162">
        <v>1.25</v>
      </c>
      <c r="J22" s="162">
        <v>0.188</v>
      </c>
      <c r="K22" s="160" t="s">
        <v>97</v>
      </c>
      <c r="L22" s="160" t="s">
        <v>9</v>
      </c>
      <c r="M22" s="167" t="s">
        <v>722</v>
      </c>
      <c r="N22" s="168" t="s">
        <v>723</v>
      </c>
      <c r="O22" s="167" t="s">
        <v>713</v>
      </c>
      <c r="P22" s="164" t="s">
        <v>691</v>
      </c>
      <c r="Q22" s="167" t="s">
        <v>692</v>
      </c>
      <c r="R22" s="167" t="s">
        <v>693</v>
      </c>
      <c r="S22" s="164" t="s">
        <v>9</v>
      </c>
      <c r="T22" s="164" t="s">
        <v>9</v>
      </c>
      <c r="U22" s="144"/>
    </row>
    <row r="23" spans="1:21" s="145" customFormat="1" ht="13.5" customHeight="1" x14ac:dyDescent="0.2">
      <c r="A23" s="160" t="str">
        <f t="shared" si="1"/>
        <v>Angle1.51.50.25</v>
      </c>
      <c r="B23" s="139"/>
      <c r="C23" s="170"/>
      <c r="D23" s="168" t="s">
        <v>719</v>
      </c>
      <c r="E23" s="162">
        <v>2.34</v>
      </c>
      <c r="F23" s="163">
        <v>0.25</v>
      </c>
      <c r="G23" s="163">
        <v>1.5</v>
      </c>
      <c r="H23" s="163"/>
      <c r="I23" s="162">
        <v>1.5</v>
      </c>
      <c r="J23" s="162">
        <v>0.188</v>
      </c>
      <c r="K23" s="160" t="s">
        <v>97</v>
      </c>
      <c r="L23" s="160" t="s">
        <v>9</v>
      </c>
      <c r="M23" s="167" t="s">
        <v>724</v>
      </c>
      <c r="N23" s="168" t="s">
        <v>725</v>
      </c>
      <c r="O23" s="167" t="s">
        <v>713</v>
      </c>
      <c r="P23" s="164" t="s">
        <v>691</v>
      </c>
      <c r="Q23" s="167" t="s">
        <v>692</v>
      </c>
      <c r="R23" s="167" t="s">
        <v>693</v>
      </c>
      <c r="S23" s="164" t="s">
        <v>9</v>
      </c>
      <c r="T23" s="164" t="s">
        <v>9</v>
      </c>
      <c r="U23" s="144"/>
    </row>
    <row r="24" spans="1:21" s="145" customFormat="1" ht="13.5" customHeight="1" x14ac:dyDescent="0.2">
      <c r="A24" s="160" t="str">
        <f t="shared" si="1"/>
        <v>Angle220.25</v>
      </c>
      <c r="B24" s="139"/>
      <c r="C24" s="170"/>
      <c r="D24" s="171" t="s">
        <v>719</v>
      </c>
      <c r="E24" s="162">
        <v>3.19</v>
      </c>
      <c r="F24" s="163">
        <v>0.25</v>
      </c>
      <c r="G24" s="163">
        <v>2</v>
      </c>
      <c r="H24" s="163"/>
      <c r="I24" s="162">
        <v>2</v>
      </c>
      <c r="J24" s="162">
        <v>0.28100000000000003</v>
      </c>
      <c r="K24" s="160" t="s">
        <v>97</v>
      </c>
      <c r="L24" s="160" t="s">
        <v>86</v>
      </c>
      <c r="M24" s="167" t="s">
        <v>726</v>
      </c>
      <c r="N24" s="168" t="s">
        <v>727</v>
      </c>
      <c r="O24" s="167" t="s">
        <v>713</v>
      </c>
      <c r="P24" s="164" t="s">
        <v>691</v>
      </c>
      <c r="Q24" s="167" t="s">
        <v>692</v>
      </c>
      <c r="R24" s="167" t="s">
        <v>693</v>
      </c>
      <c r="S24" s="164" t="s">
        <v>9</v>
      </c>
      <c r="T24" s="164" t="s">
        <v>9</v>
      </c>
      <c r="U24" s="144"/>
    </row>
    <row r="25" spans="1:21" s="145" customFormat="1" ht="13.5" customHeight="1" x14ac:dyDescent="0.2">
      <c r="A25" s="160" t="str">
        <f t="shared" si="1"/>
        <v>AngleCoped220.25</v>
      </c>
      <c r="B25" s="139"/>
      <c r="C25" s="170"/>
      <c r="D25" s="168" t="s">
        <v>728</v>
      </c>
      <c r="E25" s="162">
        <v>3.19</v>
      </c>
      <c r="F25" s="163">
        <v>0.25</v>
      </c>
      <c r="G25" s="163">
        <v>2</v>
      </c>
      <c r="H25" s="163"/>
      <c r="I25" s="162">
        <v>2</v>
      </c>
      <c r="J25" s="162">
        <v>0.28100000000000003</v>
      </c>
      <c r="K25" s="160" t="s">
        <v>97</v>
      </c>
      <c r="L25" s="160" t="s">
        <v>9</v>
      </c>
      <c r="M25" s="167" t="s">
        <v>729</v>
      </c>
      <c r="N25" s="168" t="s">
        <v>730</v>
      </c>
      <c r="O25" s="167" t="s">
        <v>713</v>
      </c>
      <c r="P25" s="164" t="s">
        <v>691</v>
      </c>
      <c r="Q25" s="167" t="s">
        <v>692</v>
      </c>
      <c r="R25" s="167" t="s">
        <v>693</v>
      </c>
      <c r="S25" s="164" t="s">
        <v>9</v>
      </c>
      <c r="T25" s="164" t="s">
        <v>9</v>
      </c>
      <c r="U25" s="144"/>
    </row>
    <row r="26" spans="1:21" s="145" customFormat="1" ht="13.5" customHeight="1" x14ac:dyDescent="0.2">
      <c r="A26" s="160" t="str">
        <f t="shared" si="1"/>
        <v>Angle220.188</v>
      </c>
      <c r="B26" s="139"/>
      <c r="C26" s="170"/>
      <c r="D26" s="161" t="s">
        <v>719</v>
      </c>
      <c r="E26" s="162">
        <v>2.44</v>
      </c>
      <c r="F26" s="163">
        <v>0.188</v>
      </c>
      <c r="G26" s="162">
        <v>2</v>
      </c>
      <c r="H26" s="162"/>
      <c r="I26" s="162">
        <v>2</v>
      </c>
      <c r="J26" s="162">
        <v>0.28100000000000003</v>
      </c>
      <c r="K26" s="164" t="s">
        <v>9</v>
      </c>
      <c r="L26" s="164" t="s">
        <v>86</v>
      </c>
      <c r="M26" s="164" t="s">
        <v>731</v>
      </c>
      <c r="N26" s="161" t="s">
        <v>732</v>
      </c>
      <c r="O26" s="167" t="s">
        <v>713</v>
      </c>
      <c r="P26" s="164" t="s">
        <v>691</v>
      </c>
      <c r="Q26" s="167" t="s">
        <v>692</v>
      </c>
      <c r="R26" s="167" t="s">
        <v>693</v>
      </c>
      <c r="S26" s="164" t="s">
        <v>9</v>
      </c>
      <c r="T26" s="164" t="s">
        <v>9</v>
      </c>
      <c r="U26" s="144"/>
    </row>
    <row r="27" spans="1:21" s="145" customFormat="1" ht="13.5" customHeight="1" x14ac:dyDescent="0.2">
      <c r="A27" s="160" t="str">
        <f t="shared" si="1"/>
        <v>Angle430.375</v>
      </c>
      <c r="B27" s="139"/>
      <c r="C27" s="170"/>
      <c r="D27" s="161" t="s">
        <v>719</v>
      </c>
      <c r="E27" s="162">
        <v>8.5</v>
      </c>
      <c r="F27" s="163">
        <v>0.375</v>
      </c>
      <c r="G27" s="162">
        <v>4</v>
      </c>
      <c r="H27" s="162"/>
      <c r="I27" s="162">
        <v>3</v>
      </c>
      <c r="J27" s="162">
        <v>0.5</v>
      </c>
      <c r="K27" s="164" t="s">
        <v>9</v>
      </c>
      <c r="L27" s="164" t="s">
        <v>86</v>
      </c>
      <c r="M27" s="227" t="s">
        <v>845</v>
      </c>
      <c r="N27" s="161" t="s">
        <v>835</v>
      </c>
      <c r="O27" s="167" t="s">
        <v>713</v>
      </c>
      <c r="P27" s="164" t="s">
        <v>836</v>
      </c>
      <c r="Q27" s="167" t="s">
        <v>692</v>
      </c>
      <c r="R27" s="167" t="s">
        <v>693</v>
      </c>
      <c r="S27" s="164" t="s">
        <v>9</v>
      </c>
      <c r="T27" s="164" t="s">
        <v>9</v>
      </c>
      <c r="U27" s="144"/>
    </row>
    <row r="28" spans="1:21" s="145" customFormat="1" ht="13.5" customHeight="1" x14ac:dyDescent="0.2">
      <c r="A28" s="160" t="str">
        <f>CONCATENATE(RIGHT(D28,LEN(D28)-FIND(" ",D28)),G28,I28,F28)</f>
        <v>Angle440.375</v>
      </c>
      <c r="B28" s="139"/>
      <c r="C28" s="170"/>
      <c r="D28" s="161" t="s">
        <v>719</v>
      </c>
      <c r="E28" s="162">
        <v>9.8000000000000007</v>
      </c>
      <c r="F28" s="163">
        <v>0.375</v>
      </c>
      <c r="G28" s="162">
        <v>4</v>
      </c>
      <c r="H28" s="162"/>
      <c r="I28" s="162">
        <v>4</v>
      </c>
      <c r="J28" s="162">
        <v>0.5</v>
      </c>
      <c r="K28" s="164" t="s">
        <v>9</v>
      </c>
      <c r="L28" s="164" t="s">
        <v>86</v>
      </c>
      <c r="M28" s="227" t="s">
        <v>859</v>
      </c>
      <c r="N28" s="161" t="s">
        <v>858</v>
      </c>
      <c r="O28" s="167" t="s">
        <v>713</v>
      </c>
      <c r="P28" s="164" t="s">
        <v>836</v>
      </c>
      <c r="Q28" s="167" t="s">
        <v>692</v>
      </c>
      <c r="R28" s="167" t="s">
        <v>693</v>
      </c>
      <c r="S28" s="164" t="s">
        <v>9</v>
      </c>
      <c r="T28" s="164" t="s">
        <v>9</v>
      </c>
      <c r="U28" s="144"/>
    </row>
    <row r="29" spans="1:21" s="145" customFormat="1" ht="13.5" customHeight="1" x14ac:dyDescent="0.2">
      <c r="A29" s="160" t="str">
        <f t="shared" si="1"/>
        <v>Angle640.375</v>
      </c>
      <c r="B29" s="139"/>
      <c r="C29" s="170"/>
      <c r="D29" s="161" t="s">
        <v>719</v>
      </c>
      <c r="E29" s="162">
        <v>12.3</v>
      </c>
      <c r="F29" s="163">
        <v>0.375</v>
      </c>
      <c r="G29" s="162">
        <v>6</v>
      </c>
      <c r="H29" s="162"/>
      <c r="I29" s="162">
        <v>4</v>
      </c>
      <c r="J29" s="162">
        <v>0.5</v>
      </c>
      <c r="K29" s="164" t="s">
        <v>9</v>
      </c>
      <c r="L29" s="164" t="s">
        <v>86</v>
      </c>
      <c r="M29" s="164" t="s">
        <v>733</v>
      </c>
      <c r="N29" s="161" t="s">
        <v>734</v>
      </c>
      <c r="O29" s="167" t="s">
        <v>713</v>
      </c>
      <c r="P29" s="164" t="s">
        <v>691</v>
      </c>
      <c r="Q29" s="167" t="s">
        <v>692</v>
      </c>
      <c r="R29" s="167" t="s">
        <v>693</v>
      </c>
      <c r="S29" s="164" t="s">
        <v>9</v>
      </c>
      <c r="T29" s="164" t="s">
        <v>9</v>
      </c>
      <c r="U29" s="144"/>
    </row>
    <row r="30" spans="1:21" s="145" customFormat="1" ht="13.5" customHeight="1" x14ac:dyDescent="0.2">
      <c r="A30" s="160" t="str">
        <f>CONCATENATE(RIGHT(D30,LEN(D30)-FIND(" ",D30)),G30,I30,F30)</f>
        <v>Tubing110.065</v>
      </c>
      <c r="B30" s="139"/>
      <c r="C30" s="170"/>
      <c r="D30" s="161" t="s">
        <v>735</v>
      </c>
      <c r="E30" s="162">
        <v>0.82650000000000001</v>
      </c>
      <c r="F30" s="163">
        <v>6.5000000000000002E-2</v>
      </c>
      <c r="G30" s="162">
        <v>1</v>
      </c>
      <c r="H30" s="162"/>
      <c r="I30" s="162">
        <v>1</v>
      </c>
      <c r="J30" s="162" t="s">
        <v>9</v>
      </c>
      <c r="K30" s="164" t="s">
        <v>9</v>
      </c>
      <c r="L30" s="164" t="s">
        <v>86</v>
      </c>
      <c r="M30" s="164" t="s">
        <v>631</v>
      </c>
      <c r="N30" s="161" t="s">
        <v>736</v>
      </c>
      <c r="O30" s="164" t="s">
        <v>737</v>
      </c>
      <c r="P30" s="164" t="s">
        <v>9</v>
      </c>
      <c r="Q30" s="167" t="s">
        <v>692</v>
      </c>
      <c r="R30" s="167" t="s">
        <v>693</v>
      </c>
      <c r="S30" s="164" t="s">
        <v>9</v>
      </c>
      <c r="T30" s="164" t="s">
        <v>9</v>
      </c>
      <c r="U30" s="144"/>
    </row>
    <row r="31" spans="1:21" s="145" customFormat="1" ht="13.5" customHeight="1" x14ac:dyDescent="0.2">
      <c r="A31" s="160" t="str">
        <f>CONCATENATE(RIGHT(D31,LEN(D31)-FIND(" ",D31)),G31,I31,F31)</f>
        <v>Tubing330.12</v>
      </c>
      <c r="B31" s="139"/>
      <c r="C31" s="170"/>
      <c r="D31" s="161" t="s">
        <v>735</v>
      </c>
      <c r="E31" s="162">
        <v>4.58</v>
      </c>
      <c r="F31" s="163">
        <v>0.12</v>
      </c>
      <c r="G31" s="162">
        <v>3</v>
      </c>
      <c r="H31" s="162"/>
      <c r="I31" s="162">
        <v>3</v>
      </c>
      <c r="J31" s="162" t="s">
        <v>9</v>
      </c>
      <c r="K31" s="164" t="s">
        <v>97</v>
      </c>
      <c r="L31" s="164" t="s">
        <v>86</v>
      </c>
      <c r="M31" s="165" t="s">
        <v>825</v>
      </c>
      <c r="N31" s="166" t="s">
        <v>738</v>
      </c>
      <c r="O31" s="164" t="s">
        <v>737</v>
      </c>
      <c r="P31" s="164" t="s">
        <v>9</v>
      </c>
      <c r="Q31" s="167" t="s">
        <v>692</v>
      </c>
      <c r="R31" s="167" t="s">
        <v>693</v>
      </c>
      <c r="S31" s="164" t="s">
        <v>9</v>
      </c>
      <c r="T31" s="164" t="s">
        <v>9</v>
      </c>
      <c r="U31" s="144"/>
    </row>
    <row r="32" spans="1:21" s="145" customFormat="1" ht="13.5" customHeight="1" x14ac:dyDescent="0.2">
      <c r="A32" s="160" t="str">
        <f>CONCATENATE(RIGHT(D32,LEN(D32)-FIND(" ",D32)),G32,I32,F32)</f>
        <v>Tubing440.12</v>
      </c>
      <c r="B32" s="139"/>
      <c r="C32" s="170"/>
      <c r="D32" s="161" t="s">
        <v>735</v>
      </c>
      <c r="E32" s="163">
        <v>6.22</v>
      </c>
      <c r="F32" s="163">
        <v>0.12</v>
      </c>
      <c r="G32" s="163">
        <v>4</v>
      </c>
      <c r="H32" s="163"/>
      <c r="I32" s="163">
        <v>4</v>
      </c>
      <c r="J32" s="163" t="s">
        <v>9</v>
      </c>
      <c r="K32" s="167" t="s">
        <v>9</v>
      </c>
      <c r="L32" s="164" t="s">
        <v>86</v>
      </c>
      <c r="M32" s="165" t="s">
        <v>632</v>
      </c>
      <c r="N32" s="166" t="s">
        <v>739</v>
      </c>
      <c r="O32" s="164" t="s">
        <v>737</v>
      </c>
      <c r="P32" s="164" t="s">
        <v>9</v>
      </c>
      <c r="Q32" s="167" t="s">
        <v>692</v>
      </c>
      <c r="R32" s="167" t="s">
        <v>693</v>
      </c>
      <c r="S32" s="164" t="s">
        <v>9</v>
      </c>
      <c r="T32" s="164" t="s">
        <v>9</v>
      </c>
      <c r="U32" s="144"/>
    </row>
    <row r="33" spans="1:21" s="145" customFormat="1" ht="13.5" customHeight="1" x14ac:dyDescent="0.2">
      <c r="A33" s="160" t="str">
        <f>CONCATENATE(RIGHT(D33,LEN(D33)-FIND(" ",D33)),G33,I33,F33)</f>
        <v>Tubing220.12</v>
      </c>
      <c r="B33" s="139"/>
      <c r="C33" s="170"/>
      <c r="D33" s="161" t="s">
        <v>735</v>
      </c>
      <c r="E33" s="162">
        <v>2.94</v>
      </c>
      <c r="F33" s="163">
        <v>0.12</v>
      </c>
      <c r="G33" s="162">
        <v>2</v>
      </c>
      <c r="H33" s="162"/>
      <c r="I33" s="162">
        <v>2</v>
      </c>
      <c r="J33" s="162" t="s">
        <v>9</v>
      </c>
      <c r="K33" s="164" t="s">
        <v>97</v>
      </c>
      <c r="L33" s="164" t="s">
        <v>86</v>
      </c>
      <c r="M33" s="164" t="s">
        <v>824</v>
      </c>
      <c r="N33" s="161" t="s">
        <v>740</v>
      </c>
      <c r="O33" s="164" t="s">
        <v>737</v>
      </c>
      <c r="P33" s="172" t="s">
        <v>9</v>
      </c>
      <c r="Q33" s="167" t="s">
        <v>692</v>
      </c>
      <c r="R33" s="167" t="s">
        <v>693</v>
      </c>
      <c r="S33" s="164" t="s">
        <v>9</v>
      </c>
      <c r="T33" s="164" t="s">
        <v>9</v>
      </c>
      <c r="U33" s="144"/>
    </row>
    <row r="34" spans="1:21" s="145" customFormat="1" ht="13.5" customHeight="1" x14ac:dyDescent="0.2">
      <c r="A34" s="160" t="str">
        <f>CONCATENATE(RIGHT(D34,LEN(D34)-FIND(" ",D34)),G34,I34,F34)</f>
        <v>Tubing1.50.750.12</v>
      </c>
      <c r="B34" s="139"/>
      <c r="C34" s="170"/>
      <c r="D34" s="161" t="s">
        <v>735</v>
      </c>
      <c r="E34" s="162">
        <v>1.64</v>
      </c>
      <c r="F34" s="163">
        <v>0.12</v>
      </c>
      <c r="G34" s="162">
        <v>1.5</v>
      </c>
      <c r="H34" s="162"/>
      <c r="I34" s="162">
        <v>0.75</v>
      </c>
      <c r="J34" s="162" t="s">
        <v>9</v>
      </c>
      <c r="K34" s="164" t="s">
        <v>9</v>
      </c>
      <c r="L34" s="164" t="s">
        <v>86</v>
      </c>
      <c r="M34" s="164" t="s">
        <v>741</v>
      </c>
      <c r="N34" s="161" t="s">
        <v>742</v>
      </c>
      <c r="O34" s="164" t="s">
        <v>737</v>
      </c>
      <c r="P34" s="172" t="s">
        <v>9</v>
      </c>
      <c r="Q34" s="167" t="s">
        <v>692</v>
      </c>
      <c r="R34" s="167" t="s">
        <v>693</v>
      </c>
      <c r="S34" s="164" t="s">
        <v>9</v>
      </c>
      <c r="T34" s="164" t="s">
        <v>9</v>
      </c>
      <c r="U34" s="144"/>
    </row>
    <row r="35" spans="1:21" s="145" customFormat="1" ht="13.5" customHeight="1" x14ac:dyDescent="0.2">
      <c r="A35" s="160" t="str">
        <f>CONCATENATE(RIGHT(D35,LEN(D35)-FIND(" ",D35)),I35,F35)</f>
        <v>Flat Bar30.25</v>
      </c>
      <c r="B35" s="139"/>
      <c r="C35" s="170"/>
      <c r="D35" s="161" t="s">
        <v>743</v>
      </c>
      <c r="E35" s="162">
        <v>2.9750000000000001</v>
      </c>
      <c r="F35" s="163">
        <v>0.25</v>
      </c>
      <c r="G35" s="162" t="s">
        <v>9</v>
      </c>
      <c r="H35" s="162"/>
      <c r="I35" s="162">
        <v>3</v>
      </c>
      <c r="J35" s="162" t="s">
        <v>9</v>
      </c>
      <c r="K35" s="164" t="s">
        <v>9</v>
      </c>
      <c r="L35" s="164" t="s">
        <v>86</v>
      </c>
      <c r="M35" s="164" t="s">
        <v>744</v>
      </c>
      <c r="N35" s="161" t="s">
        <v>823</v>
      </c>
      <c r="O35" s="164" t="s">
        <v>737</v>
      </c>
      <c r="P35" s="164" t="s">
        <v>9</v>
      </c>
      <c r="Q35" s="167" t="s">
        <v>692</v>
      </c>
      <c r="R35" s="167" t="s">
        <v>693</v>
      </c>
      <c r="S35" s="164" t="s">
        <v>9</v>
      </c>
      <c r="T35" s="164" t="s">
        <v>9</v>
      </c>
      <c r="U35" s="144"/>
    </row>
    <row r="36" spans="1:21" s="81" customFormat="1" ht="13.5" customHeight="1" thickBot="1" x14ac:dyDescent="0.25">
      <c r="A36" s="173" t="str">
        <f>CONCATENATE(E36,S36)</f>
        <v/>
      </c>
      <c r="B36" s="174"/>
      <c r="C36" s="153"/>
      <c r="D36" s="175"/>
      <c r="E36" s="176"/>
      <c r="F36" s="176"/>
      <c r="G36" s="176"/>
      <c r="H36" s="176"/>
      <c r="I36" s="176"/>
      <c r="J36" s="176"/>
      <c r="K36" s="177"/>
      <c r="L36" s="177"/>
      <c r="M36" s="178"/>
      <c r="N36" s="179"/>
      <c r="O36" s="177"/>
      <c r="P36" s="180"/>
      <c r="Q36" s="177"/>
      <c r="R36" s="177"/>
      <c r="S36" s="177"/>
      <c r="T36" s="181"/>
      <c r="U36" s="182"/>
    </row>
    <row r="37" spans="1:21" s="81" customFormat="1" ht="17.25" customHeight="1" thickTop="1" thickBot="1" x14ac:dyDescent="0.25">
      <c r="A37" s="183" t="str">
        <f>CONCATENATE(E37,S37)</f>
        <v/>
      </c>
      <c r="B37" s="174"/>
      <c r="C37" s="184"/>
      <c r="D37" s="185"/>
      <c r="E37" s="186"/>
      <c r="F37" s="186"/>
      <c r="G37" s="186"/>
      <c r="H37" s="186"/>
      <c r="I37" s="186"/>
      <c r="J37" s="186"/>
      <c r="K37" s="187"/>
      <c r="L37" s="187"/>
      <c r="M37" s="187"/>
      <c r="N37" s="185"/>
      <c r="O37" s="187"/>
      <c r="P37" s="187"/>
      <c r="Q37" s="187"/>
      <c r="R37" s="187"/>
      <c r="S37" s="187"/>
      <c r="T37" s="187"/>
      <c r="U37" s="182"/>
    </row>
    <row r="38" spans="1:21" s="81" customFormat="1" ht="17.25" customHeight="1" thickTop="1" thickBot="1" x14ac:dyDescent="0.3">
      <c r="A38" s="188" t="str">
        <f>CONCATENATE(E38,S38)</f>
        <v/>
      </c>
      <c r="B38" s="174"/>
      <c r="C38" s="146" t="s">
        <v>745</v>
      </c>
      <c r="D38" s="189"/>
      <c r="E38" s="190"/>
      <c r="F38" s="190"/>
      <c r="G38" s="190"/>
      <c r="H38" s="190"/>
      <c r="I38" s="190"/>
      <c r="J38" s="190"/>
      <c r="N38" s="189"/>
      <c r="U38" s="182"/>
    </row>
    <row r="39" spans="1:21" s="81" customFormat="1" ht="13.5" customHeight="1" thickTop="1" x14ac:dyDescent="0.2">
      <c r="A39" s="152" t="str">
        <f>T39</f>
        <v>ALUT12TB</v>
      </c>
      <c r="B39" s="174"/>
      <c r="C39" s="153"/>
      <c r="D39" s="191" t="s">
        <v>746</v>
      </c>
      <c r="E39" s="155" t="s">
        <v>9</v>
      </c>
      <c r="F39" s="155" t="s">
        <v>9</v>
      </c>
      <c r="G39" s="155" t="s">
        <v>9</v>
      </c>
      <c r="H39" s="155"/>
      <c r="I39" s="155" t="s">
        <v>9</v>
      </c>
      <c r="J39" s="155" t="s">
        <v>9</v>
      </c>
      <c r="K39" s="156" t="s">
        <v>97</v>
      </c>
      <c r="L39" s="157" t="s">
        <v>9</v>
      </c>
      <c r="M39" s="156" t="s">
        <v>747</v>
      </c>
      <c r="N39" s="191" t="s">
        <v>748</v>
      </c>
      <c r="O39" s="156" t="s">
        <v>749</v>
      </c>
      <c r="P39" s="157" t="s">
        <v>9</v>
      </c>
      <c r="Q39" s="156" t="s">
        <v>750</v>
      </c>
      <c r="R39" s="156" t="s">
        <v>693</v>
      </c>
      <c r="S39" s="156" t="s">
        <v>751</v>
      </c>
      <c r="T39" s="157" t="s">
        <v>752</v>
      </c>
      <c r="U39" s="182"/>
    </row>
    <row r="40" spans="1:21" s="81" customFormat="1" ht="13.5" customHeight="1" x14ac:dyDescent="0.2">
      <c r="A40" s="160" t="str">
        <f t="shared" ref="A40:A55" si="2">T40</f>
        <v>ALUT12M-</v>
      </c>
      <c r="B40" s="174"/>
      <c r="C40" s="153"/>
      <c r="D40" s="168" t="s">
        <v>746</v>
      </c>
      <c r="E40" s="163" t="s">
        <v>9</v>
      </c>
      <c r="F40" s="163" t="s">
        <v>9</v>
      </c>
      <c r="G40" s="163" t="s">
        <v>9</v>
      </c>
      <c r="H40" s="163"/>
      <c r="I40" s="163" t="s">
        <v>9</v>
      </c>
      <c r="J40" s="163" t="s">
        <v>9</v>
      </c>
      <c r="K40" s="167" t="s">
        <v>97</v>
      </c>
      <c r="L40" s="164" t="s">
        <v>9</v>
      </c>
      <c r="M40" s="167" t="s">
        <v>753</v>
      </c>
      <c r="N40" s="168" t="s">
        <v>754</v>
      </c>
      <c r="O40" s="167" t="s">
        <v>749</v>
      </c>
      <c r="P40" s="164" t="s">
        <v>9</v>
      </c>
      <c r="Q40" s="167" t="s">
        <v>750</v>
      </c>
      <c r="R40" s="167" t="s">
        <v>693</v>
      </c>
      <c r="S40" s="167" t="s">
        <v>755</v>
      </c>
      <c r="T40" s="164" t="s">
        <v>756</v>
      </c>
      <c r="U40" s="182"/>
    </row>
    <row r="41" spans="1:21" s="81" customFormat="1" ht="13.5" customHeight="1" x14ac:dyDescent="0.2">
      <c r="A41" s="160" t="str">
        <f t="shared" si="2"/>
        <v>ALUT14TB</v>
      </c>
      <c r="B41" s="174"/>
      <c r="C41" s="153"/>
      <c r="D41" s="168" t="s">
        <v>746</v>
      </c>
      <c r="E41" s="163" t="s">
        <v>9</v>
      </c>
      <c r="F41" s="163" t="s">
        <v>9</v>
      </c>
      <c r="G41" s="163" t="s">
        <v>9</v>
      </c>
      <c r="H41" s="163"/>
      <c r="I41" s="163" t="s">
        <v>9</v>
      </c>
      <c r="J41" s="163" t="s">
        <v>9</v>
      </c>
      <c r="K41" s="167" t="s">
        <v>97</v>
      </c>
      <c r="L41" s="164" t="s">
        <v>9</v>
      </c>
      <c r="M41" s="167" t="s">
        <v>757</v>
      </c>
      <c r="N41" s="168" t="s">
        <v>758</v>
      </c>
      <c r="O41" s="167" t="s">
        <v>749</v>
      </c>
      <c r="P41" s="164" t="s">
        <v>9</v>
      </c>
      <c r="Q41" s="167" t="s">
        <v>750</v>
      </c>
      <c r="R41" s="167" t="s">
        <v>693</v>
      </c>
      <c r="S41" s="167" t="s">
        <v>759</v>
      </c>
      <c r="T41" s="164" t="s">
        <v>760</v>
      </c>
      <c r="U41" s="182"/>
    </row>
    <row r="42" spans="1:21" s="81" customFormat="1" ht="13.5" customHeight="1" x14ac:dyDescent="0.2">
      <c r="A42" s="160" t="str">
        <f t="shared" si="2"/>
        <v>ALUT14M-</v>
      </c>
      <c r="B42" s="174"/>
      <c r="C42" s="153"/>
      <c r="D42" s="168" t="s">
        <v>746</v>
      </c>
      <c r="E42" s="163" t="s">
        <v>9</v>
      </c>
      <c r="F42" s="163" t="s">
        <v>9</v>
      </c>
      <c r="G42" s="163" t="s">
        <v>9</v>
      </c>
      <c r="H42" s="163"/>
      <c r="I42" s="163" t="s">
        <v>9</v>
      </c>
      <c r="J42" s="163" t="s">
        <v>9</v>
      </c>
      <c r="K42" s="167" t="s">
        <v>97</v>
      </c>
      <c r="L42" s="164" t="s">
        <v>9</v>
      </c>
      <c r="M42" s="167" t="s">
        <v>761</v>
      </c>
      <c r="N42" s="168" t="s">
        <v>762</v>
      </c>
      <c r="O42" s="167" t="s">
        <v>749</v>
      </c>
      <c r="P42" s="164" t="s">
        <v>9</v>
      </c>
      <c r="Q42" s="167" t="s">
        <v>750</v>
      </c>
      <c r="R42" s="167" t="s">
        <v>693</v>
      </c>
      <c r="S42" s="167" t="s">
        <v>763</v>
      </c>
      <c r="T42" s="164" t="s">
        <v>764</v>
      </c>
      <c r="U42" s="182"/>
    </row>
    <row r="43" spans="1:21" s="81" customFormat="1" ht="13.5" customHeight="1" x14ac:dyDescent="0.2">
      <c r="A43" s="160" t="str">
        <f t="shared" si="2"/>
        <v>ALUT42TB</v>
      </c>
      <c r="B43" s="174"/>
      <c r="C43" s="153"/>
      <c r="D43" s="168" t="s">
        <v>746</v>
      </c>
      <c r="E43" s="163" t="s">
        <v>9</v>
      </c>
      <c r="F43" s="163" t="s">
        <v>9</v>
      </c>
      <c r="G43" s="163" t="s">
        <v>9</v>
      </c>
      <c r="H43" s="163"/>
      <c r="I43" s="163" t="s">
        <v>9</v>
      </c>
      <c r="J43" s="163" t="s">
        <v>9</v>
      </c>
      <c r="K43" s="167" t="s">
        <v>97</v>
      </c>
      <c r="L43" s="164" t="s">
        <v>9</v>
      </c>
      <c r="M43" s="167" t="s">
        <v>765</v>
      </c>
      <c r="N43" s="168" t="s">
        <v>748</v>
      </c>
      <c r="O43" s="167" t="s">
        <v>749</v>
      </c>
      <c r="P43" s="164" t="s">
        <v>9</v>
      </c>
      <c r="Q43" s="167" t="s">
        <v>750</v>
      </c>
      <c r="R43" s="167" t="s">
        <v>693</v>
      </c>
      <c r="S43" s="167" t="s">
        <v>766</v>
      </c>
      <c r="T43" s="164" t="s">
        <v>767</v>
      </c>
      <c r="U43" s="182"/>
    </row>
    <row r="44" spans="1:21" s="81" customFormat="1" ht="13.5" customHeight="1" x14ac:dyDescent="0.2">
      <c r="A44" s="160" t="str">
        <f t="shared" si="2"/>
        <v>ALUT42M-</v>
      </c>
      <c r="B44" s="174"/>
      <c r="C44" s="153"/>
      <c r="D44" s="168" t="s">
        <v>746</v>
      </c>
      <c r="E44" s="163" t="s">
        <v>9</v>
      </c>
      <c r="F44" s="163" t="s">
        <v>9</v>
      </c>
      <c r="G44" s="163" t="s">
        <v>9</v>
      </c>
      <c r="H44" s="163"/>
      <c r="I44" s="163" t="s">
        <v>9</v>
      </c>
      <c r="J44" s="163" t="s">
        <v>9</v>
      </c>
      <c r="K44" s="167" t="s">
        <v>97</v>
      </c>
      <c r="L44" s="164" t="s">
        <v>9</v>
      </c>
      <c r="M44" s="167" t="s">
        <v>768</v>
      </c>
      <c r="N44" s="168" t="s">
        <v>754</v>
      </c>
      <c r="O44" s="167" t="s">
        <v>749</v>
      </c>
      <c r="P44" s="164" t="s">
        <v>9</v>
      </c>
      <c r="Q44" s="167" t="s">
        <v>750</v>
      </c>
      <c r="R44" s="167" t="s">
        <v>693</v>
      </c>
      <c r="S44" s="167" t="s">
        <v>769</v>
      </c>
      <c r="T44" s="164" t="s">
        <v>770</v>
      </c>
      <c r="U44" s="182"/>
    </row>
    <row r="45" spans="1:21" s="81" customFormat="1" ht="13.5" customHeight="1" x14ac:dyDescent="0.2">
      <c r="A45" s="160" t="str">
        <f t="shared" si="2"/>
        <v>-</v>
      </c>
      <c r="B45" s="174"/>
      <c r="C45" s="153"/>
      <c r="D45" s="168" t="s">
        <v>746</v>
      </c>
      <c r="E45" s="163" t="s">
        <v>9</v>
      </c>
      <c r="F45" s="163" t="s">
        <v>9</v>
      </c>
      <c r="G45" s="163" t="s">
        <v>9</v>
      </c>
      <c r="H45" s="163"/>
      <c r="I45" s="163" t="s">
        <v>9</v>
      </c>
      <c r="J45" s="163" t="s">
        <v>9</v>
      </c>
      <c r="K45" s="167" t="s">
        <v>9</v>
      </c>
      <c r="L45" s="192" t="s">
        <v>86</v>
      </c>
      <c r="M45" s="164" t="s">
        <v>771</v>
      </c>
      <c r="N45" s="161" t="s">
        <v>772</v>
      </c>
      <c r="O45" s="167" t="s">
        <v>749</v>
      </c>
      <c r="P45" s="164" t="s">
        <v>9</v>
      </c>
      <c r="Q45" s="167" t="s">
        <v>750</v>
      </c>
      <c r="R45" s="167" t="s">
        <v>693</v>
      </c>
      <c r="S45" s="164" t="s">
        <v>9</v>
      </c>
      <c r="T45" s="164" t="s">
        <v>9</v>
      </c>
      <c r="U45" s="182"/>
    </row>
    <row r="46" spans="1:21" s="81" customFormat="1" ht="13.5" customHeight="1" x14ac:dyDescent="0.2">
      <c r="A46" s="160" t="str">
        <f t="shared" si="2"/>
        <v>-</v>
      </c>
      <c r="B46" s="174"/>
      <c r="C46" s="153"/>
      <c r="D46" s="168" t="s">
        <v>746</v>
      </c>
      <c r="E46" s="162" t="s">
        <v>9</v>
      </c>
      <c r="F46" s="162" t="s">
        <v>9</v>
      </c>
      <c r="G46" s="162" t="s">
        <v>9</v>
      </c>
      <c r="H46" s="162"/>
      <c r="I46" s="162" t="s">
        <v>9</v>
      </c>
      <c r="J46" s="163" t="s">
        <v>9</v>
      </c>
      <c r="K46" s="164" t="s">
        <v>9</v>
      </c>
      <c r="L46" s="192" t="s">
        <v>86</v>
      </c>
      <c r="M46" s="164" t="s">
        <v>773</v>
      </c>
      <c r="N46" s="161" t="s">
        <v>774</v>
      </c>
      <c r="O46" s="167" t="s">
        <v>749</v>
      </c>
      <c r="P46" s="164" t="s">
        <v>9</v>
      </c>
      <c r="Q46" s="167" t="s">
        <v>750</v>
      </c>
      <c r="R46" s="167" t="s">
        <v>693</v>
      </c>
      <c r="S46" s="164" t="s">
        <v>9</v>
      </c>
      <c r="T46" s="164" t="s">
        <v>9</v>
      </c>
      <c r="U46" s="182"/>
    </row>
    <row r="47" spans="1:21" s="81" customFormat="1" ht="13.5" customHeight="1" x14ac:dyDescent="0.2">
      <c r="A47" s="160" t="str">
        <f t="shared" si="2"/>
        <v>-</v>
      </c>
      <c r="B47" s="174"/>
      <c r="C47" s="153"/>
      <c r="D47" s="168" t="s">
        <v>746</v>
      </c>
      <c r="E47" s="162" t="s">
        <v>9</v>
      </c>
      <c r="F47" s="162" t="s">
        <v>9</v>
      </c>
      <c r="G47" s="162" t="s">
        <v>9</v>
      </c>
      <c r="H47" s="162"/>
      <c r="I47" s="162" t="s">
        <v>9</v>
      </c>
      <c r="J47" s="163" t="s">
        <v>9</v>
      </c>
      <c r="K47" s="164" t="s">
        <v>9</v>
      </c>
      <c r="L47" s="164" t="s">
        <v>86</v>
      </c>
      <c r="M47" s="164" t="s">
        <v>775</v>
      </c>
      <c r="N47" s="161" t="s">
        <v>776</v>
      </c>
      <c r="O47" s="167" t="s">
        <v>749</v>
      </c>
      <c r="P47" s="164" t="s">
        <v>9</v>
      </c>
      <c r="Q47" s="167" t="s">
        <v>750</v>
      </c>
      <c r="R47" s="167" t="s">
        <v>693</v>
      </c>
      <c r="S47" s="164" t="s">
        <v>9</v>
      </c>
      <c r="T47" s="164" t="s">
        <v>9</v>
      </c>
      <c r="U47" s="182"/>
    </row>
    <row r="48" spans="1:21" s="81" customFormat="1" ht="13.5" customHeight="1" x14ac:dyDescent="0.2">
      <c r="A48" s="160" t="str">
        <f t="shared" si="2"/>
        <v>-</v>
      </c>
      <c r="B48" s="174"/>
      <c r="C48" s="153"/>
      <c r="D48" s="168" t="s">
        <v>746</v>
      </c>
      <c r="E48" s="162" t="s">
        <v>9</v>
      </c>
      <c r="F48" s="162" t="s">
        <v>9</v>
      </c>
      <c r="G48" s="162" t="s">
        <v>9</v>
      </c>
      <c r="H48" s="162"/>
      <c r="I48" s="162" t="s">
        <v>9</v>
      </c>
      <c r="J48" s="163" t="s">
        <v>9</v>
      </c>
      <c r="K48" s="164" t="s">
        <v>9</v>
      </c>
      <c r="L48" s="164" t="s">
        <v>86</v>
      </c>
      <c r="M48" s="164" t="s">
        <v>777</v>
      </c>
      <c r="N48" s="161" t="s">
        <v>778</v>
      </c>
      <c r="O48" s="167" t="s">
        <v>749</v>
      </c>
      <c r="P48" s="164" t="s">
        <v>9</v>
      </c>
      <c r="Q48" s="167" t="s">
        <v>750</v>
      </c>
      <c r="R48" s="167" t="s">
        <v>693</v>
      </c>
      <c r="S48" s="164" t="s">
        <v>9</v>
      </c>
      <c r="T48" s="164" t="s">
        <v>9</v>
      </c>
      <c r="U48" s="182"/>
    </row>
    <row r="49" spans="1:21" s="81" customFormat="1" ht="13.5" customHeight="1" x14ac:dyDescent="0.2">
      <c r="A49" s="160" t="str">
        <f t="shared" si="2"/>
        <v>-</v>
      </c>
      <c r="B49" s="174"/>
      <c r="C49" s="153"/>
      <c r="D49" s="168" t="s">
        <v>746</v>
      </c>
      <c r="E49" s="162" t="s">
        <v>9</v>
      </c>
      <c r="F49" s="162" t="s">
        <v>9</v>
      </c>
      <c r="G49" s="162" t="s">
        <v>9</v>
      </c>
      <c r="H49" s="162"/>
      <c r="I49" s="162" t="s">
        <v>9</v>
      </c>
      <c r="J49" s="163" t="s">
        <v>9</v>
      </c>
      <c r="K49" s="164" t="s">
        <v>9</v>
      </c>
      <c r="L49" s="164" t="s">
        <v>86</v>
      </c>
      <c r="M49" s="164" t="s">
        <v>779</v>
      </c>
      <c r="N49" s="161" t="s">
        <v>780</v>
      </c>
      <c r="O49" s="167" t="s">
        <v>749</v>
      </c>
      <c r="P49" s="164" t="s">
        <v>9</v>
      </c>
      <c r="Q49" s="167" t="s">
        <v>750</v>
      </c>
      <c r="R49" s="167" t="s">
        <v>693</v>
      </c>
      <c r="S49" s="164" t="s">
        <v>9</v>
      </c>
      <c r="T49" s="164" t="s">
        <v>9</v>
      </c>
      <c r="U49" s="182"/>
    </row>
    <row r="50" spans="1:21" s="81" customFormat="1" ht="13.5" customHeight="1" x14ac:dyDescent="0.2">
      <c r="A50" s="160" t="str">
        <f t="shared" si="2"/>
        <v>-</v>
      </c>
      <c r="B50" s="174"/>
      <c r="C50" s="153"/>
      <c r="D50" s="168" t="s">
        <v>746</v>
      </c>
      <c r="E50" s="162" t="s">
        <v>9</v>
      </c>
      <c r="F50" s="162" t="s">
        <v>9</v>
      </c>
      <c r="G50" s="162" t="s">
        <v>9</v>
      </c>
      <c r="H50" s="162"/>
      <c r="I50" s="162" t="s">
        <v>9</v>
      </c>
      <c r="J50" s="163" t="s">
        <v>9</v>
      </c>
      <c r="K50" s="164" t="s">
        <v>9</v>
      </c>
      <c r="L50" s="164" t="s">
        <v>86</v>
      </c>
      <c r="M50" s="164" t="s">
        <v>781</v>
      </c>
      <c r="N50" s="161" t="s">
        <v>782</v>
      </c>
      <c r="O50" s="167" t="s">
        <v>749</v>
      </c>
      <c r="P50" s="164" t="s">
        <v>9</v>
      </c>
      <c r="Q50" s="167" t="s">
        <v>750</v>
      </c>
      <c r="R50" s="167" t="s">
        <v>693</v>
      </c>
      <c r="S50" s="164" t="s">
        <v>9</v>
      </c>
      <c r="T50" s="164" t="s">
        <v>9</v>
      </c>
      <c r="U50" s="182"/>
    </row>
    <row r="51" spans="1:21" s="81" customFormat="1" ht="13.5" customHeight="1" x14ac:dyDescent="0.2">
      <c r="A51" s="160" t="str">
        <f t="shared" si="2"/>
        <v>-</v>
      </c>
      <c r="B51" s="174"/>
      <c r="C51" s="153"/>
      <c r="D51" s="168" t="s">
        <v>746</v>
      </c>
      <c r="E51" s="162" t="s">
        <v>9</v>
      </c>
      <c r="F51" s="162" t="s">
        <v>9</v>
      </c>
      <c r="G51" s="162" t="s">
        <v>9</v>
      </c>
      <c r="H51" s="162"/>
      <c r="I51" s="162" t="s">
        <v>9</v>
      </c>
      <c r="J51" s="163" t="s">
        <v>9</v>
      </c>
      <c r="K51" s="164" t="s">
        <v>9</v>
      </c>
      <c r="L51" s="164" t="s">
        <v>86</v>
      </c>
      <c r="M51" s="164" t="s">
        <v>783</v>
      </c>
      <c r="N51" s="161" t="s">
        <v>784</v>
      </c>
      <c r="O51" s="167" t="s">
        <v>749</v>
      </c>
      <c r="P51" s="164" t="s">
        <v>9</v>
      </c>
      <c r="Q51" s="167" t="s">
        <v>750</v>
      </c>
      <c r="R51" s="167" t="s">
        <v>693</v>
      </c>
      <c r="S51" s="164" t="s">
        <v>9</v>
      </c>
      <c r="T51" s="164" t="s">
        <v>9</v>
      </c>
      <c r="U51" s="182"/>
    </row>
    <row r="52" spans="1:21" s="81" customFormat="1" ht="13.5" customHeight="1" x14ac:dyDescent="0.2">
      <c r="A52" s="160" t="str">
        <f t="shared" si="2"/>
        <v>-</v>
      </c>
      <c r="B52" s="174"/>
      <c r="C52" s="153"/>
      <c r="D52" s="168" t="s">
        <v>746</v>
      </c>
      <c r="E52" s="162" t="s">
        <v>9</v>
      </c>
      <c r="F52" s="162" t="s">
        <v>9</v>
      </c>
      <c r="G52" s="162" t="s">
        <v>9</v>
      </c>
      <c r="H52" s="162"/>
      <c r="I52" s="162" t="s">
        <v>9</v>
      </c>
      <c r="J52" s="163" t="s">
        <v>9</v>
      </c>
      <c r="K52" s="164" t="s">
        <v>9</v>
      </c>
      <c r="L52" s="164" t="s">
        <v>86</v>
      </c>
      <c r="M52" s="164" t="s">
        <v>785</v>
      </c>
      <c r="N52" s="161" t="s">
        <v>786</v>
      </c>
      <c r="O52" s="167" t="s">
        <v>749</v>
      </c>
      <c r="P52" s="164" t="s">
        <v>9</v>
      </c>
      <c r="Q52" s="167" t="s">
        <v>750</v>
      </c>
      <c r="R52" s="167" t="s">
        <v>693</v>
      </c>
      <c r="S52" s="164" t="s">
        <v>9</v>
      </c>
      <c r="T52" s="164" t="s">
        <v>9</v>
      </c>
      <c r="U52" s="182"/>
    </row>
    <row r="53" spans="1:21" s="81" customFormat="1" ht="13.5" customHeight="1" x14ac:dyDescent="0.2">
      <c r="A53" s="160" t="str">
        <f t="shared" si="2"/>
        <v>-</v>
      </c>
      <c r="B53" s="174"/>
      <c r="C53" s="153"/>
      <c r="D53" s="168" t="s">
        <v>746</v>
      </c>
      <c r="E53" s="162" t="s">
        <v>9</v>
      </c>
      <c r="F53" s="162" t="s">
        <v>9</v>
      </c>
      <c r="G53" s="162" t="s">
        <v>9</v>
      </c>
      <c r="H53" s="162"/>
      <c r="I53" s="162" t="s">
        <v>9</v>
      </c>
      <c r="J53" s="163" t="s">
        <v>9</v>
      </c>
      <c r="K53" s="164" t="s">
        <v>9</v>
      </c>
      <c r="L53" s="164" t="s">
        <v>86</v>
      </c>
      <c r="M53" s="164" t="s">
        <v>787</v>
      </c>
      <c r="N53" s="161" t="s">
        <v>788</v>
      </c>
      <c r="O53" s="167" t="s">
        <v>749</v>
      </c>
      <c r="P53" s="164" t="s">
        <v>9</v>
      </c>
      <c r="Q53" s="167" t="s">
        <v>750</v>
      </c>
      <c r="R53" s="167" t="s">
        <v>693</v>
      </c>
      <c r="S53" s="164" t="s">
        <v>9</v>
      </c>
      <c r="T53" s="164" t="s">
        <v>9</v>
      </c>
      <c r="U53" s="182"/>
    </row>
    <row r="54" spans="1:21" s="81" customFormat="1" ht="13.5" customHeight="1" x14ac:dyDescent="0.2">
      <c r="A54" s="160" t="str">
        <f t="shared" si="2"/>
        <v>-</v>
      </c>
      <c r="B54" s="174"/>
      <c r="C54" s="153"/>
      <c r="D54" s="168" t="s">
        <v>746</v>
      </c>
      <c r="E54" s="162" t="s">
        <v>9</v>
      </c>
      <c r="F54" s="162" t="s">
        <v>9</v>
      </c>
      <c r="G54" s="162" t="s">
        <v>9</v>
      </c>
      <c r="H54" s="162"/>
      <c r="I54" s="162" t="s">
        <v>9</v>
      </c>
      <c r="J54" s="163" t="s">
        <v>9</v>
      </c>
      <c r="K54" s="164" t="s">
        <v>9</v>
      </c>
      <c r="L54" s="164" t="s">
        <v>86</v>
      </c>
      <c r="M54" s="164" t="s">
        <v>789</v>
      </c>
      <c r="N54" s="161" t="s">
        <v>790</v>
      </c>
      <c r="O54" s="167" t="s">
        <v>749</v>
      </c>
      <c r="P54" s="164" t="s">
        <v>9</v>
      </c>
      <c r="Q54" s="167" t="s">
        <v>750</v>
      </c>
      <c r="R54" s="167" t="s">
        <v>693</v>
      </c>
      <c r="S54" s="164" t="s">
        <v>9</v>
      </c>
      <c r="T54" s="164" t="s">
        <v>9</v>
      </c>
      <c r="U54" s="182"/>
    </row>
    <row r="55" spans="1:21" s="81" customFormat="1" ht="13.5" customHeight="1" x14ac:dyDescent="0.2">
      <c r="A55" s="160" t="str">
        <f t="shared" si="2"/>
        <v>-</v>
      </c>
      <c r="B55" s="174"/>
      <c r="C55" s="153"/>
      <c r="D55" s="168" t="s">
        <v>746</v>
      </c>
      <c r="E55" s="162" t="s">
        <v>9</v>
      </c>
      <c r="F55" s="162" t="s">
        <v>9</v>
      </c>
      <c r="G55" s="162" t="s">
        <v>9</v>
      </c>
      <c r="H55" s="162"/>
      <c r="I55" s="162" t="s">
        <v>9</v>
      </c>
      <c r="J55" s="163" t="s">
        <v>9</v>
      </c>
      <c r="K55" s="164" t="s">
        <v>9</v>
      </c>
      <c r="L55" s="164" t="s">
        <v>86</v>
      </c>
      <c r="M55" s="164" t="s">
        <v>791</v>
      </c>
      <c r="N55" s="161" t="s">
        <v>792</v>
      </c>
      <c r="O55" s="167" t="s">
        <v>749</v>
      </c>
      <c r="P55" s="164" t="s">
        <v>9</v>
      </c>
      <c r="Q55" s="167" t="s">
        <v>750</v>
      </c>
      <c r="R55" s="167" t="s">
        <v>693</v>
      </c>
      <c r="S55" s="164" t="s">
        <v>9</v>
      </c>
      <c r="T55" s="164" t="s">
        <v>9</v>
      </c>
      <c r="U55" s="182"/>
    </row>
    <row r="56" spans="1:21" s="81" customFormat="1" ht="13.5" customHeight="1" thickBot="1" x14ac:dyDescent="0.25">
      <c r="A56" s="193"/>
      <c r="B56" s="174"/>
      <c r="C56" s="194"/>
      <c r="D56" s="175"/>
      <c r="E56" s="176"/>
      <c r="F56" s="176"/>
      <c r="G56" s="176"/>
      <c r="H56" s="176"/>
      <c r="I56" s="176"/>
      <c r="J56" s="176"/>
      <c r="K56" s="177"/>
      <c r="L56" s="177"/>
      <c r="M56" s="177"/>
      <c r="N56" s="175"/>
      <c r="O56" s="177"/>
      <c r="P56" s="181"/>
      <c r="Q56" s="177"/>
      <c r="R56" s="177"/>
      <c r="S56" s="177"/>
      <c r="T56" s="181"/>
      <c r="U56" s="182"/>
    </row>
    <row r="57" spans="1:21" s="81" customFormat="1" ht="17.25" customHeight="1" thickTop="1" thickBot="1" x14ac:dyDescent="0.25">
      <c r="A57" s="281" t="str">
        <f>CONCATENATE(E57,S57)</f>
        <v/>
      </c>
      <c r="B57" s="174"/>
      <c r="C57" s="184"/>
      <c r="D57" s="185"/>
      <c r="E57" s="186"/>
      <c r="F57" s="186"/>
      <c r="G57" s="186"/>
      <c r="H57" s="186"/>
      <c r="I57" s="186"/>
      <c r="J57" s="186"/>
      <c r="K57" s="187"/>
      <c r="L57" s="187"/>
      <c r="M57" s="187"/>
      <c r="N57" s="185"/>
      <c r="O57" s="187"/>
      <c r="P57" s="187"/>
      <c r="Q57" s="187"/>
      <c r="R57" s="187"/>
      <c r="S57" s="187"/>
      <c r="T57" s="187"/>
      <c r="U57" s="57"/>
    </row>
    <row r="58" spans="1:21" s="81" customFormat="1" ht="17.25" customHeight="1" thickTop="1" thickBot="1" x14ac:dyDescent="0.3">
      <c r="A58" s="173" t="str">
        <f>CONCATENATE(E58,S58)</f>
        <v/>
      </c>
      <c r="B58" s="174"/>
      <c r="C58" s="195" t="s">
        <v>793</v>
      </c>
      <c r="D58" s="189"/>
      <c r="E58" s="190"/>
      <c r="F58" s="190"/>
      <c r="G58" s="190"/>
      <c r="H58" s="190"/>
      <c r="I58" s="190"/>
      <c r="J58" s="190"/>
      <c r="N58" s="189"/>
      <c r="T58" s="57"/>
      <c r="U58" s="182"/>
    </row>
    <row r="59" spans="1:21" s="81" customFormat="1" ht="13.5" customHeight="1" thickTop="1" x14ac:dyDescent="0.2">
      <c r="A59" s="152" t="s">
        <v>9</v>
      </c>
      <c r="B59" s="174"/>
      <c r="C59" s="194"/>
      <c r="D59" s="191" t="s">
        <v>793</v>
      </c>
      <c r="E59" s="196" t="s">
        <v>9</v>
      </c>
      <c r="F59" s="196" t="s">
        <v>9</v>
      </c>
      <c r="G59" s="196">
        <v>0.25</v>
      </c>
      <c r="H59" s="196"/>
      <c r="I59" s="196">
        <v>0.25</v>
      </c>
      <c r="J59" s="196" t="s">
        <v>9</v>
      </c>
      <c r="K59" s="157" t="s">
        <v>9</v>
      </c>
      <c r="L59" s="157" t="s">
        <v>86</v>
      </c>
      <c r="M59" s="157" t="s">
        <v>794</v>
      </c>
      <c r="N59" s="154" t="s">
        <v>795</v>
      </c>
      <c r="O59" s="157" t="s">
        <v>796</v>
      </c>
      <c r="P59" s="157" t="s">
        <v>797</v>
      </c>
      <c r="Q59" s="156" t="s">
        <v>750</v>
      </c>
      <c r="R59" s="157" t="s">
        <v>693</v>
      </c>
      <c r="S59" s="157" t="s">
        <v>9</v>
      </c>
      <c r="T59" s="157" t="s">
        <v>9</v>
      </c>
      <c r="U59" s="182"/>
    </row>
    <row r="60" spans="1:21" s="81" customFormat="1" ht="13.5" customHeight="1" x14ac:dyDescent="0.2">
      <c r="A60" s="197" t="s">
        <v>9</v>
      </c>
      <c r="B60" s="174"/>
      <c r="C60" s="194"/>
      <c r="D60" s="168" t="s">
        <v>793</v>
      </c>
      <c r="E60" s="162" t="s">
        <v>9</v>
      </c>
      <c r="F60" s="162">
        <v>0.02</v>
      </c>
      <c r="G60" s="162">
        <v>0.625</v>
      </c>
      <c r="H60" s="162"/>
      <c r="I60" s="162">
        <v>0.625</v>
      </c>
      <c r="J60" s="162" t="s">
        <v>9</v>
      </c>
      <c r="K60" s="164" t="s">
        <v>9</v>
      </c>
      <c r="L60" s="164" t="s">
        <v>86</v>
      </c>
      <c r="M60" s="164" t="s">
        <v>798</v>
      </c>
      <c r="N60" s="161" t="s">
        <v>799</v>
      </c>
      <c r="O60" s="164" t="s">
        <v>796</v>
      </c>
      <c r="P60" s="164" t="s">
        <v>797</v>
      </c>
      <c r="Q60" s="167" t="s">
        <v>750</v>
      </c>
      <c r="R60" s="164" t="s">
        <v>693</v>
      </c>
      <c r="S60" s="164" t="s">
        <v>9</v>
      </c>
      <c r="T60" s="164" t="s">
        <v>9</v>
      </c>
      <c r="U60" s="182"/>
    </row>
    <row r="61" spans="1:21" s="81" customFormat="1" ht="13.5" customHeight="1" thickBot="1" x14ac:dyDescent="0.25">
      <c r="A61" s="193" t="str">
        <f>CONCATENATE(E61,S61)</f>
        <v/>
      </c>
      <c r="B61" s="174"/>
      <c r="C61" s="194"/>
      <c r="D61" s="175"/>
      <c r="E61" s="198"/>
      <c r="F61" s="198"/>
      <c r="G61" s="198"/>
      <c r="H61" s="198"/>
      <c r="I61" s="198"/>
      <c r="J61" s="198"/>
      <c r="K61" s="181"/>
      <c r="L61" s="181"/>
      <c r="M61" s="181"/>
      <c r="N61" s="179"/>
      <c r="O61" s="181"/>
      <c r="P61" s="181"/>
      <c r="Q61" s="177"/>
      <c r="R61" s="181"/>
      <c r="S61" s="181"/>
      <c r="T61" s="181"/>
      <c r="U61" s="182"/>
    </row>
    <row r="62" spans="1:21" s="81" customFormat="1" ht="17.25" customHeight="1" thickTop="1" thickBot="1" x14ac:dyDescent="0.25">
      <c r="A62" s="272" t="str">
        <f>CONCATENATE(E62,S62)</f>
        <v/>
      </c>
      <c r="B62" s="174"/>
      <c r="C62" s="184"/>
      <c r="D62" s="185"/>
      <c r="E62" s="186"/>
      <c r="F62" s="186"/>
      <c r="G62" s="186"/>
      <c r="H62" s="186"/>
      <c r="I62" s="186"/>
      <c r="J62" s="186"/>
      <c r="K62" s="187"/>
      <c r="L62" s="187"/>
      <c r="M62" s="187"/>
      <c r="N62" s="185"/>
      <c r="O62" s="187"/>
      <c r="P62" s="187"/>
      <c r="Q62" s="187"/>
      <c r="R62" s="187"/>
      <c r="S62" s="187"/>
      <c r="T62" s="199"/>
      <c r="U62" s="182"/>
    </row>
    <row r="63" spans="1:21" s="81" customFormat="1" ht="17.25" customHeight="1" thickTop="1" thickBot="1" x14ac:dyDescent="0.3">
      <c r="A63" s="173" t="str">
        <f>CONCATENATE(E63,S63)</f>
        <v/>
      </c>
      <c r="B63" s="174"/>
      <c r="C63" s="195" t="s">
        <v>800</v>
      </c>
      <c r="D63" s="189"/>
      <c r="E63" s="190"/>
      <c r="F63" s="190"/>
      <c r="G63" s="190"/>
      <c r="H63" s="190"/>
      <c r="I63" s="190"/>
      <c r="J63" s="190"/>
      <c r="N63" s="189"/>
      <c r="T63" s="57"/>
      <c r="U63" s="182"/>
    </row>
    <row r="64" spans="1:21" s="81" customFormat="1" ht="13.5" customHeight="1" thickTop="1" x14ac:dyDescent="0.2">
      <c r="A64" s="152" t="str">
        <f>CONCATENATE(RIGHT(D64,LEN(D64)-FIND(" ",D64)),LEFT(D64,4),G64,I64,F64)</f>
        <v>TubingAlum1.50.750.125</v>
      </c>
      <c r="B64" s="174"/>
      <c r="C64" s="194"/>
      <c r="D64" s="191" t="s">
        <v>801</v>
      </c>
      <c r="E64" s="155">
        <v>0.58799999999999997</v>
      </c>
      <c r="F64" s="155">
        <v>0.125</v>
      </c>
      <c r="G64" s="155">
        <v>1.5</v>
      </c>
      <c r="H64" s="155"/>
      <c r="I64" s="155">
        <v>0.75</v>
      </c>
      <c r="J64" s="155" t="s">
        <v>9</v>
      </c>
      <c r="K64" s="156" t="s">
        <v>9</v>
      </c>
      <c r="L64" s="156" t="s">
        <v>86</v>
      </c>
      <c r="M64" s="156" t="s">
        <v>802</v>
      </c>
      <c r="N64" s="191" t="s">
        <v>803</v>
      </c>
      <c r="O64" s="156" t="s">
        <v>9</v>
      </c>
      <c r="P64" s="156" t="s">
        <v>9</v>
      </c>
      <c r="Q64" s="156" t="s">
        <v>804</v>
      </c>
      <c r="R64" s="156" t="s">
        <v>693</v>
      </c>
      <c r="S64" s="156" t="s">
        <v>9</v>
      </c>
      <c r="T64" s="156" t="s">
        <v>9</v>
      </c>
      <c r="U64" s="182"/>
    </row>
    <row r="65" spans="1:21" s="81" customFormat="1" ht="13.5" customHeight="1" x14ac:dyDescent="0.2">
      <c r="A65" s="160" t="str">
        <f>CONCATENATE(RIGHT(D65,LEN(D65)-FIND(" ",D65)),LEFT(D65,4),G65,E65)</f>
        <v>ChannelAlum108.36</v>
      </c>
      <c r="B65" s="174"/>
      <c r="C65" s="194"/>
      <c r="D65" s="200" t="s">
        <v>805</v>
      </c>
      <c r="E65" s="201">
        <v>8.36</v>
      </c>
      <c r="F65" s="201">
        <v>0.31</v>
      </c>
      <c r="G65" s="201">
        <v>10</v>
      </c>
      <c r="H65" s="201"/>
      <c r="I65" s="201">
        <v>4.25</v>
      </c>
      <c r="J65" s="201">
        <v>0.5</v>
      </c>
      <c r="K65" s="202" t="s">
        <v>9</v>
      </c>
      <c r="L65" s="202" t="s">
        <v>86</v>
      </c>
      <c r="M65" s="202" t="s">
        <v>806</v>
      </c>
      <c r="N65" s="200" t="s">
        <v>807</v>
      </c>
      <c r="O65" s="202" t="s">
        <v>9</v>
      </c>
      <c r="P65" s="202" t="s">
        <v>9</v>
      </c>
      <c r="Q65" s="202" t="s">
        <v>804</v>
      </c>
      <c r="R65" s="202" t="s">
        <v>693</v>
      </c>
      <c r="S65" s="202" t="s">
        <v>9</v>
      </c>
      <c r="T65" s="202" t="s">
        <v>9</v>
      </c>
      <c r="U65" s="182"/>
    </row>
    <row r="66" spans="1:21" s="81" customFormat="1" ht="13.5" customHeight="1" x14ac:dyDescent="0.2">
      <c r="A66" s="160" t="str">
        <f>CONCATENATE(RIGHT(D66,LEN(D66)-FIND(" ",D66)),LEFT(D66,4),G66,E66)</f>
        <v>ChannelAlum1211.82</v>
      </c>
      <c r="B66" s="174"/>
      <c r="C66" s="194"/>
      <c r="D66" s="200" t="s">
        <v>805</v>
      </c>
      <c r="E66" s="201">
        <v>11.82</v>
      </c>
      <c r="F66" s="201">
        <v>0.35</v>
      </c>
      <c r="G66" s="201">
        <v>12</v>
      </c>
      <c r="H66" s="201"/>
      <c r="I66" s="201">
        <v>5</v>
      </c>
      <c r="J66" s="201">
        <v>0.62</v>
      </c>
      <c r="K66" s="202" t="s">
        <v>9</v>
      </c>
      <c r="L66" s="202" t="s">
        <v>86</v>
      </c>
      <c r="M66" s="202" t="s">
        <v>808</v>
      </c>
      <c r="N66" s="200" t="s">
        <v>809</v>
      </c>
      <c r="O66" s="202" t="s">
        <v>9</v>
      </c>
      <c r="P66" s="202" t="s">
        <v>9</v>
      </c>
      <c r="Q66" s="202" t="s">
        <v>804</v>
      </c>
      <c r="R66" s="202" t="s">
        <v>693</v>
      </c>
      <c r="S66" s="202" t="s">
        <v>9</v>
      </c>
      <c r="T66" s="202" t="s">
        <v>9</v>
      </c>
      <c r="U66" s="182"/>
    </row>
    <row r="67" spans="1:21" s="81" customFormat="1" ht="13.5" customHeight="1" x14ac:dyDescent="0.2">
      <c r="A67" s="160" t="str">
        <f>CONCATENATE(RIGHT(D67,LEN(D67)-FIND(" ",D67)),LEFT(D67,4),G67,E67)</f>
        <v>ChannelAlum64.03</v>
      </c>
      <c r="B67" s="174"/>
      <c r="C67" s="194"/>
      <c r="D67" s="200" t="s">
        <v>805</v>
      </c>
      <c r="E67" s="163">
        <v>4.03</v>
      </c>
      <c r="F67" s="163">
        <v>0.21</v>
      </c>
      <c r="G67" s="201">
        <v>6</v>
      </c>
      <c r="H67" s="201"/>
      <c r="I67" s="201">
        <v>3.25</v>
      </c>
      <c r="J67" s="201">
        <v>0.35</v>
      </c>
      <c r="K67" s="202" t="s">
        <v>9</v>
      </c>
      <c r="L67" s="202" t="s">
        <v>86</v>
      </c>
      <c r="M67" s="202" t="s">
        <v>810</v>
      </c>
      <c r="N67" s="200" t="s">
        <v>811</v>
      </c>
      <c r="O67" s="202" t="s">
        <v>9</v>
      </c>
      <c r="P67" s="202" t="s">
        <v>9</v>
      </c>
      <c r="Q67" s="202" t="s">
        <v>804</v>
      </c>
      <c r="R67" s="202" t="s">
        <v>693</v>
      </c>
      <c r="S67" s="202" t="s">
        <v>9</v>
      </c>
      <c r="T67" s="202" t="s">
        <v>9</v>
      </c>
      <c r="U67" s="182"/>
    </row>
    <row r="68" spans="1:21" s="81" customFormat="1" ht="13.5" customHeight="1" x14ac:dyDescent="0.2">
      <c r="A68" s="160" t="str">
        <f>CONCATENATE(RIGHT(D68,LEN(D68)-FIND(" ",D68)),LEFT(D68,4),G68,E68)</f>
        <v>ChannelAlum85.79</v>
      </c>
      <c r="B68" s="174"/>
      <c r="C68" s="194"/>
      <c r="D68" s="200" t="s">
        <v>805</v>
      </c>
      <c r="E68" s="203">
        <v>5.79</v>
      </c>
      <c r="F68" s="203">
        <v>0.25</v>
      </c>
      <c r="G68" s="201">
        <v>8</v>
      </c>
      <c r="H68" s="201"/>
      <c r="I68" s="201">
        <v>3.75</v>
      </c>
      <c r="J68" s="201">
        <v>0.41</v>
      </c>
      <c r="K68" s="202" t="s">
        <v>9</v>
      </c>
      <c r="L68" s="202" t="s">
        <v>86</v>
      </c>
      <c r="M68" s="202" t="s">
        <v>812</v>
      </c>
      <c r="N68" s="200" t="s">
        <v>813</v>
      </c>
      <c r="O68" s="202" t="s">
        <v>9</v>
      </c>
      <c r="P68" s="202" t="s">
        <v>9</v>
      </c>
      <c r="Q68" s="202" t="s">
        <v>804</v>
      </c>
      <c r="R68" s="202" t="s">
        <v>693</v>
      </c>
      <c r="S68" s="202" t="s">
        <v>9</v>
      </c>
      <c r="T68" s="202" t="s">
        <v>9</v>
      </c>
      <c r="U68" s="182"/>
    </row>
    <row r="69" spans="1:21" s="81" customFormat="1" ht="13.5" customHeight="1" thickBot="1" x14ac:dyDescent="0.25">
      <c r="A69" s="173" t="str">
        <f>CONCATENATE(E69,S69)</f>
        <v/>
      </c>
      <c r="B69" s="174"/>
      <c r="C69" s="194"/>
      <c r="D69" s="175"/>
      <c r="E69" s="204"/>
      <c r="F69" s="204"/>
      <c r="G69" s="204"/>
      <c r="H69" s="204"/>
      <c r="I69" s="198"/>
      <c r="J69" s="198"/>
      <c r="K69" s="181"/>
      <c r="L69" s="181"/>
      <c r="M69" s="181"/>
      <c r="N69" s="179"/>
      <c r="O69" s="181"/>
      <c r="P69" s="181"/>
      <c r="Q69" s="181"/>
      <c r="R69" s="181"/>
      <c r="S69" s="181"/>
      <c r="T69" s="181"/>
      <c r="U69" s="182"/>
    </row>
    <row r="70" spans="1:21" s="81" customFormat="1" ht="17.25" customHeight="1" thickTop="1" thickBot="1" x14ac:dyDescent="0.25">
      <c r="A70" s="272" t="str">
        <f>CONCATENATE(E70,S70)</f>
        <v/>
      </c>
      <c r="B70" s="174"/>
      <c r="C70" s="184"/>
      <c r="D70" s="185"/>
      <c r="E70" s="186"/>
      <c r="F70" s="186"/>
      <c r="G70" s="186"/>
      <c r="H70" s="186"/>
      <c r="I70" s="186"/>
      <c r="J70" s="186"/>
      <c r="K70" s="187"/>
      <c r="L70" s="187"/>
      <c r="M70" s="187"/>
      <c r="N70" s="185"/>
      <c r="O70" s="187"/>
      <c r="P70" s="187"/>
      <c r="Q70" s="187"/>
      <c r="R70" s="187"/>
      <c r="S70" s="187"/>
      <c r="T70" s="127"/>
      <c r="U70" s="182"/>
    </row>
    <row r="71" spans="1:21" s="81" customFormat="1" ht="17.25" customHeight="1" thickTop="1" thickBot="1" x14ac:dyDescent="0.3">
      <c r="A71" s="173" t="str">
        <f>CONCATENATE(E71,S71)</f>
        <v/>
      </c>
      <c r="B71" s="174"/>
      <c r="C71" s="195" t="s">
        <v>814</v>
      </c>
      <c r="D71" s="189"/>
      <c r="E71" s="190"/>
      <c r="F71" s="190"/>
      <c r="G71" s="190"/>
      <c r="H71" s="190"/>
      <c r="I71" s="190"/>
      <c r="J71" s="190"/>
      <c r="N71" s="189"/>
      <c r="T71" s="149"/>
      <c r="U71" s="182"/>
    </row>
    <row r="72" spans="1:21" s="81" customFormat="1" ht="13.5" customHeight="1" thickTop="1" x14ac:dyDescent="0.2">
      <c r="A72" s="152" t="str">
        <f>CONCATENATE(RIGHT(D72,LEN(D72)-FIND(" ",D72)),LEFT(D72,3),G72,E72)</f>
        <v>ChannelSST68.27</v>
      </c>
      <c r="B72" s="174"/>
      <c r="C72" s="194"/>
      <c r="D72" s="191" t="s">
        <v>815</v>
      </c>
      <c r="E72" s="155">
        <v>8.27</v>
      </c>
      <c r="F72" s="155">
        <v>0.19</v>
      </c>
      <c r="G72" s="155">
        <v>6</v>
      </c>
      <c r="H72" s="155"/>
      <c r="I72" s="155">
        <v>1.92</v>
      </c>
      <c r="J72" s="156" t="s">
        <v>9</v>
      </c>
      <c r="K72" s="156" t="s">
        <v>9</v>
      </c>
      <c r="L72" s="156" t="s">
        <v>86</v>
      </c>
      <c r="M72" s="156" t="s">
        <v>816</v>
      </c>
      <c r="N72" s="191" t="s">
        <v>817</v>
      </c>
      <c r="O72" s="156" t="s">
        <v>9</v>
      </c>
      <c r="P72" s="205" t="s">
        <v>9</v>
      </c>
      <c r="Q72" s="156" t="s">
        <v>750</v>
      </c>
      <c r="R72" s="156" t="s">
        <v>693</v>
      </c>
      <c r="S72" s="156" t="s">
        <v>9</v>
      </c>
      <c r="T72" s="156" t="s">
        <v>9</v>
      </c>
      <c r="U72" s="57"/>
    </row>
    <row r="73" spans="1:21" s="81" customFormat="1" ht="13.5" customHeight="1" x14ac:dyDescent="0.2">
      <c r="A73" s="160" t="str">
        <f>CONCATENATE(RIGHT(D73,LEN(D73)-FIND(" ",D73)),LEFT(D73,3),G73,E73)</f>
        <v>ChannelSST818.8</v>
      </c>
      <c r="B73" s="174"/>
      <c r="C73" s="194"/>
      <c r="D73" s="168" t="s">
        <v>815</v>
      </c>
      <c r="E73" s="163">
        <v>18.8</v>
      </c>
      <c r="F73" s="163">
        <v>0.48699999999999999</v>
      </c>
      <c r="G73" s="163">
        <v>8</v>
      </c>
      <c r="H73" s="163"/>
      <c r="I73" s="163">
        <v>2.5270000000000001</v>
      </c>
      <c r="J73" s="167" t="s">
        <v>9</v>
      </c>
      <c r="K73" s="167" t="s">
        <v>9</v>
      </c>
      <c r="L73" s="167" t="s">
        <v>86</v>
      </c>
      <c r="M73" s="167" t="s">
        <v>818</v>
      </c>
      <c r="N73" s="168" t="s">
        <v>819</v>
      </c>
      <c r="O73" s="167" t="s">
        <v>9</v>
      </c>
      <c r="P73" s="206" t="s">
        <v>9</v>
      </c>
      <c r="Q73" s="202" t="s">
        <v>750</v>
      </c>
      <c r="R73" s="202" t="s">
        <v>693</v>
      </c>
      <c r="S73" s="167" t="s">
        <v>9</v>
      </c>
      <c r="T73" s="164" t="s">
        <v>9</v>
      </c>
      <c r="U73" s="57"/>
    </row>
    <row r="74" spans="1:21" s="145" customFormat="1" ht="13.5" customHeight="1" x14ac:dyDescent="0.2">
      <c r="A74" s="160" t="str">
        <f>CONCATENATE(RIGHT(D74,LEN(D74)-FIND(" ",D74)),LEFT(D74,3),G74,I74,F74)</f>
        <v>TubingSST110.065</v>
      </c>
      <c r="B74" s="139"/>
      <c r="C74" s="170"/>
      <c r="D74" s="161" t="s">
        <v>820</v>
      </c>
      <c r="E74" s="162">
        <v>0.82699999999999996</v>
      </c>
      <c r="F74" s="207">
        <v>6.5000000000000002E-2</v>
      </c>
      <c r="G74" s="162">
        <v>1</v>
      </c>
      <c r="H74" s="162"/>
      <c r="I74" s="162">
        <v>1</v>
      </c>
      <c r="J74" s="164" t="s">
        <v>9</v>
      </c>
      <c r="K74" s="164" t="s">
        <v>9</v>
      </c>
      <c r="L74" s="164" t="s">
        <v>86</v>
      </c>
      <c r="M74" s="164" t="s">
        <v>821</v>
      </c>
      <c r="N74" s="161" t="s">
        <v>822</v>
      </c>
      <c r="O74" s="164" t="s">
        <v>737</v>
      </c>
      <c r="P74" s="164" t="s">
        <v>9</v>
      </c>
      <c r="Q74" s="202" t="s">
        <v>692</v>
      </c>
      <c r="R74" s="167" t="s">
        <v>693</v>
      </c>
      <c r="S74" s="164" t="s">
        <v>9</v>
      </c>
      <c r="T74" s="164" t="s">
        <v>9</v>
      </c>
      <c r="U74" s="144"/>
    </row>
    <row r="75" spans="1:21" s="81" customFormat="1" ht="13.5" customHeight="1" thickBot="1" x14ac:dyDescent="0.25">
      <c r="A75" s="173" t="str">
        <f>CONCATENATE(E75,S75)</f>
        <v/>
      </c>
      <c r="B75" s="174"/>
      <c r="C75" s="153"/>
      <c r="D75" s="175"/>
      <c r="E75" s="208"/>
      <c r="F75" s="176"/>
      <c r="G75" s="176"/>
      <c r="H75" s="176"/>
      <c r="I75" s="176"/>
      <c r="J75" s="176"/>
      <c r="K75" s="177"/>
      <c r="L75" s="177"/>
      <c r="M75" s="177"/>
      <c r="N75" s="175"/>
      <c r="O75" s="177"/>
      <c r="P75" s="177"/>
      <c r="Q75" s="209"/>
      <c r="R75" s="209"/>
      <c r="S75" s="177"/>
      <c r="T75" s="181"/>
    </row>
    <row r="76" spans="1:21" s="81" customFormat="1" ht="16.5" customHeight="1" thickTop="1" thickBot="1" x14ac:dyDescent="0.25">
      <c r="A76" s="272"/>
      <c r="B76" s="174"/>
      <c r="C76" s="184"/>
      <c r="D76" s="273"/>
      <c r="E76" s="274"/>
      <c r="F76" s="275"/>
      <c r="G76" s="275"/>
      <c r="H76" s="275"/>
      <c r="I76" s="275"/>
      <c r="J76" s="275"/>
      <c r="K76" s="276"/>
      <c r="L76" s="276"/>
      <c r="M76" s="276"/>
      <c r="N76" s="273"/>
      <c r="O76" s="276"/>
      <c r="P76" s="276"/>
      <c r="Q76" s="276"/>
      <c r="R76" s="276"/>
      <c r="S76" s="276"/>
      <c r="T76" s="223"/>
    </row>
    <row r="77" spans="1:21" s="81" customFormat="1" ht="17.25" customHeight="1" thickTop="1" thickBot="1" x14ac:dyDescent="0.3">
      <c r="A77" s="173" t="str">
        <f>CONCATENATE(E77,S77)</f>
        <v/>
      </c>
      <c r="B77" s="174"/>
      <c r="C77" s="195" t="s">
        <v>865</v>
      </c>
      <c r="D77" s="189"/>
      <c r="E77" s="190"/>
      <c r="F77" s="190"/>
      <c r="G77" s="190"/>
      <c r="H77" s="190"/>
      <c r="I77" s="190"/>
      <c r="J77" s="190"/>
      <c r="N77" s="189"/>
      <c r="T77" s="149"/>
      <c r="U77" s="182"/>
    </row>
    <row r="78" spans="1:21" s="81" customFormat="1" ht="13.5" customHeight="1" thickTop="1" thickBot="1" x14ac:dyDescent="0.25">
      <c r="A78" s="152" t="str">
        <f>CONCATENATE(RIGHT(D78,LEN(D78)-FIND(" ",D78)),I78)</f>
        <v>Rebar0.5</v>
      </c>
      <c r="B78" s="174"/>
      <c r="C78" s="194"/>
      <c r="D78" s="191" t="s">
        <v>865</v>
      </c>
      <c r="E78" s="277">
        <v>0.66800000000000004</v>
      </c>
      <c r="F78" s="277" t="s">
        <v>9</v>
      </c>
      <c r="G78" s="277" t="s">
        <v>9</v>
      </c>
      <c r="H78" s="277"/>
      <c r="I78" s="277">
        <v>0.5</v>
      </c>
      <c r="J78" s="278" t="s">
        <v>9</v>
      </c>
      <c r="K78" s="278" t="s">
        <v>9</v>
      </c>
      <c r="L78" s="278" t="s">
        <v>86</v>
      </c>
      <c r="M78" s="278" t="s">
        <v>868</v>
      </c>
      <c r="N78" s="279" t="s">
        <v>866</v>
      </c>
      <c r="O78" s="278" t="s">
        <v>9</v>
      </c>
      <c r="P78" s="280" t="s">
        <v>9</v>
      </c>
      <c r="Q78" s="278" t="s">
        <v>750</v>
      </c>
      <c r="R78" s="278" t="s">
        <v>693</v>
      </c>
      <c r="S78" s="278" t="s">
        <v>9</v>
      </c>
      <c r="T78" s="278" t="s">
        <v>9</v>
      </c>
      <c r="U78" s="57"/>
    </row>
    <row r="79" spans="1:21" s="81" customFormat="1" ht="17.25" customHeight="1" thickTop="1" thickBot="1" x14ac:dyDescent="0.25">
      <c r="A79" s="210"/>
      <c r="B79" s="174"/>
      <c r="C79" s="184"/>
      <c r="D79" s="127"/>
      <c r="E79" s="187"/>
      <c r="F79" s="187"/>
      <c r="G79" s="187"/>
      <c r="H79" s="187"/>
      <c r="I79" s="187"/>
      <c r="J79" s="187"/>
      <c r="K79" s="187"/>
      <c r="L79" s="187"/>
      <c r="M79" s="187"/>
      <c r="N79" s="187"/>
      <c r="O79" s="187"/>
      <c r="P79" s="187"/>
      <c r="Q79" s="187"/>
      <c r="R79" s="187"/>
      <c r="S79" s="187"/>
      <c r="T79" s="223"/>
    </row>
    <row r="80" spans="1:21" s="81" customFormat="1" ht="13.5" customHeight="1" thickTop="1" x14ac:dyDescent="0.2">
      <c r="A80" s="211"/>
      <c r="B80" s="174"/>
      <c r="C80" s="212"/>
      <c r="D80" s="213"/>
      <c r="E80" s="189"/>
      <c r="F80" s="189"/>
      <c r="G80" s="189"/>
      <c r="H80" s="189"/>
      <c r="I80" s="189"/>
      <c r="J80" s="189"/>
      <c r="K80" s="189"/>
      <c r="L80" s="189"/>
      <c r="M80" s="189"/>
      <c r="N80" s="189"/>
      <c r="T80" s="214"/>
    </row>
    <row r="81" spans="1:20" s="81" customFormat="1" ht="13.5" customHeight="1" x14ac:dyDescent="0.2">
      <c r="A81" s="211"/>
      <c r="B81" s="174"/>
      <c r="C81" s="215"/>
      <c r="D81" s="216" t="s">
        <v>521</v>
      </c>
      <c r="E81" s="189"/>
      <c r="F81" s="217"/>
      <c r="G81" s="217"/>
      <c r="H81" s="217"/>
      <c r="I81" s="218"/>
      <c r="J81" s="218"/>
      <c r="K81" s="217"/>
      <c r="L81" s="217"/>
      <c r="M81" s="217"/>
      <c r="N81" s="217"/>
      <c r="O81" s="219"/>
      <c r="P81" s="219"/>
      <c r="Q81" s="219"/>
      <c r="R81" s="219"/>
      <c r="S81" s="219"/>
      <c r="T81" s="174"/>
    </row>
    <row r="82" spans="1:20" s="81" customFormat="1" ht="13.5" customHeight="1" x14ac:dyDescent="0.2">
      <c r="A82" s="211"/>
      <c r="B82" s="174"/>
      <c r="C82" s="212"/>
      <c r="D82" s="220" t="s">
        <v>522</v>
      </c>
      <c r="E82" s="189"/>
      <c r="F82" s="220"/>
      <c r="G82" s="220"/>
      <c r="H82" s="220"/>
      <c r="I82" s="221"/>
      <c r="J82" s="221"/>
      <c r="K82" s="220"/>
      <c r="L82" s="220"/>
      <c r="M82" s="220"/>
      <c r="N82" s="220"/>
      <c r="O82" s="149"/>
      <c r="P82" s="149"/>
      <c r="Q82" s="149"/>
      <c r="R82" s="149"/>
      <c r="S82" s="149"/>
      <c r="T82" s="174"/>
    </row>
    <row r="83" spans="1:20" s="81" customFormat="1" ht="13.5" customHeight="1" x14ac:dyDescent="0.2">
      <c r="A83" s="211"/>
      <c r="B83" s="174"/>
      <c r="C83" s="222"/>
      <c r="D83" s="213" t="s">
        <v>523</v>
      </c>
      <c r="E83" s="189"/>
      <c r="F83" s="220"/>
      <c r="G83" s="220"/>
      <c r="H83" s="220"/>
      <c r="I83" s="221"/>
      <c r="J83" s="221"/>
      <c r="K83" s="220"/>
      <c r="L83" s="220"/>
      <c r="M83" s="220"/>
      <c r="N83" s="220"/>
      <c r="O83" s="149"/>
      <c r="P83" s="149"/>
      <c r="Q83" s="149"/>
      <c r="R83" s="149"/>
      <c r="S83" s="149"/>
      <c r="T83" s="174"/>
    </row>
    <row r="84" spans="1:20" s="81" customFormat="1" ht="13.5" customHeight="1" x14ac:dyDescent="0.2">
      <c r="A84" s="211"/>
      <c r="B84" s="174"/>
      <c r="C84" s="212"/>
      <c r="D84" s="220" t="s">
        <v>524</v>
      </c>
      <c r="E84" s="189"/>
      <c r="F84" s="220"/>
      <c r="G84" s="220"/>
      <c r="H84" s="220"/>
      <c r="I84" s="221"/>
      <c r="J84" s="221"/>
      <c r="K84" s="220"/>
      <c r="L84" s="220"/>
      <c r="M84" s="220"/>
      <c r="N84" s="220"/>
      <c r="O84" s="149"/>
      <c r="P84" s="149"/>
      <c r="Q84" s="149"/>
      <c r="R84" s="149"/>
      <c r="S84" s="149"/>
      <c r="T84" s="174"/>
    </row>
    <row r="85" spans="1:20" s="81" customFormat="1" ht="13.5" customHeight="1" x14ac:dyDescent="0.2">
      <c r="A85" s="211"/>
      <c r="B85" s="174"/>
      <c r="C85" s="212"/>
      <c r="D85" s="217" t="s">
        <v>525</v>
      </c>
      <c r="E85" s="189"/>
      <c r="F85" s="217"/>
      <c r="G85" s="217"/>
      <c r="H85" s="217"/>
      <c r="I85" s="218"/>
      <c r="J85" s="218"/>
      <c r="K85" s="217"/>
      <c r="L85" s="217"/>
      <c r="M85" s="217"/>
      <c r="N85" s="217"/>
      <c r="O85" s="149"/>
      <c r="P85" s="149"/>
      <c r="Q85" s="149"/>
      <c r="R85" s="149"/>
      <c r="S85" s="149"/>
      <c r="T85" s="174"/>
    </row>
    <row r="86" spans="1:20" s="81" customFormat="1" ht="13.5" customHeight="1" thickBot="1" x14ac:dyDescent="0.25">
      <c r="A86" s="199"/>
      <c r="B86" s="223"/>
      <c r="C86" s="224"/>
      <c r="D86" s="185"/>
      <c r="E86" s="185"/>
      <c r="F86" s="185"/>
      <c r="G86" s="185"/>
      <c r="H86" s="185"/>
      <c r="I86" s="225"/>
      <c r="J86" s="225"/>
      <c r="K86" s="185"/>
      <c r="L86" s="185"/>
      <c r="M86" s="185"/>
      <c r="N86" s="185"/>
      <c r="O86" s="187"/>
      <c r="P86" s="187"/>
      <c r="Q86" s="187"/>
      <c r="R86" s="187"/>
      <c r="S86" s="187"/>
      <c r="T86" s="223"/>
    </row>
    <row r="87" spans="1:20" s="81" customFormat="1" ht="13.5" customHeight="1" thickTop="1" x14ac:dyDescent="0.2">
      <c r="I87" s="121"/>
      <c r="J87" s="121"/>
    </row>
    <row r="88" spans="1:20" s="81" customFormat="1" x14ac:dyDescent="0.2">
      <c r="I88" s="121"/>
      <c r="J88" s="121"/>
    </row>
    <row r="89" spans="1:20" s="81" customFormat="1" x14ac:dyDescent="0.2">
      <c r="I89" s="121"/>
      <c r="J89" s="121"/>
    </row>
    <row r="90" spans="1:20" x14ac:dyDescent="0.2">
      <c r="F90" s="121"/>
      <c r="I90" s="81"/>
      <c r="J90" s="81"/>
      <c r="K90" s="78"/>
      <c r="L90" s="78"/>
      <c r="M90" s="78"/>
      <c r="R90" s="78"/>
    </row>
    <row r="91" spans="1:20" x14ac:dyDescent="0.2">
      <c r="F91" s="121"/>
      <c r="I91" s="81"/>
      <c r="J91" s="81"/>
      <c r="K91" s="78"/>
      <c r="L91" s="78"/>
      <c r="M91" s="78"/>
      <c r="R91" s="78"/>
    </row>
    <row r="92" spans="1:20" x14ac:dyDescent="0.2">
      <c r="F92" s="121"/>
      <c r="I92" s="81"/>
      <c r="J92" s="81"/>
      <c r="K92" s="78"/>
      <c r="L92" s="78"/>
      <c r="M92" s="78"/>
      <c r="R92" s="78"/>
    </row>
    <row r="93" spans="1:20" x14ac:dyDescent="0.2">
      <c r="F93" s="121"/>
      <c r="I93" s="81"/>
      <c r="J93" s="81"/>
      <c r="K93" s="78"/>
      <c r="L93" s="78"/>
      <c r="M93" s="78"/>
      <c r="R93" s="78"/>
    </row>
    <row r="94" spans="1:20" x14ac:dyDescent="0.2">
      <c r="F94" s="121"/>
      <c r="I94" s="81"/>
      <c r="J94" s="81"/>
      <c r="K94" s="78"/>
      <c r="L94" s="78"/>
      <c r="M94" s="78"/>
      <c r="R94" s="78"/>
    </row>
    <row r="95" spans="1:20" x14ac:dyDescent="0.2">
      <c r="F95" s="121"/>
      <c r="I95" s="81"/>
      <c r="J95" s="81"/>
      <c r="K95" s="78"/>
      <c r="L95" s="78"/>
      <c r="M95" s="78"/>
      <c r="R95" s="78"/>
    </row>
    <row r="96" spans="1:20" x14ac:dyDescent="0.2">
      <c r="R96" s="78"/>
    </row>
    <row r="97" spans="18:18" x14ac:dyDescent="0.2">
      <c r="R97" s="78"/>
    </row>
    <row r="98" spans="18:18" x14ac:dyDescent="0.2">
      <c r="R98" s="78"/>
    </row>
  </sheetData>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autoPageBreaks="0"/>
  </sheetPr>
  <dimension ref="A1:E5"/>
  <sheetViews>
    <sheetView zoomScale="85" zoomScaleNormal="85" workbookViewId="0">
      <selection activeCell="F18" sqref="F18"/>
    </sheetView>
  </sheetViews>
  <sheetFormatPr defaultColWidth="9.140625" defaultRowHeight="12" customHeight="1" x14ac:dyDescent="0.2"/>
  <cols>
    <col min="1" max="1" width="9" style="7" customWidth="1"/>
    <col min="2" max="2" width="10.5703125" style="7" bestFit="1" customWidth="1"/>
    <col min="3" max="3" width="59.85546875" style="7" customWidth="1"/>
    <col min="4" max="4" width="14.85546875" style="7" customWidth="1"/>
    <col min="5" max="5" width="12.5703125" style="7" bestFit="1" customWidth="1"/>
    <col min="6" max="16384" width="9.140625" style="7"/>
  </cols>
  <sheetData>
    <row r="1" spans="1:5" ht="12" customHeight="1" thickBot="1" x14ac:dyDescent="0.25">
      <c r="A1" s="8" t="s">
        <v>5</v>
      </c>
      <c r="B1" s="9" t="s">
        <v>6</v>
      </c>
      <c r="C1" s="9" t="s">
        <v>7</v>
      </c>
      <c r="D1" s="9" t="s">
        <v>8</v>
      </c>
      <c r="E1" s="10" t="s">
        <v>11</v>
      </c>
    </row>
    <row r="2" spans="1:5" ht="12" customHeight="1" x14ac:dyDescent="0.2">
      <c r="A2" s="500" t="s">
        <v>9</v>
      </c>
      <c r="B2" s="501">
        <v>42262</v>
      </c>
      <c r="C2" s="502" t="s">
        <v>12</v>
      </c>
      <c r="D2" s="503" t="s">
        <v>13</v>
      </c>
      <c r="E2" s="504" t="s">
        <v>992</v>
      </c>
    </row>
    <row r="3" spans="1:5" ht="12" customHeight="1" x14ac:dyDescent="0.2">
      <c r="A3" s="14" t="s">
        <v>1001</v>
      </c>
      <c r="B3" s="505">
        <v>43628</v>
      </c>
      <c r="C3" s="506" t="s">
        <v>1002</v>
      </c>
      <c r="D3" s="507" t="s">
        <v>1003</v>
      </c>
      <c r="E3" s="508" t="s">
        <v>1004</v>
      </c>
    </row>
    <row r="4" spans="1:5" ht="12" customHeight="1" x14ac:dyDescent="0.2">
      <c r="A4" s="526" t="s">
        <v>1005</v>
      </c>
      <c r="B4" s="527">
        <v>45183</v>
      </c>
      <c r="C4" s="25" t="s">
        <v>1010</v>
      </c>
      <c r="D4" s="526" t="s">
        <v>1006</v>
      </c>
      <c r="E4" s="526" t="s">
        <v>1007</v>
      </c>
    </row>
    <row r="5" spans="1:5" ht="12" customHeight="1" x14ac:dyDescent="0.2">
      <c r="A5" s="511" t="s">
        <v>1054</v>
      </c>
      <c r="B5" s="512">
        <v>45334</v>
      </c>
      <c r="C5" s="513" t="s">
        <v>1055</v>
      </c>
      <c r="D5" s="511" t="s">
        <v>1006</v>
      </c>
      <c r="E5" s="511" t="s">
        <v>1056</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293</vt:i4>
      </vt:variant>
    </vt:vector>
  </HeadingPairs>
  <TitlesOfParts>
    <vt:vector size="304" baseType="lpstr">
      <vt:lpstr>Sheet1</vt:lpstr>
      <vt:lpstr>Data</vt:lpstr>
      <vt:lpstr>Excel Calcs</vt:lpstr>
      <vt:lpstr>Fan Data</vt:lpstr>
      <vt:lpstr>Channel Loc</vt:lpstr>
      <vt:lpstr>Isolator Plate</vt:lpstr>
      <vt:lpstr>Iso Sup Angle</vt:lpstr>
      <vt:lpstr>Hole Sizes</vt:lpstr>
      <vt:lpstr>Material List</vt:lpstr>
      <vt:lpstr>Steel List</vt:lpstr>
      <vt:lpstr>Revision List</vt:lpstr>
      <vt:lpstr>Construction</vt:lpstr>
      <vt:lpstr>ERRORS</vt:lpstr>
      <vt:lpstr>FAN_A</vt:lpstr>
      <vt:lpstr>FAN_B</vt:lpstr>
      <vt:lpstr>Fan_Data_Column_Names</vt:lpstr>
      <vt:lpstr>Fan_Data_Table</vt:lpstr>
      <vt:lpstr>FAN_DC</vt:lpstr>
      <vt:lpstr>FAN_Q</vt:lpstr>
      <vt:lpstr>FAN_X_LOCATION</vt:lpstr>
      <vt:lpstr>FANDISCHARGELOC</vt:lpstr>
      <vt:lpstr>FANSIZE</vt:lpstr>
      <vt:lpstr>FanStndStrBasePadThk</vt:lpstr>
      <vt:lpstr>FLOOR_CHAN_1_X_ARRAY_OFFSET</vt:lpstr>
      <vt:lpstr>FLOOR_CHAN_1_X_ARRAY_QTY</vt:lpstr>
      <vt:lpstr>FLOOR_CHAN_1_X_ARRAY_SPACING</vt:lpstr>
      <vt:lpstr>FLOOR_CHAN_1_Z_LOC</vt:lpstr>
      <vt:lpstr>FLOOR_CHAN_10_X_ARRAY_OFFSET</vt:lpstr>
      <vt:lpstr>FLOOR_CHAN_10_X_ARRAY_QTY</vt:lpstr>
      <vt:lpstr>FLOOR_CHAN_10_X_ARRAY_SPACING</vt:lpstr>
      <vt:lpstr>FLOOR_CHAN_10_Z_LOC</vt:lpstr>
      <vt:lpstr>FLOOR_CHAN_11_X_ARRAY_OFFSET</vt:lpstr>
      <vt:lpstr>FLOOR_CHAN_11_X_ARRAY_QTY</vt:lpstr>
      <vt:lpstr>FLOOR_CHAN_11_X_ARRAY_SPACING</vt:lpstr>
      <vt:lpstr>FLOOR_CHAN_11_Z_LOC</vt:lpstr>
      <vt:lpstr>FLOOR_CHAN_12_X_ARRAY_OFFSET</vt:lpstr>
      <vt:lpstr>FLOOR_CHAN_12_X_ARRAY_QTY</vt:lpstr>
      <vt:lpstr>FLOOR_CHAN_12_X_ARRAY_SPACING</vt:lpstr>
      <vt:lpstr>FLOOR_CHAN_12_Z_LOC</vt:lpstr>
      <vt:lpstr>FLOOR_CHAN_13_X_ARRAY_OFFSET</vt:lpstr>
      <vt:lpstr>FLOOR_CHAN_13_X_ARRAY_QTY</vt:lpstr>
      <vt:lpstr>FLOOR_CHAN_13_X_ARRAY_SPACING</vt:lpstr>
      <vt:lpstr>FLOOR_CHAN_13_Z_LOC</vt:lpstr>
      <vt:lpstr>FLOOR_CHAN_14_X_ARRAY_OFFSET</vt:lpstr>
      <vt:lpstr>FLOOR_CHAN_14_X_ARRAY_QTY</vt:lpstr>
      <vt:lpstr>FLOOR_CHAN_14_X_ARRAY_SPACING</vt:lpstr>
      <vt:lpstr>FLOOR_CHAN_14_Z_LOC</vt:lpstr>
      <vt:lpstr>FLOOR_CHAN_15_X_ARRAY_OFFSET</vt:lpstr>
      <vt:lpstr>FLOOR_CHAN_15_X_ARRAY_QTY</vt:lpstr>
      <vt:lpstr>FLOOR_CHAN_15_X_ARRAY_SPACING</vt:lpstr>
      <vt:lpstr>FLOOR_CHAN_15_Z_LOC</vt:lpstr>
      <vt:lpstr>FLOOR_CHAN_16_X_ARRAY_OFFSET</vt:lpstr>
      <vt:lpstr>FLOOR_CHAN_16_X_ARRAY_QTY</vt:lpstr>
      <vt:lpstr>FLOOR_CHAN_16_X_ARRAY_SPACING</vt:lpstr>
      <vt:lpstr>FLOOR_CHAN_16_Z_LOC</vt:lpstr>
      <vt:lpstr>FLOOR_CHAN_17_X_ARRAY_OFFSET</vt:lpstr>
      <vt:lpstr>FLOOR_CHAN_17_X_ARRAY_QTY</vt:lpstr>
      <vt:lpstr>FLOOR_CHAN_17_X_ARRAY_SPACING</vt:lpstr>
      <vt:lpstr>FLOOR_CHAN_17_Z_LOC</vt:lpstr>
      <vt:lpstr>FLOOR_CHAN_18_X_ARRAY_OFFSET</vt:lpstr>
      <vt:lpstr>FLOOR_CHAN_18_X_ARRAY_QTY</vt:lpstr>
      <vt:lpstr>FLOOR_CHAN_18_X_ARRAY_SPACING</vt:lpstr>
      <vt:lpstr>FLOOR_CHAN_18_Z_LOC</vt:lpstr>
      <vt:lpstr>FLOOR_CHAN_19_X_ARRAY_OFFSET</vt:lpstr>
      <vt:lpstr>FLOOR_CHAN_19_X_ARRAY_QTY</vt:lpstr>
      <vt:lpstr>FLOOR_CHAN_19_X_ARRAY_SPACING</vt:lpstr>
      <vt:lpstr>FLOOR_CHAN_19_Z_LOC</vt:lpstr>
      <vt:lpstr>FLOOR_CHAN_2_X_ARRAY_OFFSET</vt:lpstr>
      <vt:lpstr>FLOOR_CHAN_2_X_ARRAY_QTY</vt:lpstr>
      <vt:lpstr>FLOOR_CHAN_2_X_ARRAY_SPACING</vt:lpstr>
      <vt:lpstr>FLOOR_CHAN_2_Z_LOC</vt:lpstr>
      <vt:lpstr>FLOOR_CHAN_20_X_ARRAY_OFFSET</vt:lpstr>
      <vt:lpstr>FLOOR_CHAN_20_X_ARRAY_QTY</vt:lpstr>
      <vt:lpstr>FLOOR_CHAN_20_X_ARRAY_SPACING</vt:lpstr>
      <vt:lpstr>FLOOR_CHAN_20_Z_LOC</vt:lpstr>
      <vt:lpstr>FLOOR_CHAN_3_X_ARRAY_OFFSET</vt:lpstr>
      <vt:lpstr>FLOOR_CHAN_3_X_ARRAY_QTY</vt:lpstr>
      <vt:lpstr>FLOOR_CHAN_3_X_ARRAY_SPACING</vt:lpstr>
      <vt:lpstr>FLOOR_CHAN_3_Z_LOC</vt:lpstr>
      <vt:lpstr>FLOOR_CHAN_4_X_ARRAY_OFFSET</vt:lpstr>
      <vt:lpstr>FLOOR_CHAN_4_X_ARRAY_QTY</vt:lpstr>
      <vt:lpstr>FLOOR_CHAN_4_X_ARRAY_SPACING</vt:lpstr>
      <vt:lpstr>FLOOR_CHAN_4_Z_LOC</vt:lpstr>
      <vt:lpstr>FLOOR_CHAN_5_X_ARRAY_OFFSET</vt:lpstr>
      <vt:lpstr>FLOOR_CHAN_5_X_ARRAY_QTY</vt:lpstr>
      <vt:lpstr>FLOOR_CHAN_5_X_ARRAY_SPACING</vt:lpstr>
      <vt:lpstr>FLOOR_CHAN_5_Z_LOC</vt:lpstr>
      <vt:lpstr>FLOOR_CHAN_6_X_ARRAY_OFFSET</vt:lpstr>
      <vt:lpstr>FLOOR_CHAN_6_X_ARRAY_QTY</vt:lpstr>
      <vt:lpstr>FLOOR_CHAN_6_X_ARRAY_SPACING</vt:lpstr>
      <vt:lpstr>FLOOR_CHAN_6_Z_LOC</vt:lpstr>
      <vt:lpstr>FLOOR_CHAN_7_X_ARRAY_OFFSET</vt:lpstr>
      <vt:lpstr>FLOOR_CHAN_7_X_ARRAY_QTY</vt:lpstr>
      <vt:lpstr>FLOOR_CHAN_7_X_ARRAY_SPACING</vt:lpstr>
      <vt:lpstr>FLOOR_CHAN_7_Z_LOC</vt:lpstr>
      <vt:lpstr>FLOOR_CHAN_8_X_ARRAY_OFFSET</vt:lpstr>
      <vt:lpstr>FLOOR_CHAN_8_X_ARRAY_QTY</vt:lpstr>
      <vt:lpstr>FLOOR_CHAN_8_X_ARRAY_SPACING</vt:lpstr>
      <vt:lpstr>FLOOR_CHAN_8_Z_LOC</vt:lpstr>
      <vt:lpstr>FLOOR_CHAN_9_X_ARRAY_OFFSET</vt:lpstr>
      <vt:lpstr>FLOOR_CHAN_9_X_ARRAY_QTY</vt:lpstr>
      <vt:lpstr>FLOOR_CHAN_9_X_ARRAY_SPACING</vt:lpstr>
      <vt:lpstr>FLOOR_CHAN_9_Z_LOC</vt:lpstr>
      <vt:lpstr>IH</vt:lpstr>
      <vt:lpstr>INERTIA</vt:lpstr>
      <vt:lpstr>Isolator_Plate_Column_Names</vt:lpstr>
      <vt:lpstr>Isolator_Plate_Table</vt:lpstr>
      <vt:lpstr>Isolator_SupAng_Column_Names</vt:lpstr>
      <vt:lpstr>Isolator_SupAng_Table</vt:lpstr>
      <vt:lpstr>ISOLATORDEFLECTION</vt:lpstr>
      <vt:lpstr>IW</vt:lpstr>
      <vt:lpstr>LEFT_HAND_CHAN_1_Y_ARRAY_OFFSET</vt:lpstr>
      <vt:lpstr>LEFT_HAND_CHAN_1_Y_ARRAY_QTY</vt:lpstr>
      <vt:lpstr>LEFT_HAND_CHAN_1_Y_ARRAY_SPACING</vt:lpstr>
      <vt:lpstr>LEFT_HAND_CHAN_1_Z_LOC</vt:lpstr>
      <vt:lpstr>LEFT_HAND_CHAN_10_Y_ARRAY_OFFSET</vt:lpstr>
      <vt:lpstr>LEFT_HAND_CHAN_10_Y_ARRAY_QTY</vt:lpstr>
      <vt:lpstr>LEFT_HAND_CHAN_10_Y_ARRAY_SPACING</vt:lpstr>
      <vt:lpstr>LEFT_HAND_CHAN_10_Z_LOC</vt:lpstr>
      <vt:lpstr>LEFT_HAND_CHAN_2_Y_ARRAY_OFFSET</vt:lpstr>
      <vt:lpstr>LEFT_HAND_CHAN_2_Y_ARRAY_QTY</vt:lpstr>
      <vt:lpstr>LEFT_HAND_CHAN_2_Y_ARRAY_SPACING</vt:lpstr>
      <vt:lpstr>LEFT_HAND_CHAN_2_Z_LOC</vt:lpstr>
      <vt:lpstr>LEFT_HAND_CHAN_3_Y_ARRAY_OFFSET</vt:lpstr>
      <vt:lpstr>LEFT_HAND_CHAN_3_Y_ARRAY_QTY</vt:lpstr>
      <vt:lpstr>LEFT_HAND_CHAN_3_Y_ARRAY_SPACING</vt:lpstr>
      <vt:lpstr>LEFT_HAND_CHAN_3_Z_LOC</vt:lpstr>
      <vt:lpstr>LEFT_HAND_CHAN_4_Y_ARRAY_OFFSET</vt:lpstr>
      <vt:lpstr>LEFT_HAND_CHAN_4_Y_ARRAY_QTY</vt:lpstr>
      <vt:lpstr>LEFT_HAND_CHAN_4_Y_ARRAY_SPACING</vt:lpstr>
      <vt:lpstr>LEFT_HAND_CHAN_4_Z_LOC</vt:lpstr>
      <vt:lpstr>LEFT_HAND_CHAN_5_Y_ARRAY_OFFSET</vt:lpstr>
      <vt:lpstr>LEFT_HAND_CHAN_5_Y_ARRAY_QTY</vt:lpstr>
      <vt:lpstr>LEFT_HAND_CHAN_5_Y_ARRAY_SPACING</vt:lpstr>
      <vt:lpstr>LEFT_HAND_CHAN_5_Z_LOC</vt:lpstr>
      <vt:lpstr>LEFT_HAND_CHAN_6_Y_ARRAY_OFFSET</vt:lpstr>
      <vt:lpstr>LEFT_HAND_CHAN_6_Y_ARRAY_QTY</vt:lpstr>
      <vt:lpstr>LEFT_HAND_CHAN_6_Y_ARRAY_SPACING</vt:lpstr>
      <vt:lpstr>LEFT_HAND_CHAN_6_Z_LOC</vt:lpstr>
      <vt:lpstr>LEFT_HAND_CHAN_7_Y_ARRAY_OFFSET</vt:lpstr>
      <vt:lpstr>LEFT_HAND_CHAN_7_Y_ARRAY_QTY</vt:lpstr>
      <vt:lpstr>LEFT_HAND_CHAN_7_Y_ARRAY_SPACING</vt:lpstr>
      <vt:lpstr>LEFT_HAND_CHAN_7_Z_LOC</vt:lpstr>
      <vt:lpstr>LEFT_HAND_CHAN_8_Y_ARRAY_OFFSET</vt:lpstr>
      <vt:lpstr>LEFT_HAND_CHAN_8_Y_ARRAY_QTY</vt:lpstr>
      <vt:lpstr>LEFT_HAND_CHAN_8_Y_ARRAY_SPACING</vt:lpstr>
      <vt:lpstr>LEFT_HAND_CHAN_8_Z_LOC</vt:lpstr>
      <vt:lpstr>LEFT_HAND_CHAN_9_Y_ARRAY_OFFSET</vt:lpstr>
      <vt:lpstr>LEFT_HAND_CHAN_9_Y_ARRAY_QTY</vt:lpstr>
      <vt:lpstr>LEFT_HAND_CHAN_9_Y_ARRAY_SPACING</vt:lpstr>
      <vt:lpstr>LEFT_HAND_CHAN_9_Z_LOC</vt:lpstr>
      <vt:lpstr>MAT_CUT</vt:lpstr>
      <vt:lpstr>MAT_DESC</vt:lpstr>
      <vt:lpstr>MAT_DESG</vt:lpstr>
      <vt:lpstr>MAT_DEST</vt:lpstr>
      <vt:lpstr>MAT_DXF</vt:lpstr>
      <vt:lpstr>MAT_GA</vt:lpstr>
      <vt:lpstr>MAT_GRP</vt:lpstr>
      <vt:lpstr>MAT_HLSZ</vt:lpstr>
      <vt:lpstr>MAT_KEYT</vt:lpstr>
      <vt:lpstr>MAT_LOOKUP</vt:lpstr>
      <vt:lpstr>MAT_MINT</vt:lpstr>
      <vt:lpstr>MAT_PNUM</vt:lpstr>
      <vt:lpstr>MAT_RSTD</vt:lpstr>
      <vt:lpstr>MAT_STG</vt:lpstr>
      <vt:lpstr>MAT_TYPE</vt:lpstr>
      <vt:lpstr>MAT_UMSR</vt:lpstr>
      <vt:lpstr>MAT_XT</vt:lpstr>
      <vt:lpstr>MAT_YC</vt:lpstr>
      <vt:lpstr>Material_List_Column_Names</vt:lpstr>
      <vt:lpstr>Material_List_Table</vt:lpstr>
      <vt:lpstr>MaterialStyle</vt:lpstr>
      <vt:lpstr>PerfThkO</vt:lpstr>
      <vt:lpstr>Plate_Data_Column_Names</vt:lpstr>
      <vt:lpstr>PLT_D</vt:lpstr>
      <vt:lpstr>PLT_L</vt:lpstr>
      <vt:lpstr>PLT_T</vt:lpstr>
      <vt:lpstr>PLT_W</vt:lpstr>
      <vt:lpstr>RIGHT_HAND_CHAN_1_Y_ARRAY_OFFSET</vt:lpstr>
      <vt:lpstr>RIGHT_HAND_CHAN_1_Y_ARRAY_QTY</vt:lpstr>
      <vt:lpstr>RIGHT_HAND_CHAN_1_Y_ARRAY_SPACING</vt:lpstr>
      <vt:lpstr>RIGHT_HAND_CHAN_1_Z_LOC</vt:lpstr>
      <vt:lpstr>RIGHT_HAND_CHAN_10_Y_ARRAY_OFFSET</vt:lpstr>
      <vt:lpstr>RIGHT_HAND_CHAN_10_Y_ARRAY_QTY</vt:lpstr>
      <vt:lpstr>RIGHT_HAND_CHAN_10_Y_ARRAY_SPACING</vt:lpstr>
      <vt:lpstr>RIGHT_HAND_CHAN_10_Z_LOC</vt:lpstr>
      <vt:lpstr>RIGHT_HAND_CHAN_2_Y_ARRAY_OFFSET</vt:lpstr>
      <vt:lpstr>RIGHT_HAND_CHAN_2_Y_ARRAY_QTY</vt:lpstr>
      <vt:lpstr>RIGHT_HAND_CHAN_2_Y_ARRAY_SPACING</vt:lpstr>
      <vt:lpstr>RIGHT_HAND_CHAN_2_Z_LOC</vt:lpstr>
      <vt:lpstr>RIGHT_HAND_CHAN_3_Y_ARRAY_OFFSET</vt:lpstr>
      <vt:lpstr>RIGHT_HAND_CHAN_3_Y_ARRAY_QTY</vt:lpstr>
      <vt:lpstr>RIGHT_HAND_CHAN_3_Y_ARRAY_SPACING</vt:lpstr>
      <vt:lpstr>RIGHT_HAND_CHAN_3_Z_LOC</vt:lpstr>
      <vt:lpstr>RIGHT_HAND_CHAN_4_Y_ARRAY_OFFSET</vt:lpstr>
      <vt:lpstr>RIGHT_HAND_CHAN_4_Y_ARRAY_QTY</vt:lpstr>
      <vt:lpstr>RIGHT_HAND_CHAN_4_Y_ARRAY_SPACING</vt:lpstr>
      <vt:lpstr>RIGHT_HAND_CHAN_4_Z_LOC</vt:lpstr>
      <vt:lpstr>RIGHT_HAND_CHAN_5_Y_ARRAY_OFFSET</vt:lpstr>
      <vt:lpstr>RIGHT_HAND_CHAN_5_Y_ARRAY_QTY</vt:lpstr>
      <vt:lpstr>RIGHT_HAND_CHAN_5_Y_ARRAY_SPACING</vt:lpstr>
      <vt:lpstr>RIGHT_HAND_CHAN_5_Z_LOC</vt:lpstr>
      <vt:lpstr>RIGHT_HAND_CHAN_6_Y_ARRAY_OFFSET</vt:lpstr>
      <vt:lpstr>RIGHT_HAND_CHAN_6_Y_ARRAY_QTY</vt:lpstr>
      <vt:lpstr>RIGHT_HAND_CHAN_6_Y_ARRAY_SPACING</vt:lpstr>
      <vt:lpstr>RIGHT_HAND_CHAN_6_Z_LOC</vt:lpstr>
      <vt:lpstr>RIGHT_HAND_CHAN_7_Y_ARRAY_OFFSET</vt:lpstr>
      <vt:lpstr>RIGHT_HAND_CHAN_7_Y_ARRAY_QTY</vt:lpstr>
      <vt:lpstr>RIGHT_HAND_CHAN_7_Y_ARRAY_SPACING</vt:lpstr>
      <vt:lpstr>RIGHT_HAND_CHAN_7_Z_LOC</vt:lpstr>
      <vt:lpstr>RIGHT_HAND_CHAN_8_Y_ARRAY_OFFSET</vt:lpstr>
      <vt:lpstr>RIGHT_HAND_CHAN_8_Y_ARRAY_QTY</vt:lpstr>
      <vt:lpstr>RIGHT_HAND_CHAN_8_Y_ARRAY_SPACING</vt:lpstr>
      <vt:lpstr>RIGHT_HAND_CHAN_8_Z_LOC</vt:lpstr>
      <vt:lpstr>RIGHT_HAND_CHAN_9_Y_ARRAY_OFFSET</vt:lpstr>
      <vt:lpstr>RIGHT_HAND_CHAN_9_Y_ARRAY_QTY</vt:lpstr>
      <vt:lpstr>RIGHT_HAND_CHAN_9_Y_ARRAY_SPACING</vt:lpstr>
      <vt:lpstr>RIGHT_HAND_CHAN_9_Z_LOC</vt:lpstr>
      <vt:lpstr>ROOF_CHAN_1_X_ARRAY_OFFSET</vt:lpstr>
      <vt:lpstr>ROOF_CHAN_1_X_ARRAY_QTY</vt:lpstr>
      <vt:lpstr>ROOF_CHAN_1_X_ARRAY_SPACING</vt:lpstr>
      <vt:lpstr>ROOF_CHAN_1_Z_LOC</vt:lpstr>
      <vt:lpstr>ROOF_CHAN_10_X_ARRAY_OFFSET</vt:lpstr>
      <vt:lpstr>ROOF_CHAN_10_X_ARRAY_QTY</vt:lpstr>
      <vt:lpstr>ROOF_CHAN_10_X_ARRAY_SPACING</vt:lpstr>
      <vt:lpstr>ROOF_CHAN_10_Z_LOC</vt:lpstr>
      <vt:lpstr>ROOF_CHAN_11_X_ARRAY_OFFSET</vt:lpstr>
      <vt:lpstr>ROOF_CHAN_11_X_ARRAY_QTY</vt:lpstr>
      <vt:lpstr>ROOF_CHAN_11_X_ARRAY_SPACING</vt:lpstr>
      <vt:lpstr>ROOF_CHAN_11_Z_LOC</vt:lpstr>
      <vt:lpstr>ROOF_CHAN_12_X_ARRAY_OFFSET</vt:lpstr>
      <vt:lpstr>ROOF_CHAN_12_X_ARRAY_QTY</vt:lpstr>
      <vt:lpstr>ROOF_CHAN_12_X_ARRAY_SPACING</vt:lpstr>
      <vt:lpstr>ROOF_CHAN_12_Z_LOC</vt:lpstr>
      <vt:lpstr>ROOF_CHAN_13_X_ARRAY_OFFSET</vt:lpstr>
      <vt:lpstr>ROOF_CHAN_13_X_ARRAY_QTY</vt:lpstr>
      <vt:lpstr>ROOF_CHAN_13_X_ARRAY_SPACING</vt:lpstr>
      <vt:lpstr>ROOF_CHAN_13_Z_LOC</vt:lpstr>
      <vt:lpstr>ROOF_CHAN_14_X_ARRAY_OFFSET</vt:lpstr>
      <vt:lpstr>ROOF_CHAN_14_X_ARRAY_QTY</vt:lpstr>
      <vt:lpstr>ROOF_CHAN_14_X_ARRAY_SPACING</vt:lpstr>
      <vt:lpstr>ROOF_CHAN_14_Z_LOC</vt:lpstr>
      <vt:lpstr>ROOF_CHAN_15_X_ARRAY_OFFSET</vt:lpstr>
      <vt:lpstr>ROOF_CHAN_15_X_ARRAY_QTY</vt:lpstr>
      <vt:lpstr>ROOF_CHAN_15_X_ARRAY_SPACING</vt:lpstr>
      <vt:lpstr>ROOF_CHAN_15_Z_LOC</vt:lpstr>
      <vt:lpstr>ROOF_CHAN_2_X_ARRAY_OFFSET</vt:lpstr>
      <vt:lpstr>ROOF_CHAN_2_X_ARRAY_QTY</vt:lpstr>
      <vt:lpstr>ROOF_CHAN_2_X_ARRAY_SPACING</vt:lpstr>
      <vt:lpstr>ROOF_CHAN_2_Z_LOC</vt:lpstr>
      <vt:lpstr>ROOF_CHAN_3_X_ARRAY_OFFSET</vt:lpstr>
      <vt:lpstr>ROOF_CHAN_3_X_ARRAY_QTY</vt:lpstr>
      <vt:lpstr>ROOF_CHAN_3_X_ARRAY_SPACING</vt:lpstr>
      <vt:lpstr>ROOF_CHAN_3_Z_LOC</vt:lpstr>
      <vt:lpstr>ROOF_CHAN_4_X_ARRAY_OFFSET</vt:lpstr>
      <vt:lpstr>ROOF_CHAN_4_X_ARRAY_QTY</vt:lpstr>
      <vt:lpstr>ROOF_CHAN_4_X_ARRAY_SPACING</vt:lpstr>
      <vt:lpstr>ROOF_CHAN_4_Z_LOC</vt:lpstr>
      <vt:lpstr>ROOF_CHAN_5_X_ARRAY_OFFSET</vt:lpstr>
      <vt:lpstr>ROOF_CHAN_5_X_ARRAY_QTY</vt:lpstr>
      <vt:lpstr>ROOF_CHAN_5_X_ARRAY_SPACING</vt:lpstr>
      <vt:lpstr>ROOF_CHAN_5_Z_LOC</vt:lpstr>
      <vt:lpstr>ROOF_CHAN_6_X_ARRAY_OFFSET</vt:lpstr>
      <vt:lpstr>ROOF_CHAN_6_X_ARRAY_QTY</vt:lpstr>
      <vt:lpstr>ROOF_CHAN_6_X_ARRAY_SPACING</vt:lpstr>
      <vt:lpstr>ROOF_CHAN_6_Z_LOC</vt:lpstr>
      <vt:lpstr>ROOF_CHAN_7_X_ARRAY_OFFSET</vt:lpstr>
      <vt:lpstr>ROOF_CHAN_7_X_ARRAY_QTY</vt:lpstr>
      <vt:lpstr>ROOF_CHAN_7_X_ARRAY_SPACING</vt:lpstr>
      <vt:lpstr>ROOF_CHAN_7_Z_LOC</vt:lpstr>
      <vt:lpstr>ROOF_CHAN_8_X_ARRAY_OFFSET</vt:lpstr>
      <vt:lpstr>ROOF_CHAN_8_X_ARRAY_QTY</vt:lpstr>
      <vt:lpstr>ROOF_CHAN_8_X_ARRAY_SPACING</vt:lpstr>
      <vt:lpstr>ROOF_CHAN_8_Z_LOC</vt:lpstr>
      <vt:lpstr>ROOF_CHAN_9_X_ARRAY_OFFSET</vt:lpstr>
      <vt:lpstr>ROOF_CHAN_9_X_ARRAY_QTY</vt:lpstr>
      <vt:lpstr>ROOF_CHAN_9_X_ARRAY_SPACING</vt:lpstr>
      <vt:lpstr>ROOF_CHAN_9_Z_LOC</vt:lpstr>
      <vt:lpstr>SEISMIC</vt:lpstr>
      <vt:lpstr>Steel_List_Column_Names</vt:lpstr>
      <vt:lpstr>Steel_List_Table</vt:lpstr>
      <vt:lpstr>STL_CUT</vt:lpstr>
      <vt:lpstr>STL_D</vt:lpstr>
      <vt:lpstr>STL_DESC</vt:lpstr>
      <vt:lpstr>STL_DESG</vt:lpstr>
      <vt:lpstr>STL_DXF</vt:lpstr>
      <vt:lpstr>STL_FTR</vt:lpstr>
      <vt:lpstr>STL_GRP</vt:lpstr>
      <vt:lpstr>STL_H</vt:lpstr>
      <vt:lpstr>STL_LBFT</vt:lpstr>
      <vt:lpstr>STL_LOOKUP</vt:lpstr>
      <vt:lpstr>STL_PNUM</vt:lpstr>
      <vt:lpstr>STL_RSTD</vt:lpstr>
      <vt:lpstr>STL_TYPE</vt:lpstr>
      <vt:lpstr>STL_UMSR</vt:lpstr>
      <vt:lpstr>STL_WT</vt:lpstr>
      <vt:lpstr>STL_XT</vt:lpstr>
      <vt:lpstr>STL_YC</vt:lpstr>
      <vt:lpstr>SUPANG_D</vt:lpstr>
      <vt:lpstr>SUPANG_DESG</vt:lpstr>
      <vt:lpstr>SUPANG_H</vt:lpstr>
      <vt:lpstr>SUPANG_L</vt:lpstr>
      <vt:lpstr>SUPANG_WT</vt:lpstr>
      <vt:lpstr>SupFrameThkO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Burnworth</dc:creator>
  <cp:lastModifiedBy>Robert A Amick</cp:lastModifiedBy>
  <dcterms:created xsi:type="dcterms:W3CDTF">2009-07-17T20:08:32Z</dcterms:created>
  <dcterms:modified xsi:type="dcterms:W3CDTF">2024-03-13T13:50:20Z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e01c0c-f9b3-4dc4-af0b-a82110cc37cd_Enabled">
    <vt:lpwstr>True</vt:lpwstr>
  </property>
  <property fmtid="{D5CDD505-2E9C-101B-9397-08002B2CF9AE}" pid="3" name="MSIP_Label_6be01c0c-f9b3-4dc4-af0b-a82110cc37cd_SiteId">
    <vt:lpwstr>a1f1e214-7ded-45b6-81a1-9e8ae3459641</vt:lpwstr>
  </property>
  <property fmtid="{D5CDD505-2E9C-101B-9397-08002B2CF9AE}" pid="4" name="MSIP_Label_6be01c0c-f9b3-4dc4-af0b-a82110cc37cd_Owner">
    <vt:lpwstr>cstudep@jci.com</vt:lpwstr>
  </property>
  <property fmtid="{D5CDD505-2E9C-101B-9397-08002B2CF9AE}" pid="5" name="MSIP_Label_6be01c0c-f9b3-4dc4-af0b-a82110cc37cd_SetDate">
    <vt:lpwstr>2019-07-23T15:21:37.0667527Z</vt:lpwstr>
  </property>
  <property fmtid="{D5CDD505-2E9C-101B-9397-08002B2CF9AE}" pid="6" name="MSIP_Label_6be01c0c-f9b3-4dc4-af0b-a82110cc37cd_Name">
    <vt:lpwstr>Internal </vt:lpwstr>
  </property>
  <property fmtid="{D5CDD505-2E9C-101B-9397-08002B2CF9AE}" pid="7" name="MSIP_Label_6be01c0c-f9b3-4dc4-af0b-a82110cc37cd_Application">
    <vt:lpwstr>Microsoft Azure Information Protection</vt:lpwstr>
  </property>
  <property fmtid="{D5CDD505-2E9C-101B-9397-08002B2CF9AE}" pid="8" name="MSIP_Label_6be01c0c-f9b3-4dc4-af0b-a82110cc37cd_ActionId">
    <vt:lpwstr>89194bbf-9f41-43eb-b2fa-d12f5c6fd5ba</vt:lpwstr>
  </property>
  <property fmtid="{D5CDD505-2E9C-101B-9397-08002B2CF9AE}" pid="9" name="MSIP_Label_6be01c0c-f9b3-4dc4-af0b-a82110cc37cd_Extended_MSFT_Method">
    <vt:lpwstr>Automatic</vt:lpwstr>
  </property>
  <property fmtid="{D5CDD505-2E9C-101B-9397-08002B2CF9AE}" pid="10" name="Information Classification">
    <vt:lpwstr>Internal </vt:lpwstr>
  </property>
</Properties>
</file>