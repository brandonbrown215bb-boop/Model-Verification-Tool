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H\2026\01. ECN_11650_12266 VEBM\WIP\01-30-26_391-10004-015\"/>
    </mc:Choice>
  </mc:AlternateContent>
  <xr:revisionPtr revIDLastSave="0" documentId="13_ncr:1_{ABED67BF-41C2-46E4-B65A-1FDE4C93F458}" xr6:coauthVersionLast="47" xr6:coauthVersionMax="47" xr10:uidLastSave="{00000000-0000-0000-0000-000000000000}"/>
  <bookViews>
    <workbookView xWindow="-108" yWindow="-108" windowWidth="23256" windowHeight="13896" activeTab="1" xr2:uid="{00000000-000D-0000-FFFF-FFFF00000000}"/>
  </bookViews>
  <sheets>
    <sheet name="Sheet1" sheetId="14" r:id="rId1"/>
    <sheet name="Data" sheetId="2" r:id="rId2"/>
    <sheet name="Excel Calc" sheetId="3" r:id="rId3"/>
    <sheet name="Fan Lookup" sheetId="13" r:id="rId4"/>
    <sheet name="Fan Lookup2" sheetId="12" r:id="rId5"/>
    <sheet name="001-013" sheetId="7" r:id="rId6"/>
    <sheet name="Channel Loc" sheetId="16" r:id="rId7"/>
    <sheet name="Hole Sizes" sheetId="15" r:id="rId8"/>
    <sheet name="Material List" sheetId="10" r:id="rId9"/>
    <sheet name="Revision List" sheetId="11" r:id="rId10"/>
  </sheets>
  <definedNames>
    <definedName name="_xlnm._FilterDatabase" localSheetId="5" hidden="1">'001-013'!$A$15:$U$303</definedName>
    <definedName name="_xlnm._FilterDatabase" localSheetId="8" hidden="1">'Material List'!$A$8:$A$120</definedName>
    <definedName name="Assembly_Description">Data!$B$29</definedName>
    <definedName name="CollarThkO">Data!$B$24</definedName>
    <definedName name="Construction">Data!$B$12</definedName>
    <definedName name="DamperSize">'Fan Lookup2'!$AF$4</definedName>
    <definedName name="DoorPlacement">Data!$B$16</definedName>
    <definedName name="Error">Data!$B$27</definedName>
    <definedName name="FAN_A">'Fan Lookup2'!$E$4</definedName>
    <definedName name="Fan_AA">'Fan Lookup'!$AC$4</definedName>
    <definedName name="Fan_AB">'Fan Lookup'!$AD$4</definedName>
    <definedName name="Fan_AC">'Fan Lookup'!$AE$4</definedName>
    <definedName name="Fan_AD">'Fan Lookup'!$AF$4</definedName>
    <definedName name="Fan_AE">'Fan Lookup'!$AG$4</definedName>
    <definedName name="Fan_AF">'Fan Lookup'!$AH$4</definedName>
    <definedName name="Fan_AG">'Fan Lookup'!$AI$4</definedName>
    <definedName name="Fan_AH">'Fan Lookup'!$AJ$4</definedName>
    <definedName name="Fan_AI">'Fan Lookup'!$AK$4</definedName>
    <definedName name="Fan_AJ">'Fan Lookup'!$AL$4</definedName>
    <definedName name="Fan_AU">'Fan Lookup'!$AW$4</definedName>
    <definedName name="FAN_AW">'Fan Lookup2'!$U$4</definedName>
    <definedName name="Fan_AZ">'Fan Lookup'!$BB$4</definedName>
    <definedName name="FAN_B">'Fan Lookup2'!$I$4</definedName>
    <definedName name="Fan_BA">'Fan Lookup'!$BC$4</definedName>
    <definedName name="Fan_BB">'Fan Lookup'!$BD$4</definedName>
    <definedName name="Fan_BC">'Fan Lookup'!$BE$4</definedName>
    <definedName name="Fan_BD">'Fan Lookup'!$BF$4</definedName>
    <definedName name="Fan_BE">'Fan Lookup'!$BG$4</definedName>
    <definedName name="FAN_C">'Fan Lookup2'!$J$4</definedName>
    <definedName name="FAN_CS">'Fan Lookup2'!$Y$4</definedName>
    <definedName name="FAN_D">'Fan Lookup2'!$O$4</definedName>
    <definedName name="FAN_E">'Fan Lookup2'!$N$4</definedName>
    <definedName name="FAN_F">'Fan Lookup2'!$L$4</definedName>
    <definedName name="FAN_FS">'Fan Lookup2'!$X$4</definedName>
    <definedName name="FAN_G">'Fan Lookup2'!$M$4</definedName>
    <definedName name="FAN_H">'Fan Lookup2'!$Q$4</definedName>
    <definedName name="FAN_HD">'Fan Lookup2'!$T$4</definedName>
    <definedName name="FAN_I">'Fan Lookup2'!$S$4</definedName>
    <definedName name="FAN_J">'Fan Lookup2'!$R$4</definedName>
    <definedName name="Fan_K">'Fan Lookup'!$M$4</definedName>
    <definedName name="Fan_L">'Fan Lookup'!$N$4</definedName>
    <definedName name="FAN_LG">'Fan Lookup2'!$V$4</definedName>
    <definedName name="FAN_LG_orig">'Fan Lookup2'!$Z$4</definedName>
    <definedName name="Fan_M">'Fan Lookup'!$O$4</definedName>
    <definedName name="FAN_S">'Fan Lookup2'!$H$4</definedName>
    <definedName name="FAN_SD">'Fan Lookup2'!$P$4</definedName>
    <definedName name="FAN_T">'Fan Lookup2'!$F$4</definedName>
    <definedName name="FAN_TL">'Fan Lookup2'!$G$4</definedName>
    <definedName name="FAN_U">'Fan Lookup2'!$K$4</definedName>
    <definedName name="Fan_V">'Fan Lookup'!$X$4</definedName>
    <definedName name="Fan_W">'Fan Lookup'!$Y$4</definedName>
    <definedName name="FAN_WD">'Fan Lookup2'!$W$4</definedName>
    <definedName name="Fan_Y">'Fan Lookup'!$AA$4</definedName>
    <definedName name="Fan_Z">'Fan Lookup'!$AB$4</definedName>
    <definedName name="FanBlockOffQty">Data!$B$13</definedName>
    <definedName name="FanBlockOffThkO">Data!$B$25</definedName>
    <definedName name="FanDamperOptn">Data!$B$14</definedName>
    <definedName name="FANSARRAY">Data!$B$9</definedName>
    <definedName name="FANSIZE">Data!$B$5</definedName>
    <definedName name="FanSpacing">Data!$B$10</definedName>
    <definedName name="FanSpacingHorz_O">Data!$B$17</definedName>
    <definedName name="FanSpacingLeng_O">Data!$B$18</definedName>
    <definedName name="FANSWIDE">Data!$B$8</definedName>
    <definedName name="FanToLinerHorz_O">Data!$B$19</definedName>
    <definedName name="FanToLinerLeng_O">Data!$B$20</definedName>
    <definedName name="HT">Data!$B$15</definedName>
    <definedName name="IL">Data!$B$3</definedName>
    <definedName name="IW">Data!$B$4</definedName>
    <definedName name="KW">Data!$B$7</definedName>
    <definedName name="LenSepPanThkO">Data!$B$22</definedName>
    <definedName name="MAT_CUT">'Material List'!$O$7</definedName>
    <definedName name="MAT_DESC">'Material List'!$L$7</definedName>
    <definedName name="MAT_DESG">'Material List'!$Q$7</definedName>
    <definedName name="MAT_DEST">'Material List'!$G$7</definedName>
    <definedName name="MAT_DXF">'Material List'!$R$7</definedName>
    <definedName name="MAT_GA">'Material List'!$E$7</definedName>
    <definedName name="MAT_GRP">'Material List'!$D$7</definedName>
    <definedName name="MAT_HLSZ">'Material List'!$S$7</definedName>
    <definedName name="MAT_KEYT">'Material List'!$H$7</definedName>
    <definedName name="MAT_LOOKUP">'Material List'!$A$7</definedName>
    <definedName name="MAT_MINT">'Material List'!$F$7</definedName>
    <definedName name="MAT_PNUM">'Material List'!$K$7</definedName>
    <definedName name="MAT_RSTD">'Material List'!$N$7</definedName>
    <definedName name="MAT_STG">'Material List'!$T$7</definedName>
    <definedName name="MAT_TYPE">'Material List'!$M$7</definedName>
    <definedName name="MAT_UMSR">'Material List'!$P$7</definedName>
    <definedName name="MAT_XT">'Material List'!$I$7</definedName>
    <definedName name="MAT_YC">'Material List'!$J$7</definedName>
    <definedName name="Material_List_Column_Names">'Material List'!$A$7:$V$7</definedName>
    <definedName name="Material_List_Table">'Material List'!$A$6:$V$129</definedName>
    <definedName name="MaterialStyle">Data!$B$11</definedName>
    <definedName name="MTRVOLT">Data!$B$6</definedName>
    <definedName name="OpeningChannelThkO">Data!$B$23</definedName>
    <definedName name="OpeningOS">'Fan Lookup2'!$AE$4</definedName>
    <definedName name="PanThkO">Data!$B$21</definedName>
    <definedName name="WAGO_Dist1">'Fan Lookup2'!$AA$4</definedName>
    <definedName name="WAGO_Dist2">'Fan Lookup2'!$AB$4</definedName>
    <definedName name="WAGO_Dist3">'Fan Lookup2'!$AC$4</definedName>
    <definedName name="WAGO_Dist4">'Fan Lookup2'!$AD$4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9" i="3" l="1"/>
  <c r="B118" i="3"/>
  <c r="B117" i="3" l="1"/>
  <c r="B120" i="3" s="1"/>
  <c r="N6" i="3"/>
  <c r="V4" i="3"/>
  <c r="B121" i="3" l="1"/>
  <c r="B122" i="3"/>
  <c r="B29" i="2"/>
  <c r="K99" i="3"/>
  <c r="K76" i="3"/>
  <c r="J99" i="3"/>
  <c r="J54" i="3" l="1"/>
  <c r="K58" i="3" l="1"/>
  <c r="K81" i="3" s="1"/>
  <c r="F59" i="3"/>
  <c r="B114" i="14" s="1"/>
  <c r="V14" i="3" l="1"/>
  <c r="Z12" i="3"/>
  <c r="B31" i="3"/>
  <c r="E14" i="2" s="1"/>
  <c r="B30" i="3"/>
  <c r="V24" i="3" l="1"/>
  <c r="B86" i="14" s="1"/>
  <c r="J76" i="3"/>
  <c r="B5" i="3"/>
  <c r="B4" i="3"/>
  <c r="N16" i="3"/>
  <c r="J12" i="3"/>
  <c r="F17" i="3"/>
  <c r="C37" i="15"/>
  <c r="C36" i="15"/>
  <c r="C35" i="15"/>
  <c r="F19" i="3" l="1"/>
  <c r="F22" i="3"/>
  <c r="B50" i="3"/>
  <c r="B316" i="14" s="1"/>
  <c r="N30" i="3"/>
  <c r="J44" i="3"/>
  <c r="B328" i="14" s="1"/>
  <c r="E13" i="2"/>
  <c r="B315" i="14"/>
  <c r="B334" i="14"/>
  <c r="B336" i="14"/>
  <c r="B337" i="14"/>
  <c r="B338" i="14"/>
  <c r="B67" i="3"/>
  <c r="B339" i="14" s="1"/>
  <c r="B63" i="3"/>
  <c r="B335" i="14" s="1"/>
  <c r="N36" i="3"/>
  <c r="B297" i="14" s="1"/>
  <c r="N35" i="3"/>
  <c r="B296" i="14" s="1"/>
  <c r="N32" i="3"/>
  <c r="B293" i="14" s="1"/>
  <c r="B21" i="3"/>
  <c r="B18" i="14" s="1"/>
  <c r="B20" i="3"/>
  <c r="B17" i="14" s="1"/>
  <c r="B306" i="14"/>
  <c r="B307" i="14"/>
  <c r="B308" i="14"/>
  <c r="B310" i="14"/>
  <c r="B311" i="14"/>
  <c r="B312" i="14"/>
  <c r="B313" i="14"/>
  <c r="B314" i="14"/>
  <c r="B36" i="3"/>
  <c r="B302" i="14" s="1"/>
  <c r="B287" i="14"/>
  <c r="B288" i="14"/>
  <c r="B290" i="14"/>
  <c r="B284" i="14"/>
  <c r="B286" i="14"/>
  <c r="B281" i="14"/>
  <c r="B282" i="14"/>
  <c r="B279" i="14"/>
  <c r="B280" i="14"/>
  <c r="N7" i="3"/>
  <c r="B269" i="14" s="1"/>
  <c r="B275" i="14"/>
  <c r="B277" i="14"/>
  <c r="B115" i="14"/>
  <c r="B97" i="14"/>
  <c r="B95" i="14"/>
  <c r="B89" i="14"/>
  <c r="F39" i="3"/>
  <c r="B135" i="14" s="1"/>
  <c r="B83" i="14"/>
  <c r="B82" i="14"/>
  <c r="B78" i="14"/>
  <c r="B74" i="14"/>
  <c r="B22" i="3"/>
  <c r="B19" i="14" s="1"/>
  <c r="B249" i="14"/>
  <c r="B250" i="14"/>
  <c r="B253" i="14"/>
  <c r="B254" i="14"/>
  <c r="B255" i="14"/>
  <c r="B256" i="14"/>
  <c r="B257" i="14"/>
  <c r="B264" i="14"/>
  <c r="B267" i="14"/>
  <c r="B246" i="14"/>
  <c r="B137" i="14"/>
  <c r="B138" i="14"/>
  <c r="B19" i="3"/>
  <c r="B16" i="14" s="1"/>
  <c r="B132" i="14"/>
  <c r="B128" i="14"/>
  <c r="B43" i="3" l="1"/>
  <c r="B309" i="14" s="1"/>
  <c r="N34" i="3"/>
  <c r="B117" i="14"/>
  <c r="B116" i="14"/>
  <c r="B109" i="14"/>
  <c r="B110" i="14"/>
  <c r="B111" i="14"/>
  <c r="B112" i="14"/>
  <c r="B106" i="14"/>
  <c r="B107" i="14"/>
  <c r="B108" i="14"/>
  <c r="B103" i="14"/>
  <c r="B67" i="14"/>
  <c r="B69" i="14"/>
  <c r="B6" i="14"/>
  <c r="B8" i="14"/>
  <c r="B13" i="3"/>
  <c r="B123" i="3" s="1"/>
  <c r="B12" i="3"/>
  <c r="B9" i="3"/>
  <c r="B7" i="14" s="1"/>
  <c r="AF23" i="12"/>
  <c r="AF22" i="12"/>
  <c r="AF18" i="12"/>
  <c r="AF17" i="12"/>
  <c r="AF13" i="12"/>
  <c r="AF12" i="12"/>
  <c r="B295" i="14" l="1"/>
  <c r="F50" i="3"/>
  <c r="B146" i="14" s="1"/>
  <c r="B7" i="3"/>
  <c r="B5" i="14" s="1"/>
  <c r="B6" i="3"/>
  <c r="B4" i="14" s="1"/>
  <c r="B9" i="14"/>
  <c r="J43" i="3"/>
  <c r="B10" i="14"/>
  <c r="B2" i="14"/>
  <c r="B3" i="14"/>
  <c r="N4" i="3"/>
  <c r="A4" i="13"/>
  <c r="V48" i="12"/>
  <c r="V39" i="12"/>
  <c r="V30" i="12"/>
  <c r="V23" i="12"/>
  <c r="V18" i="12"/>
  <c r="N19" i="12"/>
  <c r="V19" i="12"/>
  <c r="W19" i="12"/>
  <c r="V13" i="12"/>
  <c r="BR24" i="13"/>
  <c r="BQ24" i="13"/>
  <c r="BK24" i="13"/>
  <c r="BM24" i="13" s="1"/>
  <c r="BJ24" i="13"/>
  <c r="BO24" i="13" s="1"/>
  <c r="BP24" i="13" s="1"/>
  <c r="BF24" i="13"/>
  <c r="BE24" i="13"/>
  <c r="BD24" i="13"/>
  <c r="BB24" i="13"/>
  <c r="AL24" i="13"/>
  <c r="AJ24" i="13"/>
  <c r="AI24" i="13"/>
  <c r="AH24" i="13"/>
  <c r="AG24" i="13"/>
  <c r="AF24" i="13"/>
  <c r="AD24" i="13"/>
  <c r="AC24" i="13"/>
  <c r="AB24" i="13"/>
  <c r="AA24" i="13"/>
  <c r="X24" i="13"/>
  <c r="M24" i="13"/>
  <c r="BR23" i="13"/>
  <c r="BQ23" i="13"/>
  <c r="BJ23" i="13"/>
  <c r="BL23" i="13" s="1"/>
  <c r="BN23" i="13" s="1"/>
  <c r="BF23" i="13"/>
  <c r="BE23" i="13"/>
  <c r="BD23" i="13"/>
  <c r="BB23" i="13"/>
  <c r="AL23" i="13"/>
  <c r="AJ23" i="13"/>
  <c r="AI23" i="13"/>
  <c r="AH23" i="13"/>
  <c r="AG23" i="13"/>
  <c r="AF23" i="13"/>
  <c r="AD23" i="13"/>
  <c r="AC23" i="13"/>
  <c r="AB23" i="13"/>
  <c r="AA23" i="13"/>
  <c r="X23" i="13"/>
  <c r="M23" i="13"/>
  <c r="BR22" i="13"/>
  <c r="BQ22" i="13"/>
  <c r="BJ22" i="13"/>
  <c r="BL22" i="13" s="1"/>
  <c r="BN22" i="13" s="1"/>
  <c r="BF22" i="13"/>
  <c r="BE22" i="13"/>
  <c r="BD22" i="13"/>
  <c r="BB22" i="13"/>
  <c r="AL22" i="13"/>
  <c r="AJ22" i="13"/>
  <c r="AI22" i="13"/>
  <c r="AH22" i="13"/>
  <c r="AG22" i="13"/>
  <c r="AF22" i="13"/>
  <c r="AD22" i="13"/>
  <c r="AC22" i="13"/>
  <c r="AB22" i="13"/>
  <c r="AA22" i="13"/>
  <c r="X22" i="13"/>
  <c r="M22" i="13"/>
  <c r="BR21" i="13"/>
  <c r="BQ21" i="13"/>
  <c r="BJ21" i="13"/>
  <c r="BL21" i="13" s="1"/>
  <c r="BN21" i="13" s="1"/>
  <c r="Y21" i="13"/>
  <c r="X21" i="13"/>
  <c r="M21" i="13"/>
  <c r="B21" i="13"/>
  <c r="AG21" i="13" s="1"/>
  <c r="BR20" i="13"/>
  <c r="BQ20" i="13"/>
  <c r="BJ20" i="13"/>
  <c r="BO20" i="13" s="1"/>
  <c r="BP20" i="13" s="1"/>
  <c r="BF20" i="13"/>
  <c r="BE20" i="13"/>
  <c r="BD20" i="13"/>
  <c r="BB20" i="13"/>
  <c r="AL20" i="13"/>
  <c r="AJ20" i="13"/>
  <c r="AI20" i="13"/>
  <c r="AH20" i="13"/>
  <c r="AG20" i="13"/>
  <c r="AF20" i="13"/>
  <c r="AD20" i="13"/>
  <c r="AC20" i="13"/>
  <c r="AB20" i="13"/>
  <c r="AA20" i="13"/>
  <c r="X20" i="13"/>
  <c r="M20" i="13"/>
  <c r="BR19" i="13"/>
  <c r="BQ19" i="13"/>
  <c r="BJ19" i="13"/>
  <c r="BO19" i="13" s="1"/>
  <c r="BP19" i="13" s="1"/>
  <c r="BE19" i="13"/>
  <c r="BD19" i="13"/>
  <c r="AV19" i="13"/>
  <c r="AH19" i="13"/>
  <c r="AG19" i="13"/>
  <c r="AF19" i="13"/>
  <c r="Y19" i="13"/>
  <c r="X19" i="13"/>
  <c r="M19" i="13"/>
  <c r="B19" i="13"/>
  <c r="BB19" i="13" s="1"/>
  <c r="BR18" i="13"/>
  <c r="BQ18" i="13"/>
  <c r="BJ18" i="13"/>
  <c r="BO18" i="13" s="1"/>
  <c r="BP18" i="13" s="1"/>
  <c r="BF18" i="13"/>
  <c r="BE18" i="13"/>
  <c r="BD18" i="13"/>
  <c r="BB18" i="13"/>
  <c r="AV18" i="13"/>
  <c r="AL18" i="13"/>
  <c r="AJ18" i="13"/>
  <c r="AI18" i="13"/>
  <c r="AH18" i="13"/>
  <c r="AG18" i="13"/>
  <c r="AF18" i="13"/>
  <c r="AD18" i="13"/>
  <c r="AC18" i="13"/>
  <c r="AB18" i="13"/>
  <c r="AA18" i="13"/>
  <c r="X18" i="13"/>
  <c r="M18" i="13"/>
  <c r="BR17" i="13"/>
  <c r="BQ17" i="13"/>
  <c r="BJ17" i="13"/>
  <c r="BL17" i="13" s="1"/>
  <c r="BN17" i="13" s="1"/>
  <c r="BC17" i="13"/>
  <c r="BC19" i="13" s="1"/>
  <c r="BC21" i="13" s="1"/>
  <c r="Y17" i="13"/>
  <c r="X17" i="13"/>
  <c r="M17" i="13"/>
  <c r="B17" i="13"/>
  <c r="BF17" i="13" s="1"/>
  <c r="BR16" i="13"/>
  <c r="BQ16" i="13"/>
  <c r="BJ16" i="13"/>
  <c r="BO16" i="13" s="1"/>
  <c r="BP16" i="13" s="1"/>
  <c r="BF16" i="13"/>
  <c r="BE16" i="13"/>
  <c r="BD16" i="13"/>
  <c r="BC16" i="13"/>
  <c r="BC13" i="13" s="1"/>
  <c r="BB16" i="13"/>
  <c r="AL16" i="13"/>
  <c r="AJ16" i="13"/>
  <c r="AI16" i="13"/>
  <c r="AH16" i="13"/>
  <c r="AG16" i="13"/>
  <c r="AF16" i="13"/>
  <c r="AD16" i="13"/>
  <c r="AC16" i="13"/>
  <c r="AB16" i="13"/>
  <c r="AA16" i="13"/>
  <c r="X16" i="13"/>
  <c r="M16" i="13"/>
  <c r="BR15" i="13"/>
  <c r="BQ15" i="13"/>
  <c r="BJ15" i="13"/>
  <c r="BL15" i="13" s="1"/>
  <c r="BN15" i="13" s="1"/>
  <c r="Y15" i="13"/>
  <c r="X15" i="13"/>
  <c r="M15" i="13"/>
  <c r="B15" i="13"/>
  <c r="AA15" i="13" s="1"/>
  <c r="BR14" i="13"/>
  <c r="BQ14" i="13"/>
  <c r="BJ14" i="13"/>
  <c r="BL14" i="13" s="1"/>
  <c r="BN14" i="13" s="1"/>
  <c r="BF14" i="13"/>
  <c r="BE14" i="13"/>
  <c r="BD14" i="13"/>
  <c r="BB14" i="13"/>
  <c r="AL14" i="13"/>
  <c r="AJ14" i="13"/>
  <c r="AI14" i="13"/>
  <c r="AH14" i="13"/>
  <c r="AG14" i="13"/>
  <c r="AF14" i="13"/>
  <c r="AD14" i="13"/>
  <c r="AC14" i="13"/>
  <c r="AB14" i="13"/>
  <c r="AA14" i="13"/>
  <c r="X14" i="13"/>
  <c r="M14" i="13"/>
  <c r="BR13" i="13"/>
  <c r="BQ13" i="13"/>
  <c r="BJ13" i="13"/>
  <c r="BL13" i="13" s="1"/>
  <c r="BN13" i="13" s="1"/>
  <c r="Y13" i="13"/>
  <c r="X13" i="13"/>
  <c r="M13" i="13"/>
  <c r="B13" i="13"/>
  <c r="AG13" i="13" s="1"/>
  <c r="BR12" i="13"/>
  <c r="BQ12" i="13"/>
  <c r="BJ12" i="13"/>
  <c r="BO12" i="13" s="1"/>
  <c r="BP12" i="13" s="1"/>
  <c r="BF12" i="13"/>
  <c r="BE12" i="13"/>
  <c r="BD12" i="13"/>
  <c r="BC12" i="13"/>
  <c r="BC10" i="13" s="1"/>
  <c r="BC8" i="13" s="1"/>
  <c r="BB12" i="13"/>
  <c r="AL12" i="13"/>
  <c r="AJ12" i="13"/>
  <c r="AI12" i="13"/>
  <c r="AH12" i="13"/>
  <c r="AG12" i="13"/>
  <c r="AF12" i="13"/>
  <c r="AD12" i="13"/>
  <c r="AC12" i="13"/>
  <c r="AB12" i="13"/>
  <c r="AA12" i="13"/>
  <c r="X12" i="13"/>
  <c r="M12" i="13"/>
  <c r="BR11" i="13"/>
  <c r="BQ11" i="13"/>
  <c r="BJ11" i="13"/>
  <c r="BK11" i="13" s="1"/>
  <c r="BM11" i="13" s="1"/>
  <c r="BC11" i="13"/>
  <c r="AC11" i="13"/>
  <c r="Y11" i="13"/>
  <c r="X11" i="13"/>
  <c r="M11" i="13"/>
  <c r="B11" i="13"/>
  <c r="AH11" i="13" s="1"/>
  <c r="BR10" i="13"/>
  <c r="BQ10" i="13"/>
  <c r="BJ10" i="13"/>
  <c r="BO10" i="13" s="1"/>
  <c r="BP10" i="13" s="1"/>
  <c r="BF10" i="13"/>
  <c r="BE10" i="13"/>
  <c r="BD10" i="13"/>
  <c r="BB10" i="13"/>
  <c r="AL10" i="13"/>
  <c r="AJ10" i="13"/>
  <c r="AI10" i="13"/>
  <c r="AH10" i="13"/>
  <c r="AG10" i="13"/>
  <c r="AF10" i="13"/>
  <c r="AD10" i="13"/>
  <c r="AC10" i="13"/>
  <c r="AB10" i="13"/>
  <c r="AA10" i="13"/>
  <c r="X10" i="13"/>
  <c r="M10" i="13"/>
  <c r="BR9" i="13"/>
  <c r="BQ9" i="13"/>
  <c r="BJ9" i="13"/>
  <c r="BL9" i="13" s="1"/>
  <c r="BN9" i="13" s="1"/>
  <c r="AX9" i="13"/>
  <c r="AV9" i="13"/>
  <c r="Y9" i="13"/>
  <c r="X9" i="13"/>
  <c r="M9" i="13"/>
  <c r="B9" i="13"/>
  <c r="BD9" i="13" s="1"/>
  <c r="BR8" i="13"/>
  <c r="BQ8" i="13"/>
  <c r="BJ8" i="13"/>
  <c r="BO8" i="13" s="1"/>
  <c r="BP8" i="13" s="1"/>
  <c r="BF8" i="13"/>
  <c r="BE8" i="13"/>
  <c r="BD8" i="13"/>
  <c r="BB8" i="13"/>
  <c r="AX8" i="13"/>
  <c r="AV8" i="13"/>
  <c r="AL8" i="13"/>
  <c r="AJ8" i="13"/>
  <c r="AI8" i="13"/>
  <c r="AH8" i="13"/>
  <c r="AG8" i="13"/>
  <c r="AF8" i="13"/>
  <c r="AD8" i="13"/>
  <c r="AC8" i="13"/>
  <c r="AB8" i="13"/>
  <c r="AA8" i="13"/>
  <c r="X8" i="13"/>
  <c r="M8" i="13"/>
  <c r="BR7" i="13"/>
  <c r="BQ7" i="13"/>
  <c r="BJ7" i="13"/>
  <c r="BL7" i="13" s="1"/>
  <c r="BN7" i="13" s="1"/>
  <c r="BF7" i="13"/>
  <c r="BE7" i="13"/>
  <c r="BD7" i="13"/>
  <c r="BB7" i="13"/>
  <c r="AL7" i="13"/>
  <c r="AJ7" i="13"/>
  <c r="AI7" i="13"/>
  <c r="AH7" i="13"/>
  <c r="AG7" i="13"/>
  <c r="AF7" i="13"/>
  <c r="AD7" i="13"/>
  <c r="AC7" i="13"/>
  <c r="AB7" i="13"/>
  <c r="AA7" i="13"/>
  <c r="X7" i="13"/>
  <c r="M7" i="13"/>
  <c r="BR6" i="13"/>
  <c r="BQ6" i="13"/>
  <c r="BJ6" i="13"/>
  <c r="BL6" i="13" s="1"/>
  <c r="BN6" i="13" s="1"/>
  <c r="Y6" i="13"/>
  <c r="X6" i="13"/>
  <c r="M6" i="13"/>
  <c r="B6" i="13"/>
  <c r="AG6" i="13" s="1"/>
  <c r="BR5" i="13"/>
  <c r="BQ5" i="13"/>
  <c r="BJ5" i="13"/>
  <c r="BO5" i="13" s="1"/>
  <c r="BP5" i="13" s="1"/>
  <c r="BF5" i="13"/>
  <c r="BE5" i="13"/>
  <c r="BD5" i="13"/>
  <c r="BB5" i="13"/>
  <c r="AL5" i="13"/>
  <c r="AJ5" i="13"/>
  <c r="AI5" i="13"/>
  <c r="AH5" i="13"/>
  <c r="AG5" i="13"/>
  <c r="AF5" i="13"/>
  <c r="AD5" i="13"/>
  <c r="AC5" i="13"/>
  <c r="AB5" i="13"/>
  <c r="AA5" i="13"/>
  <c r="X5" i="13"/>
  <c r="M5" i="13"/>
  <c r="N111" i="12"/>
  <c r="H111" i="12"/>
  <c r="N110" i="12"/>
  <c r="H110" i="12"/>
  <c r="N109" i="12"/>
  <c r="H109" i="12"/>
  <c r="N108" i="12"/>
  <c r="H108" i="12"/>
  <c r="N107" i="12"/>
  <c r="H107" i="12"/>
  <c r="N106" i="12"/>
  <c r="H106" i="12"/>
  <c r="N105" i="12"/>
  <c r="H105" i="12"/>
  <c r="N104" i="12"/>
  <c r="H104" i="12"/>
  <c r="V103" i="12"/>
  <c r="N103" i="12"/>
  <c r="H103" i="12"/>
  <c r="N102" i="12"/>
  <c r="H102" i="12"/>
  <c r="N101" i="12"/>
  <c r="V100" i="12"/>
  <c r="N100" i="12"/>
  <c r="V99" i="12"/>
  <c r="N99" i="12"/>
  <c r="N98" i="12"/>
  <c r="H98" i="12"/>
  <c r="N97" i="12"/>
  <c r="H97" i="12"/>
  <c r="N96" i="12"/>
  <c r="H96" i="12"/>
  <c r="V95" i="12"/>
  <c r="N95" i="12"/>
  <c r="V94" i="12"/>
  <c r="N94" i="12"/>
  <c r="V93" i="12"/>
  <c r="N93" i="12"/>
  <c r="V92" i="12"/>
  <c r="N92" i="12"/>
  <c r="V91" i="12"/>
  <c r="N91" i="12"/>
  <c r="V90" i="12"/>
  <c r="N90" i="12"/>
  <c r="V89" i="12"/>
  <c r="N89" i="12"/>
  <c r="V88" i="12"/>
  <c r="N88" i="12"/>
  <c r="V87" i="12"/>
  <c r="N87" i="12"/>
  <c r="V86" i="12"/>
  <c r="N86" i="12"/>
  <c r="V85" i="12"/>
  <c r="N85" i="12"/>
  <c r="V84" i="12"/>
  <c r="N84" i="12"/>
  <c r="V83" i="12"/>
  <c r="N83" i="12"/>
  <c r="V82" i="12"/>
  <c r="N82" i="12"/>
  <c r="V81" i="12"/>
  <c r="N81" i="12"/>
  <c r="V80" i="12"/>
  <c r="N80" i="12"/>
  <c r="V79" i="12"/>
  <c r="N79" i="12"/>
  <c r="V78" i="12"/>
  <c r="N78" i="12"/>
  <c r="V77" i="12"/>
  <c r="N77" i="12"/>
  <c r="V76" i="12"/>
  <c r="N76" i="12"/>
  <c r="V75" i="12"/>
  <c r="N75" i="12"/>
  <c r="V74" i="12"/>
  <c r="N74" i="12"/>
  <c r="V73" i="12"/>
  <c r="N73" i="12"/>
  <c r="V72" i="12"/>
  <c r="N72" i="12"/>
  <c r="N71" i="12"/>
  <c r="H71" i="12"/>
  <c r="N70" i="12"/>
  <c r="H70" i="12"/>
  <c r="N69" i="12"/>
  <c r="H69" i="12"/>
  <c r="N68" i="12"/>
  <c r="H68" i="12"/>
  <c r="N67" i="12"/>
  <c r="H67" i="12"/>
  <c r="N66" i="12"/>
  <c r="H66" i="12"/>
  <c r="N65" i="12"/>
  <c r="H65" i="12"/>
  <c r="N64" i="12"/>
  <c r="H64" i="12"/>
  <c r="V63" i="12"/>
  <c r="N63" i="12"/>
  <c r="H63" i="12"/>
  <c r="N62" i="12"/>
  <c r="H62" i="12"/>
  <c r="N61" i="12"/>
  <c r="V60" i="12"/>
  <c r="N60" i="12"/>
  <c r="W59" i="12"/>
  <c r="V59" i="12"/>
  <c r="M59" i="12"/>
  <c r="N59" i="12" s="1"/>
  <c r="V58" i="12"/>
  <c r="M58" i="12"/>
  <c r="N58" i="12" s="1"/>
  <c r="V57" i="12"/>
  <c r="N57" i="12"/>
  <c r="N56" i="12"/>
  <c r="H56" i="12"/>
  <c r="N55" i="12"/>
  <c r="H55" i="12"/>
  <c r="N54" i="12"/>
  <c r="H54" i="12"/>
  <c r="V53" i="12"/>
  <c r="N53" i="12"/>
  <c r="V52" i="12"/>
  <c r="N52" i="12"/>
  <c r="W51" i="12"/>
  <c r="V51" i="12"/>
  <c r="N51" i="12"/>
  <c r="V47" i="12"/>
  <c r="V46" i="12"/>
  <c r="N46" i="12"/>
  <c r="V45" i="12"/>
  <c r="N45" i="12"/>
  <c r="V44" i="12"/>
  <c r="N44" i="12"/>
  <c r="V43" i="12"/>
  <c r="N43" i="12"/>
  <c r="W42" i="12"/>
  <c r="V42" i="12"/>
  <c r="N42" i="12"/>
  <c r="V38" i="12"/>
  <c r="V37" i="12"/>
  <c r="N37" i="12"/>
  <c r="V36" i="12"/>
  <c r="N36" i="12"/>
  <c r="V35" i="12"/>
  <c r="N35" i="12"/>
  <c r="V34" i="12"/>
  <c r="N34" i="12"/>
  <c r="W33" i="12"/>
  <c r="V33" i="12"/>
  <c r="N33" i="12"/>
  <c r="V29" i="12"/>
  <c r="V28" i="12"/>
  <c r="N28" i="12"/>
  <c r="V27" i="12"/>
  <c r="N27" i="12"/>
  <c r="V26" i="12"/>
  <c r="N26" i="12"/>
  <c r="V25" i="12"/>
  <c r="N25" i="12"/>
  <c r="W24" i="12"/>
  <c r="V24" i="12"/>
  <c r="N24" i="12"/>
  <c r="V22" i="12"/>
  <c r="V21" i="12"/>
  <c r="N21" i="12"/>
  <c r="V20" i="12"/>
  <c r="N20" i="12"/>
  <c r="V17" i="12"/>
  <c r="V16" i="12"/>
  <c r="N16" i="12"/>
  <c r="V15" i="12"/>
  <c r="N15" i="12"/>
  <c r="W14" i="12"/>
  <c r="V14" i="12"/>
  <c r="N14" i="12"/>
  <c r="V12" i="12"/>
  <c r="V11" i="12"/>
  <c r="N11" i="12"/>
  <c r="V10" i="12"/>
  <c r="N10" i="12"/>
  <c r="N9" i="12"/>
  <c r="I9" i="12"/>
  <c r="V9" i="12" s="1"/>
  <c r="N8" i="12"/>
  <c r="I8" i="12"/>
  <c r="V8" i="12" s="1"/>
  <c r="W7" i="12"/>
  <c r="V7" i="12"/>
  <c r="N7" i="12"/>
  <c r="N6" i="12"/>
  <c r="I6" i="12"/>
  <c r="V6" i="12" s="1"/>
  <c r="N5" i="12"/>
  <c r="I5" i="12"/>
  <c r="V5" i="12" s="1"/>
  <c r="A15" i="7"/>
  <c r="B327" i="14" l="1"/>
  <c r="J45" i="3"/>
  <c r="B329" i="14" s="1"/>
  <c r="BG4" i="13"/>
  <c r="AI4" i="13"/>
  <c r="AG4" i="13"/>
  <c r="R35" i="3" s="1"/>
  <c r="B43" i="14" s="1"/>
  <c r="AF4" i="13"/>
  <c r="R34" i="3" s="1"/>
  <c r="B42" i="14" s="1"/>
  <c r="BC4" i="13"/>
  <c r="R57" i="3" s="1"/>
  <c r="B50" i="14" s="1"/>
  <c r="BB4" i="13"/>
  <c r="R56" i="3" s="1"/>
  <c r="B49" i="14" s="1"/>
  <c r="AB4" i="13"/>
  <c r="R30" i="3" s="1"/>
  <c r="B39" i="14" s="1"/>
  <c r="AR4" i="13"/>
  <c r="V4" i="13"/>
  <c r="AO4" i="13"/>
  <c r="AM4" i="13"/>
  <c r="AK4" i="13"/>
  <c r="P4" i="13"/>
  <c r="BF4" i="13"/>
  <c r="R60" i="3" s="1"/>
  <c r="B53" i="14" s="1"/>
  <c r="AH4" i="13"/>
  <c r="R36" i="3" s="1"/>
  <c r="B44" i="14" s="1"/>
  <c r="BE4" i="13"/>
  <c r="R59" i="3" s="1"/>
  <c r="B52" i="14" s="1"/>
  <c r="BD4" i="13"/>
  <c r="R58" i="3" s="1"/>
  <c r="B51" i="14" s="1"/>
  <c r="AE4" i="13"/>
  <c r="R33" i="3" s="1"/>
  <c r="B41" i="14" s="1"/>
  <c r="AD4" i="13"/>
  <c r="R32" i="3" s="1"/>
  <c r="B40" i="14" s="1"/>
  <c r="AS4" i="13"/>
  <c r="W4" i="13"/>
  <c r="U4" i="13"/>
  <c r="S4" i="13"/>
  <c r="AL4" i="13"/>
  <c r="R40" i="3" s="1"/>
  <c r="B46" i="14" s="1"/>
  <c r="BA4" i="13"/>
  <c r="AC4" i="13"/>
  <c r="AZ4" i="13"/>
  <c r="AA4" i="13"/>
  <c r="R29" i="3" s="1"/>
  <c r="B38" i="14" s="1"/>
  <c r="AY4" i="13"/>
  <c r="Y4" i="13"/>
  <c r="R27" i="3" s="1"/>
  <c r="B37" i="14" s="1"/>
  <c r="AX4" i="13"/>
  <c r="X4" i="13"/>
  <c r="R26" i="3" s="1"/>
  <c r="B36" i="14" s="1"/>
  <c r="AT4" i="13"/>
  <c r="Z4" i="13"/>
  <c r="AQ4" i="13"/>
  <c r="AP4" i="13"/>
  <c r="T4" i="13"/>
  <c r="R4" i="13"/>
  <c r="AJ4" i="13"/>
  <c r="R38" i="3" s="1"/>
  <c r="B45" i="14" s="1"/>
  <c r="AW4" i="13"/>
  <c r="O4" i="13"/>
  <c r="R17" i="3" s="1"/>
  <c r="B32" i="14" s="1"/>
  <c r="AV4" i="13"/>
  <c r="N4" i="13"/>
  <c r="R16" i="3" s="1"/>
  <c r="B31" i="14" s="1"/>
  <c r="AU4" i="13"/>
  <c r="M4" i="13"/>
  <c r="R15" i="3" s="1"/>
  <c r="B30" i="14" s="1"/>
  <c r="AN4" i="13"/>
  <c r="Q4" i="13"/>
  <c r="BL19" i="13"/>
  <c r="BN19" i="13" s="1"/>
  <c r="AL15" i="13"/>
  <c r="BK19" i="13"/>
  <c r="BM19" i="13" s="1"/>
  <c r="AF17" i="13"/>
  <c r="BB17" i="13"/>
  <c r="BK10" i="13"/>
  <c r="BM10" i="13" s="1"/>
  <c r="AF9" i="13"/>
  <c r="BL10" i="13"/>
  <c r="BN10" i="13" s="1"/>
  <c r="BB15" i="13"/>
  <c r="BE15" i="13"/>
  <c r="AC19" i="13"/>
  <c r="AD19" i="13"/>
  <c r="BL11" i="13"/>
  <c r="BN11" i="13" s="1"/>
  <c r="AB15" i="13"/>
  <c r="BO6" i="13"/>
  <c r="BP6" i="13" s="1"/>
  <c r="AC15" i="13"/>
  <c r="AA19" i="13"/>
  <c r="BK16" i="13"/>
  <c r="BM16" i="13" s="1"/>
  <c r="BO11" i="13"/>
  <c r="BP11" i="13" s="1"/>
  <c r="BK18" i="13"/>
  <c r="BM18" i="13" s="1"/>
  <c r="BK15" i="13"/>
  <c r="BM15" i="13" s="1"/>
  <c r="BO15" i="13"/>
  <c r="BP15" i="13" s="1"/>
  <c r="AI19" i="13"/>
  <c r="BK14" i="13"/>
  <c r="BM14" i="13" s="1"/>
  <c r="BO22" i="13"/>
  <c r="BP22" i="13" s="1"/>
  <c r="BL16" i="13"/>
  <c r="BN16" i="13" s="1"/>
  <c r="AJ19" i="13"/>
  <c r="BO14" i="13"/>
  <c r="BP14" i="13" s="1"/>
  <c r="BL18" i="13"/>
  <c r="BN18" i="13" s="1"/>
  <c r="AF11" i="13"/>
  <c r="BK23" i="13"/>
  <c r="BM23" i="13" s="1"/>
  <c r="BO17" i="13"/>
  <c r="BP17" i="13" s="1"/>
  <c r="BC18" i="13"/>
  <c r="BC20" i="13" s="1"/>
  <c r="BC22" i="13" s="1"/>
  <c r="BC23" i="13" s="1"/>
  <c r="BC24" i="13" s="1"/>
  <c r="BO23" i="13"/>
  <c r="BP23" i="13" s="1"/>
  <c r="BK8" i="13"/>
  <c r="BM8" i="13" s="1"/>
  <c r="BO13" i="13"/>
  <c r="BP13" i="13" s="1"/>
  <c r="BO21" i="13"/>
  <c r="BP21" i="13" s="1"/>
  <c r="BL8" i="13"/>
  <c r="BN8" i="13" s="1"/>
  <c r="BO7" i="13"/>
  <c r="BP7" i="13" s="1"/>
  <c r="BC9" i="13"/>
  <c r="BC7" i="13"/>
  <c r="AH6" i="13"/>
  <c r="BE11" i="13"/>
  <c r="AJ6" i="13"/>
  <c r="BO9" i="13"/>
  <c r="BP9" i="13" s="1"/>
  <c r="BF11" i="13"/>
  <c r="AJ13" i="13"/>
  <c r="AD15" i="13"/>
  <c r="BF19" i="13"/>
  <c r="AJ21" i="13"/>
  <c r="BD11" i="13"/>
  <c r="AL6" i="13"/>
  <c r="AL13" i="13"/>
  <c r="AF15" i="13"/>
  <c r="AL21" i="13"/>
  <c r="BB6" i="13"/>
  <c r="AA9" i="13"/>
  <c r="BB13" i="13"/>
  <c r="AG15" i="13"/>
  <c r="AA17" i="13"/>
  <c r="BB21" i="13"/>
  <c r="AB9" i="13"/>
  <c r="AH15" i="13"/>
  <c r="AB17" i="13"/>
  <c r="AH21" i="13"/>
  <c r="AI13" i="13"/>
  <c r="AI21" i="13"/>
  <c r="BK5" i="13"/>
  <c r="BM5" i="13" s="1"/>
  <c r="BD6" i="13"/>
  <c r="AC9" i="13"/>
  <c r="BK12" i="13"/>
  <c r="BM12" i="13" s="1"/>
  <c r="BD13" i="13"/>
  <c r="AI15" i="13"/>
  <c r="AC17" i="13"/>
  <c r="BK20" i="13"/>
  <c r="BM20" i="13" s="1"/>
  <c r="BD21" i="13"/>
  <c r="AH13" i="13"/>
  <c r="AI6" i="13"/>
  <c r="BL5" i="13"/>
  <c r="BN5" i="13" s="1"/>
  <c r="BE6" i="13"/>
  <c r="AD9" i="13"/>
  <c r="BL12" i="13"/>
  <c r="BN12" i="13" s="1"/>
  <c r="BE13" i="13"/>
  <c r="AJ15" i="13"/>
  <c r="AD17" i="13"/>
  <c r="BL20" i="13"/>
  <c r="BN20" i="13" s="1"/>
  <c r="BE21" i="13"/>
  <c r="BF6" i="13"/>
  <c r="BK6" i="13"/>
  <c r="BM6" i="13" s="1"/>
  <c r="AH9" i="13"/>
  <c r="BK13" i="13"/>
  <c r="BM13" i="13" s="1"/>
  <c r="BD15" i="13"/>
  <c r="AH17" i="13"/>
  <c r="BK21" i="13"/>
  <c r="BM21" i="13" s="1"/>
  <c r="BF13" i="13"/>
  <c r="AG9" i="13"/>
  <c r="AI9" i="13"/>
  <c r="AI17" i="13"/>
  <c r="BF21" i="13"/>
  <c r="AG17" i="13"/>
  <c r="BK7" i="13"/>
  <c r="BM7" i="13" s="1"/>
  <c r="AJ9" i="13"/>
  <c r="AA11" i="13"/>
  <c r="BF15" i="13"/>
  <c r="AJ17" i="13"/>
  <c r="AB19" i="13"/>
  <c r="BK22" i="13"/>
  <c r="BM22" i="13" s="1"/>
  <c r="AL9" i="13"/>
  <c r="AB11" i="13"/>
  <c r="AL17" i="13"/>
  <c r="AD11" i="13"/>
  <c r="BB9" i="13"/>
  <c r="BD17" i="13"/>
  <c r="AG11" i="13"/>
  <c r="BE17" i="13"/>
  <c r="BL24" i="13"/>
  <c r="BN24" i="13" s="1"/>
  <c r="AA21" i="13"/>
  <c r="AB6" i="13"/>
  <c r="BE9" i="13"/>
  <c r="AI11" i="13"/>
  <c r="AB13" i="13"/>
  <c r="AB21" i="13"/>
  <c r="AC6" i="13"/>
  <c r="BF9" i="13"/>
  <c r="AJ11" i="13"/>
  <c r="AC13" i="13"/>
  <c r="BK17" i="13"/>
  <c r="BM17" i="13" s="1"/>
  <c r="AL19" i="13"/>
  <c r="AC21" i="13"/>
  <c r="AA13" i="13"/>
  <c r="AD6" i="13"/>
  <c r="AL11" i="13"/>
  <c r="AD13" i="13"/>
  <c r="AD21" i="13"/>
  <c r="AA6" i="13"/>
  <c r="AF6" i="13"/>
  <c r="BK9" i="13"/>
  <c r="BM9" i="13" s="1"/>
  <c r="BB11" i="13"/>
  <c r="AF13" i="13"/>
  <c r="AF21" i="13"/>
  <c r="S134" i="7"/>
  <c r="S135" i="7"/>
  <c r="S136" i="7"/>
  <c r="S137" i="7"/>
  <c r="S138" i="7"/>
  <c r="S139" i="7"/>
  <c r="S140" i="7"/>
  <c r="S141" i="7"/>
  <c r="S142" i="7"/>
  <c r="S143" i="7"/>
  <c r="S144" i="7"/>
  <c r="S145" i="7"/>
  <c r="S146" i="7"/>
  <c r="S147" i="7"/>
  <c r="S148" i="7"/>
  <c r="S149" i="7"/>
  <c r="S150" i="7"/>
  <c r="S151" i="7"/>
  <c r="S152" i="7"/>
  <c r="S153" i="7"/>
  <c r="S154" i="7"/>
  <c r="S155" i="7"/>
  <c r="S156" i="7"/>
  <c r="S157" i="7"/>
  <c r="S158" i="7"/>
  <c r="S159" i="7"/>
  <c r="S160" i="7"/>
  <c r="S161" i="7"/>
  <c r="S162" i="7"/>
  <c r="S163" i="7"/>
  <c r="S164" i="7"/>
  <c r="S165" i="7"/>
  <c r="S166" i="7"/>
  <c r="S167" i="7"/>
  <c r="S168" i="7"/>
  <c r="S169" i="7"/>
  <c r="S170" i="7"/>
  <c r="S171" i="7"/>
  <c r="S172" i="7"/>
  <c r="S173" i="7"/>
  <c r="S174" i="7"/>
  <c r="S175" i="7"/>
  <c r="S176" i="7"/>
  <c r="S177" i="7"/>
  <c r="S178" i="7"/>
  <c r="S179" i="7"/>
  <c r="S180" i="7"/>
  <c r="S181" i="7"/>
  <c r="S182" i="7"/>
  <c r="S183" i="7"/>
  <c r="S184" i="7"/>
  <c r="S185" i="7"/>
  <c r="S186" i="7"/>
  <c r="S187" i="7"/>
  <c r="S188" i="7"/>
  <c r="S189" i="7"/>
  <c r="S190" i="7"/>
  <c r="S191" i="7"/>
  <c r="S192" i="7"/>
  <c r="S19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A134" i="7"/>
  <c r="A135" i="7"/>
  <c r="A136" i="7"/>
  <c r="A137" i="7"/>
  <c r="A138" i="7"/>
  <c r="A139" i="7"/>
  <c r="A140" i="7"/>
  <c r="A141" i="7"/>
  <c r="A142" i="7"/>
  <c r="A143" i="7"/>
  <c r="A144" i="7"/>
  <c r="A145" i="7"/>
  <c r="A146" i="7"/>
  <c r="A147" i="7"/>
  <c r="A148" i="7"/>
  <c r="A149" i="7"/>
  <c r="A150" i="7"/>
  <c r="A151" i="7"/>
  <c r="A152" i="7"/>
  <c r="A153" i="7"/>
  <c r="A154" i="7"/>
  <c r="A155" i="7"/>
  <c r="A156" i="7"/>
  <c r="A157" i="7"/>
  <c r="A158" i="7"/>
  <c r="A159" i="7"/>
  <c r="A160" i="7"/>
  <c r="A161" i="7"/>
  <c r="A162" i="7"/>
  <c r="A163" i="7"/>
  <c r="A164" i="7"/>
  <c r="A165" i="7"/>
  <c r="A166" i="7"/>
  <c r="A167" i="7"/>
  <c r="A168" i="7"/>
  <c r="A169" i="7"/>
  <c r="A170" i="7"/>
  <c r="A171" i="7"/>
  <c r="A172" i="7"/>
  <c r="A173" i="7"/>
  <c r="A174" i="7"/>
  <c r="A175" i="7"/>
  <c r="A176" i="7"/>
  <c r="A177" i="7"/>
  <c r="A178" i="7"/>
  <c r="A179" i="7"/>
  <c r="A180" i="7"/>
  <c r="A181" i="7"/>
  <c r="A182" i="7"/>
  <c r="A183" i="7"/>
  <c r="A184" i="7"/>
  <c r="A185" i="7"/>
  <c r="A186" i="7"/>
  <c r="A187" i="7"/>
  <c r="A188" i="7"/>
  <c r="A189" i="7"/>
  <c r="A190" i="7"/>
  <c r="A191" i="7"/>
  <c r="A192" i="7"/>
  <c r="A193" i="7"/>
  <c r="J42" i="3"/>
  <c r="B326" i="14" s="1"/>
  <c r="J39" i="3"/>
  <c r="B323" i="14" s="1"/>
  <c r="BC6" i="13" l="1"/>
  <c r="BC5" i="13"/>
  <c r="F33" i="3"/>
  <c r="F26" i="3"/>
  <c r="F30" i="3"/>
  <c r="B278" i="14"/>
  <c r="B77" i="14"/>
  <c r="J21" i="3"/>
  <c r="Z11" i="3"/>
  <c r="B71" i="14"/>
  <c r="V5" i="3"/>
  <c r="V27" i="3" s="1"/>
  <c r="B88" i="14" s="1"/>
  <c r="J34" i="3"/>
  <c r="J35" i="3" s="1"/>
  <c r="B319" i="14" s="1"/>
  <c r="N5" i="3"/>
  <c r="B58" i="3"/>
  <c r="B38" i="3"/>
  <c r="B304" i="14" s="1"/>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J4" i="3"/>
  <c r="J5" i="3" s="1"/>
  <c r="F4" i="3"/>
  <c r="F5" i="3" s="1"/>
  <c r="S303" i="7"/>
  <c r="G303" i="7"/>
  <c r="A303" i="7"/>
  <c r="S302" i="7"/>
  <c r="G302" i="7"/>
  <c r="A302" i="7"/>
  <c r="S301" i="7"/>
  <c r="G301" i="7"/>
  <c r="A301" i="7"/>
  <c r="S300" i="7"/>
  <c r="G300" i="7"/>
  <c r="A300" i="7"/>
  <c r="S299" i="7"/>
  <c r="G299" i="7"/>
  <c r="A299" i="7"/>
  <c r="S298" i="7"/>
  <c r="G298" i="7"/>
  <c r="A298" i="7"/>
  <c r="S297" i="7"/>
  <c r="G297" i="7"/>
  <c r="A297" i="7"/>
  <c r="S296" i="7"/>
  <c r="G296" i="7"/>
  <c r="A296" i="7"/>
  <c r="S295" i="7"/>
  <c r="G295" i="7"/>
  <c r="A295" i="7"/>
  <c r="S294" i="7"/>
  <c r="G294" i="7"/>
  <c r="A294" i="7"/>
  <c r="S293" i="7"/>
  <c r="G293" i="7"/>
  <c r="A293" i="7"/>
  <c r="S292" i="7"/>
  <c r="G292" i="7"/>
  <c r="A292" i="7"/>
  <c r="S291" i="7"/>
  <c r="G291" i="7"/>
  <c r="A291" i="7"/>
  <c r="S290" i="7"/>
  <c r="G290" i="7"/>
  <c r="A290" i="7"/>
  <c r="S289" i="7"/>
  <c r="G289" i="7"/>
  <c r="A289" i="7"/>
  <c r="S288" i="7"/>
  <c r="G288" i="7"/>
  <c r="A288" i="7"/>
  <c r="S287" i="7"/>
  <c r="G287" i="7"/>
  <c r="A287" i="7"/>
  <c r="S286" i="7"/>
  <c r="G286" i="7"/>
  <c r="A286" i="7"/>
  <c r="S285" i="7"/>
  <c r="G285" i="7"/>
  <c r="A285" i="7"/>
  <c r="S284" i="7"/>
  <c r="G284" i="7"/>
  <c r="A284" i="7"/>
  <c r="S283" i="7"/>
  <c r="G283" i="7"/>
  <c r="A283" i="7"/>
  <c r="S282" i="7"/>
  <c r="G282" i="7"/>
  <c r="A282" i="7"/>
  <c r="S281" i="7"/>
  <c r="G281" i="7"/>
  <c r="A281" i="7"/>
  <c r="S280" i="7"/>
  <c r="G280" i="7"/>
  <c r="A280" i="7"/>
  <c r="S279" i="7"/>
  <c r="G279" i="7"/>
  <c r="A279" i="7"/>
  <c r="S278" i="7"/>
  <c r="G278" i="7"/>
  <c r="A278" i="7"/>
  <c r="S277" i="7"/>
  <c r="G277" i="7"/>
  <c r="A277" i="7"/>
  <c r="S276" i="7"/>
  <c r="G276" i="7"/>
  <c r="A276" i="7"/>
  <c r="S275" i="7"/>
  <c r="G275" i="7"/>
  <c r="A275" i="7"/>
  <c r="S274" i="7"/>
  <c r="G274" i="7"/>
  <c r="A274" i="7"/>
  <c r="S273" i="7"/>
  <c r="G273" i="7"/>
  <c r="A273" i="7"/>
  <c r="S272" i="7"/>
  <c r="G272" i="7"/>
  <c r="A272" i="7"/>
  <c r="S271" i="7"/>
  <c r="G271" i="7"/>
  <c r="A271" i="7"/>
  <c r="S270" i="7"/>
  <c r="G270" i="7"/>
  <c r="A270" i="7"/>
  <c r="S269" i="7"/>
  <c r="G269" i="7"/>
  <c r="A269" i="7"/>
  <c r="S268" i="7"/>
  <c r="G268" i="7"/>
  <c r="A268" i="7"/>
  <c r="S267" i="7"/>
  <c r="G267" i="7"/>
  <c r="A267" i="7"/>
  <c r="S266" i="7"/>
  <c r="G266" i="7"/>
  <c r="A266" i="7"/>
  <c r="S265" i="7"/>
  <c r="G265" i="7"/>
  <c r="A265" i="7"/>
  <c r="S264" i="7"/>
  <c r="G264" i="7"/>
  <c r="A264" i="7"/>
  <c r="S263" i="7"/>
  <c r="G263" i="7"/>
  <c r="A263" i="7"/>
  <c r="S262" i="7"/>
  <c r="G262" i="7"/>
  <c r="A262" i="7"/>
  <c r="S261" i="7"/>
  <c r="G261" i="7"/>
  <c r="A261" i="7"/>
  <c r="S260" i="7"/>
  <c r="G260" i="7"/>
  <c r="A260" i="7"/>
  <c r="S259" i="7"/>
  <c r="G259" i="7"/>
  <c r="A259" i="7"/>
  <c r="S258" i="7"/>
  <c r="G258" i="7"/>
  <c r="A258" i="7"/>
  <c r="S257" i="7"/>
  <c r="G257" i="7"/>
  <c r="A257" i="7"/>
  <c r="S256" i="7"/>
  <c r="G256" i="7"/>
  <c r="A256" i="7"/>
  <c r="S255" i="7"/>
  <c r="G255" i="7"/>
  <c r="A255" i="7"/>
  <c r="S254" i="7"/>
  <c r="G254" i="7"/>
  <c r="A254" i="7"/>
  <c r="S253" i="7"/>
  <c r="G253" i="7"/>
  <c r="A253" i="7"/>
  <c r="S252" i="7"/>
  <c r="G252" i="7"/>
  <c r="A252" i="7"/>
  <c r="S251" i="7"/>
  <c r="G251" i="7"/>
  <c r="A251" i="7"/>
  <c r="S250" i="7"/>
  <c r="G250" i="7"/>
  <c r="A250" i="7"/>
  <c r="S249" i="7"/>
  <c r="G249" i="7"/>
  <c r="A249" i="7"/>
  <c r="S248" i="7"/>
  <c r="G248" i="7"/>
  <c r="A248" i="7"/>
  <c r="S247" i="7"/>
  <c r="G247" i="7"/>
  <c r="A247" i="7"/>
  <c r="S246" i="7"/>
  <c r="G246" i="7"/>
  <c r="A246" i="7"/>
  <c r="S245" i="7"/>
  <c r="G245" i="7"/>
  <c r="A245" i="7"/>
  <c r="S244" i="7"/>
  <c r="G244" i="7"/>
  <c r="A244" i="7"/>
  <c r="S243" i="7"/>
  <c r="G243" i="7"/>
  <c r="A243" i="7"/>
  <c r="S242" i="7"/>
  <c r="G242" i="7"/>
  <c r="A242" i="7"/>
  <c r="S241" i="7"/>
  <c r="G241" i="7"/>
  <c r="A241" i="7"/>
  <c r="S240" i="7"/>
  <c r="G240" i="7"/>
  <c r="A240" i="7"/>
  <c r="S239" i="7"/>
  <c r="G239" i="7"/>
  <c r="A239" i="7"/>
  <c r="S238" i="7"/>
  <c r="G238" i="7"/>
  <c r="A238" i="7"/>
  <c r="S237" i="7"/>
  <c r="G237" i="7"/>
  <c r="A237" i="7"/>
  <c r="S236" i="7"/>
  <c r="G236" i="7"/>
  <c r="A236" i="7"/>
  <c r="S235" i="7"/>
  <c r="G235" i="7"/>
  <c r="A235" i="7"/>
  <c r="S234" i="7"/>
  <c r="G234" i="7"/>
  <c r="A234" i="7"/>
  <c r="S233" i="7"/>
  <c r="G233" i="7"/>
  <c r="A233" i="7"/>
  <c r="S232" i="7"/>
  <c r="G232" i="7"/>
  <c r="A232" i="7"/>
  <c r="S231" i="7"/>
  <c r="G231" i="7"/>
  <c r="A231" i="7"/>
  <c r="S230" i="7"/>
  <c r="G230" i="7"/>
  <c r="A230" i="7"/>
  <c r="S229" i="7"/>
  <c r="G229" i="7"/>
  <c r="A229" i="7"/>
  <c r="S228" i="7"/>
  <c r="G228" i="7"/>
  <c r="A228" i="7"/>
  <c r="S227" i="7"/>
  <c r="G227" i="7"/>
  <c r="A227" i="7"/>
  <c r="S226" i="7"/>
  <c r="G226" i="7"/>
  <c r="A226" i="7"/>
  <c r="S225" i="7"/>
  <c r="G225" i="7"/>
  <c r="A225" i="7"/>
  <c r="S224" i="7"/>
  <c r="G224" i="7"/>
  <c r="A224" i="7"/>
  <c r="S223" i="7"/>
  <c r="G223" i="7"/>
  <c r="A223" i="7"/>
  <c r="S222" i="7"/>
  <c r="G222" i="7"/>
  <c r="A222" i="7"/>
  <c r="S221" i="7"/>
  <c r="G221" i="7"/>
  <c r="A221" i="7"/>
  <c r="S220" i="7"/>
  <c r="G220" i="7"/>
  <c r="A220" i="7"/>
  <c r="S219" i="7"/>
  <c r="G219" i="7"/>
  <c r="A219" i="7"/>
  <c r="S218" i="7"/>
  <c r="G218" i="7"/>
  <c r="A218" i="7"/>
  <c r="S217" i="7"/>
  <c r="G217" i="7"/>
  <c r="A217" i="7"/>
  <c r="S216" i="7"/>
  <c r="G216" i="7"/>
  <c r="A216" i="7"/>
  <c r="S215" i="7"/>
  <c r="G215" i="7"/>
  <c r="A215" i="7"/>
  <c r="S214" i="7"/>
  <c r="G214" i="7"/>
  <c r="A214" i="7"/>
  <c r="S213" i="7"/>
  <c r="G213" i="7"/>
  <c r="A213" i="7"/>
  <c r="S212" i="7"/>
  <c r="G212" i="7"/>
  <c r="A212" i="7"/>
  <c r="S211" i="7"/>
  <c r="G211" i="7"/>
  <c r="A211" i="7"/>
  <c r="S210" i="7"/>
  <c r="G210" i="7"/>
  <c r="A210" i="7"/>
  <c r="S209" i="7"/>
  <c r="G209" i="7"/>
  <c r="A209" i="7"/>
  <c r="S208" i="7"/>
  <c r="G208" i="7"/>
  <c r="A208" i="7"/>
  <c r="S207" i="7"/>
  <c r="G207" i="7"/>
  <c r="A207" i="7"/>
  <c r="S206" i="7"/>
  <c r="G206" i="7"/>
  <c r="A206" i="7"/>
  <c r="S205" i="7"/>
  <c r="G205" i="7"/>
  <c r="A205" i="7"/>
  <c r="S204" i="7"/>
  <c r="G204" i="7"/>
  <c r="A204" i="7"/>
  <c r="S203" i="7"/>
  <c r="G203" i="7"/>
  <c r="A203" i="7"/>
  <c r="S202" i="7"/>
  <c r="G202" i="7"/>
  <c r="A202" i="7"/>
  <c r="S201" i="7"/>
  <c r="G201" i="7"/>
  <c r="A201" i="7"/>
  <c r="S200" i="7"/>
  <c r="G200" i="7"/>
  <c r="A200" i="7"/>
  <c r="S199" i="7"/>
  <c r="G199" i="7"/>
  <c r="A199" i="7"/>
  <c r="S198" i="7"/>
  <c r="G198" i="7"/>
  <c r="A198" i="7"/>
  <c r="S197" i="7"/>
  <c r="G197" i="7"/>
  <c r="A197" i="7"/>
  <c r="S196" i="7"/>
  <c r="G196" i="7"/>
  <c r="A196" i="7"/>
  <c r="S195" i="7"/>
  <c r="G195" i="7"/>
  <c r="A195" i="7"/>
  <c r="S194" i="7"/>
  <c r="G194" i="7"/>
  <c r="A194" i="7"/>
  <c r="S133" i="7"/>
  <c r="G133" i="7"/>
  <c r="A133" i="7"/>
  <c r="S132" i="7"/>
  <c r="G132" i="7"/>
  <c r="A132" i="7"/>
  <c r="S131" i="7"/>
  <c r="G131" i="7"/>
  <c r="A131" i="7"/>
  <c r="S130" i="7"/>
  <c r="G130" i="7"/>
  <c r="A130" i="7"/>
  <c r="S129" i="7"/>
  <c r="G129" i="7"/>
  <c r="A129" i="7"/>
  <c r="S128" i="7"/>
  <c r="G128" i="7"/>
  <c r="A128" i="7"/>
  <c r="S127" i="7"/>
  <c r="G127" i="7"/>
  <c r="A127" i="7"/>
  <c r="S126" i="7"/>
  <c r="G126" i="7"/>
  <c r="A126" i="7"/>
  <c r="S125" i="7"/>
  <c r="G125" i="7"/>
  <c r="A125" i="7"/>
  <c r="S124" i="7"/>
  <c r="G124" i="7"/>
  <c r="A124" i="7"/>
  <c r="S123" i="7"/>
  <c r="G123" i="7"/>
  <c r="A123" i="7"/>
  <c r="S122" i="7"/>
  <c r="G122" i="7"/>
  <c r="A122" i="7"/>
  <c r="S121" i="7"/>
  <c r="G121" i="7"/>
  <c r="A121" i="7"/>
  <c r="S120" i="7"/>
  <c r="G120" i="7"/>
  <c r="A120" i="7"/>
  <c r="S119" i="7"/>
  <c r="G119" i="7"/>
  <c r="A119" i="7"/>
  <c r="S118" i="7"/>
  <c r="G118" i="7"/>
  <c r="A118" i="7"/>
  <c r="S117" i="7"/>
  <c r="G117" i="7"/>
  <c r="A117" i="7"/>
  <c r="S116" i="7"/>
  <c r="G116" i="7"/>
  <c r="A116" i="7"/>
  <c r="S115" i="7"/>
  <c r="G115" i="7"/>
  <c r="A115" i="7"/>
  <c r="S114" i="7"/>
  <c r="G114" i="7"/>
  <c r="A114" i="7"/>
  <c r="S113" i="7"/>
  <c r="G113" i="7"/>
  <c r="A113" i="7"/>
  <c r="S112" i="7"/>
  <c r="G112" i="7"/>
  <c r="A112" i="7"/>
  <c r="S111" i="7"/>
  <c r="G111" i="7"/>
  <c r="A111" i="7"/>
  <c r="S110" i="7"/>
  <c r="G110" i="7"/>
  <c r="A110" i="7"/>
  <c r="S109" i="7"/>
  <c r="G109" i="7"/>
  <c r="A109" i="7"/>
  <c r="S108" i="7"/>
  <c r="G108" i="7"/>
  <c r="A108" i="7"/>
  <c r="S107" i="7"/>
  <c r="G107" i="7"/>
  <c r="A107" i="7"/>
  <c r="S106" i="7"/>
  <c r="G106" i="7"/>
  <c r="A106" i="7"/>
  <c r="S105" i="7"/>
  <c r="G105" i="7"/>
  <c r="A105" i="7"/>
  <c r="S104" i="7"/>
  <c r="G104" i="7"/>
  <c r="A104" i="7"/>
  <c r="G103" i="7"/>
  <c r="A103" i="7"/>
  <c r="S102" i="7"/>
  <c r="G102" i="7"/>
  <c r="A102" i="7"/>
  <c r="S101" i="7"/>
  <c r="G101" i="7"/>
  <c r="A101" i="7"/>
  <c r="S100" i="7"/>
  <c r="G100" i="7"/>
  <c r="A100" i="7"/>
  <c r="S99" i="7"/>
  <c r="G99" i="7"/>
  <c r="A99" i="7"/>
  <c r="S98" i="7"/>
  <c r="G98" i="7"/>
  <c r="A98" i="7"/>
  <c r="S97" i="7"/>
  <c r="G97" i="7"/>
  <c r="A97" i="7"/>
  <c r="S96" i="7"/>
  <c r="G96" i="7"/>
  <c r="A96" i="7"/>
  <c r="S95" i="7"/>
  <c r="G95" i="7"/>
  <c r="A95" i="7"/>
  <c r="S94" i="7"/>
  <c r="G94" i="7"/>
  <c r="A94" i="7"/>
  <c r="S93" i="7"/>
  <c r="G93" i="7"/>
  <c r="A93" i="7"/>
  <c r="S92" i="7"/>
  <c r="G92" i="7"/>
  <c r="A92" i="7"/>
  <c r="S91" i="7"/>
  <c r="G91" i="7"/>
  <c r="A91" i="7"/>
  <c r="S90" i="7"/>
  <c r="G90" i="7"/>
  <c r="A90" i="7"/>
  <c r="S89" i="7"/>
  <c r="G89" i="7"/>
  <c r="A89" i="7"/>
  <c r="G88" i="7"/>
  <c r="A88" i="7"/>
  <c r="S87" i="7"/>
  <c r="G87" i="7"/>
  <c r="A87" i="7"/>
  <c r="S86" i="7"/>
  <c r="G86" i="7"/>
  <c r="A86" i="7"/>
  <c r="S85" i="7"/>
  <c r="G85" i="7"/>
  <c r="A85" i="7"/>
  <c r="S84" i="7"/>
  <c r="G84" i="7"/>
  <c r="A84" i="7"/>
  <c r="S83" i="7"/>
  <c r="G83" i="7"/>
  <c r="A83" i="7"/>
  <c r="S82" i="7"/>
  <c r="G82" i="7"/>
  <c r="A82" i="7"/>
  <c r="S81" i="7"/>
  <c r="G81" i="7"/>
  <c r="A81" i="7"/>
  <c r="S80" i="7"/>
  <c r="G80" i="7"/>
  <c r="A80" i="7"/>
  <c r="S79" i="7"/>
  <c r="G79" i="7"/>
  <c r="A79" i="7"/>
  <c r="S78" i="7"/>
  <c r="G78" i="7"/>
  <c r="A78" i="7"/>
  <c r="S77" i="7"/>
  <c r="G77" i="7"/>
  <c r="A77" i="7"/>
  <c r="S76" i="7"/>
  <c r="G76" i="7"/>
  <c r="A76" i="7"/>
  <c r="G75" i="7"/>
  <c r="A75" i="7"/>
  <c r="S74" i="7"/>
  <c r="G74" i="7"/>
  <c r="A74" i="7"/>
  <c r="S73" i="7"/>
  <c r="G73" i="7"/>
  <c r="A73" i="7"/>
  <c r="S72" i="7"/>
  <c r="G72" i="7"/>
  <c r="A72" i="7"/>
  <c r="S71" i="7"/>
  <c r="G71" i="7"/>
  <c r="A71" i="7"/>
  <c r="S70" i="7"/>
  <c r="G70" i="7"/>
  <c r="A70" i="7"/>
  <c r="S69" i="7"/>
  <c r="G69" i="7"/>
  <c r="A69" i="7"/>
  <c r="S68" i="7"/>
  <c r="G68" i="7"/>
  <c r="A68" i="7"/>
  <c r="S67" i="7"/>
  <c r="G67" i="7"/>
  <c r="A67" i="7"/>
  <c r="S66" i="7"/>
  <c r="G66" i="7"/>
  <c r="A66" i="7"/>
  <c r="S65" i="7"/>
  <c r="G65" i="7"/>
  <c r="A65" i="7"/>
  <c r="S64" i="7"/>
  <c r="G64" i="7"/>
  <c r="A64" i="7"/>
  <c r="S63" i="7"/>
  <c r="G63" i="7"/>
  <c r="A63" i="7"/>
  <c r="G62" i="7"/>
  <c r="A62" i="7"/>
  <c r="S61" i="7"/>
  <c r="G61" i="7"/>
  <c r="A61" i="7"/>
  <c r="S60" i="7"/>
  <c r="G60" i="7"/>
  <c r="A60" i="7"/>
  <c r="S59" i="7"/>
  <c r="G59" i="7"/>
  <c r="A59" i="7"/>
  <c r="S58" i="7"/>
  <c r="G58" i="7"/>
  <c r="A58" i="7"/>
  <c r="S57" i="7"/>
  <c r="G57" i="7"/>
  <c r="A57" i="7"/>
  <c r="S56" i="7"/>
  <c r="G56" i="7"/>
  <c r="A56" i="7"/>
  <c r="S55" i="7"/>
  <c r="G55" i="7"/>
  <c r="A55" i="7"/>
  <c r="S54" i="7"/>
  <c r="G54" i="7"/>
  <c r="A54" i="7"/>
  <c r="S53" i="7"/>
  <c r="G53" i="7"/>
  <c r="A53" i="7"/>
  <c r="S52" i="7"/>
  <c r="G52" i="7"/>
  <c r="A52" i="7"/>
  <c r="S51" i="7"/>
  <c r="G51" i="7"/>
  <c r="A51" i="7"/>
  <c r="S50" i="7"/>
  <c r="G50" i="7"/>
  <c r="A50" i="7"/>
  <c r="G49" i="7"/>
  <c r="A49" i="7"/>
  <c r="S48" i="7"/>
  <c r="G48" i="7"/>
  <c r="A48" i="7"/>
  <c r="S47" i="7"/>
  <c r="G47" i="7"/>
  <c r="A47" i="7"/>
  <c r="S46" i="7"/>
  <c r="G46" i="7"/>
  <c r="A46" i="7"/>
  <c r="S45" i="7"/>
  <c r="G45" i="7"/>
  <c r="A45" i="7"/>
  <c r="S44" i="7"/>
  <c r="G44" i="7"/>
  <c r="A44" i="7"/>
  <c r="S43" i="7"/>
  <c r="G43" i="7"/>
  <c r="A43" i="7"/>
  <c r="G42" i="7"/>
  <c r="A42" i="7"/>
  <c r="S41" i="7"/>
  <c r="G41" i="7"/>
  <c r="A41" i="7"/>
  <c r="S40" i="7"/>
  <c r="G40" i="7"/>
  <c r="A40" i="7"/>
  <c r="S39" i="7"/>
  <c r="G39" i="7"/>
  <c r="A39" i="7"/>
  <c r="S38" i="7"/>
  <c r="G38" i="7"/>
  <c r="A38" i="7"/>
  <c r="S37" i="7"/>
  <c r="G37" i="7"/>
  <c r="A37" i="7"/>
  <c r="S36" i="7"/>
  <c r="G36" i="7"/>
  <c r="A36" i="7"/>
  <c r="G35" i="7"/>
  <c r="A35" i="7"/>
  <c r="S34" i="7"/>
  <c r="G34" i="7"/>
  <c r="A34" i="7"/>
  <c r="S33" i="7"/>
  <c r="G33" i="7"/>
  <c r="A33" i="7"/>
  <c r="S32" i="7"/>
  <c r="G32" i="7"/>
  <c r="A32" i="7"/>
  <c r="S31" i="7"/>
  <c r="G31" i="7"/>
  <c r="A31" i="7"/>
  <c r="S30" i="7"/>
  <c r="G30" i="7"/>
  <c r="A30" i="7"/>
  <c r="S29" i="7"/>
  <c r="G29" i="7"/>
  <c r="A29" i="7"/>
  <c r="S28" i="7"/>
  <c r="G28" i="7"/>
  <c r="A28" i="7"/>
  <c r="S27" i="7"/>
  <c r="G27" i="7"/>
  <c r="A27" i="7"/>
  <c r="S26" i="7"/>
  <c r="G26" i="7"/>
  <c r="A26" i="7"/>
  <c r="S25" i="7"/>
  <c r="G25" i="7"/>
  <c r="A25" i="7"/>
  <c r="S24" i="7"/>
  <c r="G24" i="7"/>
  <c r="A24" i="7"/>
  <c r="S23" i="7"/>
  <c r="G23" i="7"/>
  <c r="A23" i="7"/>
  <c r="G22" i="7"/>
  <c r="A22" i="7"/>
  <c r="S21" i="7"/>
  <c r="G21" i="7"/>
  <c r="A21" i="7"/>
  <c r="S20" i="7"/>
  <c r="G20" i="7"/>
  <c r="A20" i="7"/>
  <c r="S19" i="7"/>
  <c r="G19" i="7"/>
  <c r="A19" i="7"/>
  <c r="S18" i="7"/>
  <c r="G18" i="7"/>
  <c r="A18" i="7"/>
  <c r="S17" i="7"/>
  <c r="G17" i="7"/>
  <c r="A17" i="7"/>
  <c r="S16" i="7"/>
  <c r="G16" i="7"/>
  <c r="A16" i="7"/>
  <c r="T116" i="7" l="1"/>
  <c r="K59" i="3"/>
  <c r="K82" i="3" s="1"/>
  <c r="B94" i="14"/>
  <c r="B16" i="3"/>
  <c r="B13" i="14" s="1"/>
  <c r="B330" i="14"/>
  <c r="B61" i="3"/>
  <c r="B333" i="14" s="1"/>
  <c r="B60" i="3"/>
  <c r="B332" i="14" s="1"/>
  <c r="K61" i="3"/>
  <c r="K84" i="3" s="1"/>
  <c r="N14" i="3"/>
  <c r="B276" i="14" s="1"/>
  <c r="N31" i="3"/>
  <c r="B268" i="14"/>
  <c r="B70" i="14"/>
  <c r="V19" i="3"/>
  <c r="B81" i="14" s="1"/>
  <c r="B59" i="3"/>
  <c r="B331" i="14" s="1"/>
  <c r="B252" i="14"/>
  <c r="B245" i="14"/>
  <c r="B260" i="14"/>
  <c r="B113" i="14"/>
  <c r="B101" i="14"/>
  <c r="B126" i="14"/>
  <c r="B122" i="14"/>
  <c r="B129" i="14"/>
  <c r="T43" i="7"/>
  <c r="T76" i="7"/>
  <c r="J41" i="3"/>
  <c r="B325" i="14" s="1"/>
  <c r="J38" i="3"/>
  <c r="B322" i="14" s="1"/>
  <c r="K60" i="3"/>
  <c r="K83" i="3" s="1"/>
  <c r="T38" i="7"/>
  <c r="T128" i="7"/>
  <c r="T47" i="7"/>
  <c r="T80" i="7"/>
  <c r="T104" i="7"/>
  <c r="T30" i="7"/>
  <c r="T55" i="7"/>
  <c r="T39" i="7"/>
  <c r="T72" i="7"/>
  <c r="T105" i="7"/>
  <c r="T113" i="7"/>
  <c r="T121" i="7"/>
  <c r="T129" i="7"/>
  <c r="T63" i="7"/>
  <c r="T31" i="7"/>
  <c r="T97" i="7"/>
  <c r="T60" i="7"/>
  <c r="T40" i="7"/>
  <c r="T122" i="7"/>
  <c r="S15" i="7"/>
  <c r="T57" i="7"/>
  <c r="T24" i="7"/>
  <c r="T16" i="7"/>
  <c r="T82" i="7"/>
  <c r="T115" i="7"/>
  <c r="T74" i="7"/>
  <c r="T123" i="7"/>
  <c r="T25" i="7"/>
  <c r="T58" i="7"/>
  <c r="T91" i="7"/>
  <c r="T99" i="7"/>
  <c r="T41" i="7"/>
  <c r="T66" i="7"/>
  <c r="T107" i="7"/>
  <c r="T131" i="7"/>
  <c r="T17" i="7"/>
  <c r="T83" i="7"/>
  <c r="T73" i="7"/>
  <c r="T34" i="7"/>
  <c r="T51" i="7"/>
  <c r="T59" i="7"/>
  <c r="T100" i="7"/>
  <c r="T84" i="7"/>
  <c r="T68" i="7"/>
  <c r="T109" i="7"/>
  <c r="T117" i="7"/>
  <c r="T125" i="7"/>
  <c r="T133" i="7"/>
  <c r="T102" i="7"/>
  <c r="T89" i="7"/>
  <c r="T93" i="7"/>
  <c r="T19" i="7"/>
  <c r="T44" i="7"/>
  <c r="T70" i="7"/>
  <c r="T85" i="7"/>
  <c r="T110" i="7"/>
  <c r="T130" i="7"/>
  <c r="T28" i="7"/>
  <c r="T53" i="7"/>
  <c r="T61" i="7"/>
  <c r="T87" i="7"/>
  <c r="T69" i="7"/>
  <c r="T20" i="7"/>
  <c r="T78" i="7"/>
  <c r="T86" i="7"/>
  <c r="T36" i="7"/>
  <c r="T111" i="7"/>
  <c r="T119" i="7"/>
  <c r="T127" i="7"/>
  <c r="T52" i="7"/>
  <c r="T54" i="7"/>
  <c r="T21" i="7"/>
  <c r="T79" i="7"/>
  <c r="T29" i="7"/>
  <c r="T67" i="7"/>
  <c r="T98" i="7"/>
  <c r="T26" i="7"/>
  <c r="T27" i="7"/>
  <c r="T65" i="7"/>
  <c r="T23" i="7"/>
  <c r="T48" i="7"/>
  <c r="T92" i="7"/>
  <c r="T45" i="7"/>
  <c r="N14" i="7"/>
  <c r="T33" i="7"/>
  <c r="T46" i="7"/>
  <c r="T71" i="7"/>
  <c r="T37" i="7"/>
  <c r="T56" i="7"/>
  <c r="T81" i="7"/>
  <c r="T106" i="7"/>
  <c r="T118" i="7"/>
  <c r="T94" i="7"/>
  <c r="T90" i="7"/>
  <c r="T18" i="7"/>
  <c r="T50" i="7"/>
  <c r="T112" i="7"/>
  <c r="T124" i="7"/>
  <c r="T32" i="7"/>
  <c r="T101" i="7"/>
  <c r="T77" i="7"/>
  <c r="T108" i="7"/>
  <c r="T114" i="7"/>
  <c r="T120" i="7"/>
  <c r="T126" i="7"/>
  <c r="T132" i="7"/>
  <c r="T64" i="7"/>
  <c r="T95" i="7"/>
  <c r="T96" i="7"/>
  <c r="D4" i="12" l="1"/>
  <c r="V4" i="12" s="1"/>
  <c r="C29" i="3"/>
  <c r="B29" i="3" s="1"/>
  <c r="N33" i="3"/>
  <c r="B294" i="14" s="1"/>
  <c r="B292" i="14"/>
  <c r="N29" i="3"/>
  <c r="B291" i="14" s="1"/>
  <c r="F4" i="12" l="1"/>
  <c r="R24" i="3" s="1"/>
  <c r="AC4" i="12"/>
  <c r="H4" i="12"/>
  <c r="R23" i="3" s="1"/>
  <c r="Y4" i="12"/>
  <c r="R71" i="3" s="1"/>
  <c r="X4" i="12"/>
  <c r="R70" i="3" s="1"/>
  <c r="Z4" i="12"/>
  <c r="S4" i="12"/>
  <c r="R13" i="3" s="1"/>
  <c r="K4" i="12"/>
  <c r="R25" i="3" s="1"/>
  <c r="O4" i="12"/>
  <c r="R8" i="3" s="1"/>
  <c r="J4" i="12"/>
  <c r="R7" i="3" s="1"/>
  <c r="B22" i="14" s="1"/>
  <c r="R4" i="12"/>
  <c r="R14" i="3" s="1"/>
  <c r="P4" i="12"/>
  <c r="R63" i="3" s="1"/>
  <c r="Q4" i="12"/>
  <c r="R12" i="3" s="1"/>
  <c r="N4" i="12"/>
  <c r="T4" i="12"/>
  <c r="R66" i="3" s="1"/>
  <c r="M4" i="12"/>
  <c r="R11" i="3" s="1"/>
  <c r="G4" i="12"/>
  <c r="R62" i="3" s="1"/>
  <c r="AD4" i="12"/>
  <c r="I4" i="12"/>
  <c r="R6" i="3" s="1"/>
  <c r="AF4" i="12"/>
  <c r="Z5" i="3" s="1"/>
  <c r="U4" i="12"/>
  <c r="R53" i="3" s="1"/>
  <c r="E4" i="12"/>
  <c r="J55" i="3" s="1"/>
  <c r="AB4" i="12"/>
  <c r="L4" i="12"/>
  <c r="R10" i="3" s="1"/>
  <c r="AA4" i="12"/>
  <c r="W4" i="12"/>
  <c r="R4" i="3" s="1"/>
  <c r="B65" i="14" s="1"/>
  <c r="E7" i="2"/>
  <c r="E5" i="2"/>
  <c r="E6" i="2"/>
  <c r="R69" i="3"/>
  <c r="R73" i="3" l="1"/>
  <c r="B66" i="14" s="1"/>
  <c r="R67" i="3"/>
  <c r="B59" i="14" s="1"/>
  <c r="R68" i="3"/>
  <c r="B60" i="14" s="1"/>
  <c r="R9" i="3"/>
  <c r="B24" i="14" s="1"/>
  <c r="V13" i="3"/>
  <c r="B76" i="14" s="1"/>
  <c r="R72" i="3"/>
  <c r="B64" i="14" s="1"/>
  <c r="N8" i="3"/>
  <c r="N23" i="3" s="1"/>
  <c r="F44" i="3" s="1"/>
  <c r="R75" i="3"/>
  <c r="B68" i="14" s="1"/>
  <c r="Z6" i="3"/>
  <c r="V7" i="3"/>
  <c r="V8" i="3" s="1"/>
  <c r="R64" i="3"/>
  <c r="V25" i="3" s="1"/>
  <c r="V26" i="3" s="1"/>
  <c r="B87" i="14" s="1"/>
  <c r="R5" i="3"/>
  <c r="B20" i="14" s="1"/>
  <c r="R65" i="3"/>
  <c r="B57" i="14" s="1"/>
  <c r="Z8" i="3"/>
  <c r="B90" i="14"/>
  <c r="Z9" i="3"/>
  <c r="B91" i="14"/>
  <c r="B27" i="14"/>
  <c r="R54" i="3"/>
  <c r="B47" i="14"/>
  <c r="B34" i="14"/>
  <c r="B55" i="14"/>
  <c r="B62" i="14"/>
  <c r="B23" i="14"/>
  <c r="B28" i="14"/>
  <c r="B63" i="14"/>
  <c r="B26" i="14"/>
  <c r="B58" i="14"/>
  <c r="B29" i="14"/>
  <c r="B33" i="14"/>
  <c r="B35" i="14"/>
  <c r="B61" i="14"/>
  <c r="B25" i="14"/>
  <c r="B54" i="14"/>
  <c r="B21" i="14"/>
  <c r="N40" i="3" l="1"/>
  <c r="B301" i="14" s="1"/>
  <c r="F45" i="3"/>
  <c r="B270" i="14"/>
  <c r="V9" i="3"/>
  <c r="B73" i="14" s="1"/>
  <c r="B72" i="14"/>
  <c r="B56" i="14"/>
  <c r="N27" i="3"/>
  <c r="B289" i="14" s="1"/>
  <c r="B93" i="14"/>
  <c r="Z19" i="3"/>
  <c r="B100" i="14" s="1"/>
  <c r="V11" i="3"/>
  <c r="J58" i="3" s="1"/>
  <c r="J81" i="3" s="1"/>
  <c r="L81" i="3" s="1"/>
  <c r="AE4" i="12"/>
  <c r="B141" i="14"/>
  <c r="B140" i="14"/>
  <c r="B285" i="14"/>
  <c r="B92" i="14"/>
  <c r="Z15" i="3"/>
  <c r="Z16" i="3" s="1"/>
  <c r="B48" i="14"/>
  <c r="M81" i="3" l="1"/>
  <c r="J89" i="3" s="1"/>
  <c r="J96" i="3" s="1"/>
  <c r="K89" i="3" s="1"/>
  <c r="B15" i="3" s="1"/>
  <c r="L58" i="3"/>
  <c r="M58" i="3"/>
  <c r="J59" i="3"/>
  <c r="B75" i="14"/>
  <c r="V12" i="3"/>
  <c r="V17" i="3" s="1"/>
  <c r="B79" i="14" s="1"/>
  <c r="J60" i="3"/>
  <c r="J61" i="3"/>
  <c r="V22" i="3"/>
  <c r="B84" i="14" s="1"/>
  <c r="Z18" i="3"/>
  <c r="V23" i="3" s="1"/>
  <c r="B85" i="14" s="1"/>
  <c r="J23" i="3"/>
  <c r="B262" i="14" s="1"/>
  <c r="B98" i="14"/>
  <c r="F27" i="3"/>
  <c r="J66" i="3" l="1"/>
  <c r="J73" i="3" s="1"/>
  <c r="L60" i="3"/>
  <c r="J72" i="3" s="1"/>
  <c r="J75" i="3" s="1"/>
  <c r="J83" i="3"/>
  <c r="L83" i="3" s="1"/>
  <c r="B28" i="3" s="1"/>
  <c r="L61" i="3"/>
  <c r="K72" i="3" s="1"/>
  <c r="K75" i="3" s="1"/>
  <c r="J84" i="3"/>
  <c r="L84" i="3" s="1"/>
  <c r="L59" i="3"/>
  <c r="J82" i="3"/>
  <c r="L82" i="3" s="1"/>
  <c r="J8" i="3"/>
  <c r="V18" i="3"/>
  <c r="B80" i="14" s="1"/>
  <c r="B99" i="14"/>
  <c r="F28" i="3"/>
  <c r="B124" i="14" s="1"/>
  <c r="Z17" i="3"/>
  <c r="B96" i="14" s="1"/>
  <c r="J24" i="3"/>
  <c r="B263" i="14" s="1"/>
  <c r="B123" i="14"/>
  <c r="M65" i="3" l="1"/>
  <c r="M66" i="3"/>
  <c r="M82" i="3"/>
  <c r="B17" i="3" s="1"/>
  <c r="J67" i="3"/>
  <c r="K71" i="3" s="1"/>
  <c r="K74" i="3" s="1"/>
  <c r="K95" i="3"/>
  <c r="K98" i="3" s="1"/>
  <c r="J94" i="3"/>
  <c r="J97" i="3" s="1"/>
  <c r="J95" i="3"/>
  <c r="J98" i="3" s="1"/>
  <c r="J71" i="3"/>
  <c r="J74" i="3" s="1"/>
  <c r="K66" i="3" s="1"/>
  <c r="B248" i="14"/>
  <c r="J36" i="3"/>
  <c r="B320" i="14" s="1"/>
  <c r="J37" i="3"/>
  <c r="B321" i="14" s="1"/>
  <c r="B119" i="14"/>
  <c r="J22" i="3"/>
  <c r="J40" i="3" s="1"/>
  <c r="B324" i="14" s="1"/>
  <c r="K96" i="3" l="1"/>
  <c r="K90" i="3" s="1"/>
  <c r="B14" i="3" s="1"/>
  <c r="F8" i="3" s="1"/>
  <c r="B104" i="14" s="1"/>
  <c r="K73" i="3"/>
  <c r="K67" i="3" s="1"/>
  <c r="J90" i="3"/>
  <c r="K94" i="3" s="1"/>
  <c r="K97" i="3" s="1"/>
  <c r="C15" i="3"/>
  <c r="B14" i="14"/>
  <c r="N10" i="3"/>
  <c r="N37" i="3" s="1"/>
  <c r="N12" i="3"/>
  <c r="B261" i="14"/>
  <c r="N11" i="3"/>
  <c r="J7" i="3"/>
  <c r="F29" i="3"/>
  <c r="B125" i="14" s="1"/>
  <c r="B18" i="3"/>
  <c r="B12" i="14"/>
  <c r="J26" i="3" l="1"/>
  <c r="J27" i="3" s="1"/>
  <c r="B266" i="14" s="1"/>
  <c r="N21" i="3"/>
  <c r="B283" i="14" s="1"/>
  <c r="N9" i="3"/>
  <c r="B271" i="14" s="1"/>
  <c r="B11" i="14"/>
  <c r="F43" i="3"/>
  <c r="C27" i="3" s="1"/>
  <c r="B247" i="14"/>
  <c r="F6" i="3"/>
  <c r="B102" i="14" s="1"/>
  <c r="N39" i="3"/>
  <c r="B300" i="14" s="1"/>
  <c r="B274" i="14"/>
  <c r="B298" i="14"/>
  <c r="F49" i="3"/>
  <c r="B145" i="14" s="1"/>
  <c r="F47" i="3"/>
  <c r="B143" i="14" s="1"/>
  <c r="F31" i="3"/>
  <c r="B127" i="14" s="1"/>
  <c r="F46" i="3"/>
  <c r="B142" i="14" s="1"/>
  <c r="J20" i="3"/>
  <c r="J19" i="3" s="1"/>
  <c r="B273" i="14"/>
  <c r="N38" i="3"/>
  <c r="F40" i="3"/>
  <c r="B79" i="3" s="1"/>
  <c r="B272" i="14"/>
  <c r="J11" i="3"/>
  <c r="C28" i="3" s="1"/>
  <c r="B15" i="14"/>
  <c r="F35" i="3"/>
  <c r="B75" i="3" s="1"/>
  <c r="F25" i="3"/>
  <c r="B27" i="3" l="1"/>
  <c r="E3" i="2" s="1"/>
  <c r="B51" i="3"/>
  <c r="B52" i="3" s="1"/>
  <c r="B318" i="14" s="1"/>
  <c r="B265" i="14"/>
  <c r="B139" i="14"/>
  <c r="B94" i="3"/>
  <c r="B90" i="3"/>
  <c r="B89" i="3"/>
  <c r="B93" i="3"/>
  <c r="B80" i="3"/>
  <c r="B171" i="14"/>
  <c r="B131" i="14"/>
  <c r="B185" i="14"/>
  <c r="B121" i="14"/>
  <c r="B70" i="3"/>
  <c r="E4" i="2"/>
  <c r="F34" i="3"/>
  <c r="B130" i="14" s="1"/>
  <c r="F9" i="3"/>
  <c r="B136" i="14"/>
  <c r="F51" i="3"/>
  <c r="B147" i="14" s="1"/>
  <c r="B299" i="14"/>
  <c r="F48" i="3"/>
  <c r="B144" i="14" s="1"/>
  <c r="B259" i="14"/>
  <c r="F38" i="3"/>
  <c r="B134" i="14" s="1"/>
  <c r="B258" i="14"/>
  <c r="B251" i="14"/>
  <c r="B32" i="3" l="1"/>
  <c r="C17" i="16"/>
  <c r="C16" i="16"/>
  <c r="C28" i="16"/>
  <c r="C12" i="16"/>
  <c r="C11" i="16"/>
  <c r="C10" i="16"/>
  <c r="C15" i="16"/>
  <c r="C14" i="16"/>
  <c r="C29" i="16"/>
  <c r="C13" i="16"/>
  <c r="C21" i="16"/>
  <c r="C26" i="16"/>
  <c r="C27" i="16"/>
  <c r="C22" i="16"/>
  <c r="C25" i="16"/>
  <c r="C9" i="16"/>
  <c r="C24" i="16"/>
  <c r="C8" i="16"/>
  <c r="C6" i="16"/>
  <c r="C23" i="16"/>
  <c r="C7" i="16"/>
  <c r="C20" i="16"/>
  <c r="C19" i="16"/>
  <c r="C18" i="16"/>
  <c r="B39" i="3"/>
  <c r="B305" i="14" s="1"/>
  <c r="B317" i="14"/>
  <c r="B220" i="14"/>
  <c r="B231" i="14"/>
  <c r="B219" i="14"/>
  <c r="B232" i="14"/>
  <c r="F55" i="3"/>
  <c r="F52" i="3"/>
  <c r="C90" i="3" s="1"/>
  <c r="B222" i="14" s="1"/>
  <c r="B172" i="14"/>
  <c r="B155" i="14"/>
  <c r="F23" i="3"/>
  <c r="B120" i="14" s="1"/>
  <c r="B105" i="14"/>
  <c r="F37" i="3"/>
  <c r="B133" i="14" s="1"/>
  <c r="E7" i="16" l="1"/>
  <c r="D7" i="16"/>
  <c r="D19" i="16"/>
  <c r="D14" i="16"/>
  <c r="E10" i="16"/>
  <c r="D10" i="16"/>
  <c r="D18" i="16"/>
  <c r="D20" i="16"/>
  <c r="E6" i="16"/>
  <c r="D6" i="16"/>
  <c r="D9" i="16"/>
  <c r="E9" i="16"/>
  <c r="D21" i="16"/>
  <c r="D13" i="16"/>
  <c r="E13" i="16"/>
  <c r="D11" i="16"/>
  <c r="E11" i="16"/>
  <c r="E8" i="16"/>
  <c r="D8" i="16"/>
  <c r="D15" i="16"/>
  <c r="D12" i="16"/>
  <c r="E12" i="16"/>
  <c r="D16" i="16"/>
  <c r="D17" i="16"/>
  <c r="C89" i="3"/>
  <c r="B221" i="14" s="1"/>
  <c r="C93" i="3"/>
  <c r="B233" i="14" s="1"/>
  <c r="D94" i="3"/>
  <c r="B236" i="14" s="1"/>
  <c r="D93" i="3"/>
  <c r="B235" i="14" s="1"/>
  <c r="C94" i="3"/>
  <c r="B234" i="14" s="1"/>
  <c r="E87" i="3"/>
  <c r="C87" i="3"/>
  <c r="B213" i="14" s="1"/>
  <c r="B87" i="3"/>
  <c r="B212" i="14" s="1"/>
  <c r="D87" i="3"/>
  <c r="B214" i="14" s="1"/>
  <c r="B85" i="3"/>
  <c r="C85" i="3"/>
  <c r="C83" i="3"/>
  <c r="B199" i="14" s="1"/>
  <c r="C80" i="3"/>
  <c r="B174" i="14" s="1"/>
  <c r="E80" i="3"/>
  <c r="F80" i="3"/>
  <c r="D80" i="3"/>
  <c r="B176" i="14" s="1"/>
  <c r="B71" i="3"/>
  <c r="B156" i="14" s="1"/>
  <c r="B76" i="3"/>
  <c r="B186" i="14" s="1"/>
  <c r="D79" i="3"/>
  <c r="C79" i="3"/>
  <c r="F75" i="3"/>
  <c r="F76" i="3" s="1"/>
  <c r="C75" i="3"/>
  <c r="B187" i="14" s="1"/>
  <c r="E75" i="3"/>
  <c r="E76" i="3" s="1"/>
  <c r="D75" i="3"/>
  <c r="B189" i="14" s="1"/>
  <c r="F79" i="3"/>
  <c r="E79" i="3"/>
  <c r="C70" i="3"/>
  <c r="D70" i="3"/>
  <c r="E70" i="3"/>
  <c r="E71" i="3" s="1"/>
  <c r="F70" i="3"/>
  <c r="F71" i="3" s="1"/>
  <c r="G70" i="3"/>
  <c r="G71" i="3" s="1"/>
  <c r="F53" i="3"/>
  <c r="E21" i="16" s="1"/>
  <c r="B151" i="14"/>
  <c r="F56" i="3"/>
  <c r="B152" i="14" s="1"/>
  <c r="F21" i="3"/>
  <c r="B118" i="14" s="1"/>
  <c r="F58" i="3"/>
  <c r="D24" i="16" s="1"/>
  <c r="B148" i="14"/>
  <c r="E29" i="16" l="1"/>
  <c r="E26" i="16"/>
  <c r="E27" i="16"/>
  <c r="D28" i="16"/>
  <c r="D27" i="16"/>
  <c r="E28" i="16"/>
  <c r="E17" i="16"/>
  <c r="E20" i="16"/>
  <c r="E15" i="16"/>
  <c r="E18" i="16"/>
  <c r="D29" i="16"/>
  <c r="E16" i="16"/>
  <c r="E19" i="16"/>
  <c r="E14" i="16"/>
  <c r="D26" i="16"/>
  <c r="F9" i="16"/>
  <c r="F12" i="16"/>
  <c r="F8" i="16"/>
  <c r="F6" i="16"/>
  <c r="F11" i="16"/>
  <c r="F13" i="16"/>
  <c r="F10" i="16"/>
  <c r="F7" i="16"/>
  <c r="E22" i="16"/>
  <c r="E25" i="16"/>
  <c r="D25" i="16"/>
  <c r="D22" i="16"/>
  <c r="E23" i="16"/>
  <c r="E24" i="16"/>
  <c r="D23" i="16"/>
  <c r="C92" i="3"/>
  <c r="B230" i="14" s="1"/>
  <c r="D96" i="3"/>
  <c r="B242" i="14" s="1"/>
  <c r="E96" i="3"/>
  <c r="B240" i="14" s="1"/>
  <c r="F92" i="3"/>
  <c r="B224" i="14" s="1"/>
  <c r="D91" i="3"/>
  <c r="B227" i="14" s="1"/>
  <c r="F96" i="3"/>
  <c r="B238" i="14" s="1"/>
  <c r="C96" i="3"/>
  <c r="B244" i="14" s="1"/>
  <c r="D92" i="3"/>
  <c r="B228" i="14" s="1"/>
  <c r="C95" i="3"/>
  <c r="B243" i="14" s="1"/>
  <c r="E95" i="3"/>
  <c r="B239" i="14" s="1"/>
  <c r="C91" i="3"/>
  <c r="B229" i="14" s="1"/>
  <c r="E92" i="3"/>
  <c r="B226" i="14" s="1"/>
  <c r="D95" i="3"/>
  <c r="B241" i="14" s="1"/>
  <c r="F95" i="3"/>
  <c r="B237" i="14" s="1"/>
  <c r="F91" i="3"/>
  <c r="B223" i="14" s="1"/>
  <c r="E91" i="3"/>
  <c r="B225" i="14" s="1"/>
  <c r="C88" i="3"/>
  <c r="B218" i="14" s="1"/>
  <c r="E88" i="3"/>
  <c r="B216" i="14" s="1"/>
  <c r="D88" i="3"/>
  <c r="B217" i="14" s="1"/>
  <c r="F88" i="3"/>
  <c r="B215" i="14" s="1"/>
  <c r="D83" i="3"/>
  <c r="B200" i="14" s="1"/>
  <c r="F83" i="3"/>
  <c r="E83" i="3"/>
  <c r="D84" i="3"/>
  <c r="B203" i="14" s="1"/>
  <c r="E84" i="3"/>
  <c r="B202" i="14" s="1"/>
  <c r="F84" i="3"/>
  <c r="B201" i="14" s="1"/>
  <c r="C84" i="3"/>
  <c r="B204" i="14" s="1"/>
  <c r="D76" i="3"/>
  <c r="B190" i="14" s="1"/>
  <c r="C76" i="3"/>
  <c r="B188" i="14" s="1"/>
  <c r="D71" i="3"/>
  <c r="B160" i="14" s="1"/>
  <c r="B159" i="14"/>
  <c r="C71" i="3"/>
  <c r="B158" i="14" s="1"/>
  <c r="B157" i="14"/>
  <c r="E77" i="3"/>
  <c r="B195" i="14" s="1"/>
  <c r="C72" i="3"/>
  <c r="C73" i="3" s="1"/>
  <c r="D77" i="3"/>
  <c r="B193" i="14" s="1"/>
  <c r="F77" i="3"/>
  <c r="G72" i="3"/>
  <c r="B169" i="14" s="1"/>
  <c r="F72" i="3"/>
  <c r="E72" i="3"/>
  <c r="B77" i="3"/>
  <c r="B78" i="3" s="1"/>
  <c r="C77" i="3"/>
  <c r="C81" i="3"/>
  <c r="B183" i="14" s="1"/>
  <c r="D81" i="3"/>
  <c r="B181" i="14" s="1"/>
  <c r="F81" i="3"/>
  <c r="B177" i="14" s="1"/>
  <c r="E81" i="3"/>
  <c r="B179" i="14" s="1"/>
  <c r="C82" i="3"/>
  <c r="B184" i="14" s="1"/>
  <c r="E82" i="3"/>
  <c r="B180" i="14" s="1"/>
  <c r="F82" i="3"/>
  <c r="B178" i="14" s="1"/>
  <c r="D82" i="3"/>
  <c r="B182" i="14" s="1"/>
  <c r="B173" i="14"/>
  <c r="B175" i="14"/>
  <c r="B149" i="14"/>
  <c r="F54" i="3"/>
  <c r="F57" i="3"/>
  <c r="B154" i="14"/>
  <c r="D72" i="3"/>
  <c r="D73" i="3" s="1"/>
  <c r="F26" i="16" l="1"/>
  <c r="F29" i="16"/>
  <c r="F28" i="16"/>
  <c r="F27" i="16"/>
  <c r="F21" i="16"/>
  <c r="F19" i="16"/>
  <c r="F20" i="16"/>
  <c r="F18" i="16"/>
  <c r="B153" i="14"/>
  <c r="F24" i="16"/>
  <c r="F23" i="16"/>
  <c r="F22" i="16"/>
  <c r="F25" i="16"/>
  <c r="B150" i="14"/>
  <c r="F15" i="16"/>
  <c r="F14" i="16"/>
  <c r="F16" i="16"/>
  <c r="F17" i="16"/>
  <c r="E78" i="3"/>
  <c r="B196" i="14" s="1"/>
  <c r="E73" i="3"/>
  <c r="B166" i="14" s="1"/>
  <c r="B165" i="14"/>
  <c r="F73" i="3"/>
  <c r="B168" i="14" s="1"/>
  <c r="B167" i="14"/>
  <c r="F78" i="3"/>
  <c r="B198" i="14" s="1"/>
  <c r="B197" i="14"/>
  <c r="D78" i="3"/>
  <c r="B194" i="14" s="1"/>
  <c r="G73" i="3"/>
  <c r="B170" i="14" s="1"/>
  <c r="B191" i="14"/>
  <c r="C78" i="3"/>
  <c r="B192" i="14" s="1"/>
  <c r="B161" i="14"/>
  <c r="B162" i="14"/>
  <c r="B164" i="14"/>
  <c r="B163" i="14"/>
  <c r="B205" i="14"/>
  <c r="D86" i="3"/>
  <c r="B210" i="14" s="1"/>
  <c r="D85" i="3"/>
  <c r="B207" i="14" s="1"/>
  <c r="E85" i="3"/>
  <c r="B206" i="14"/>
  <c r="C86" i="3"/>
  <c r="B211" i="14" s="1"/>
  <c r="E86" i="3"/>
  <c r="B209" i="14" s="1"/>
  <c r="F86" i="3"/>
  <c r="B208" i="14" s="1"/>
  <c r="B343" i="14" l="1"/>
  <c r="B27" i="2" s="1"/>
  <c r="B468"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Bryan Burnworth</author>
  </authors>
  <commentList>
    <comment ref="D16" authorId="0" shapeId="0" xr:uid="{EC8852DE-6158-44CB-B524-5D2A4F5AAFE6}">
      <text>
        <r>
          <rPr>
            <b/>
            <sz val="9"/>
            <color indexed="81"/>
            <rFont val="Tahoma"/>
            <family val="2"/>
          </rPr>
          <t>the 240 has a .591 flange and the 480 has a .625 flange</t>
        </r>
      </text>
    </comment>
    <comment ref="D17" authorId="0" shapeId="0" xr:uid="{B3136193-5595-4731-A8A8-336B99EA9B98}">
      <text>
        <r>
          <rPr>
            <b/>
            <sz val="9"/>
            <color indexed="81"/>
            <rFont val="Tahoma"/>
            <family val="2"/>
          </rPr>
          <t>the 240 has a .591 flange and the 480 has a .625 flange</t>
        </r>
      </text>
    </comment>
    <comment ref="D20" authorId="0" shapeId="0" xr:uid="{0CDB1BB0-B938-499B-BC78-E763FA5CA4CB}">
      <text>
        <r>
          <rPr>
            <b/>
            <sz val="9"/>
            <color indexed="81"/>
            <rFont val="Tahoma"/>
            <family val="2"/>
          </rPr>
          <t>two fans have .866 flanges (bent downstream)
One fan has .787 flanges (bent upstream) this will dictate the depth of the attachment collar.</t>
        </r>
      </text>
    </comment>
    <comment ref="D21" authorId="0" shapeId="0" xr:uid="{DB55DBE6-97F5-461C-99F7-CF06D8BABCF8}">
      <text>
        <r>
          <rPr>
            <b/>
            <sz val="9"/>
            <color indexed="81"/>
            <rFont val="Tahoma"/>
            <family val="2"/>
          </rPr>
          <t>two fans have .866 flanges (bent downstream)
One fan has .787 flanges (bent upstream) this will dictate the depth of the attachment collar.</t>
        </r>
      </text>
    </comment>
    <comment ref="D22" authorId="0" shapeId="0" xr:uid="{7159D87B-6136-4308-815A-846EB5106A5D}">
      <text>
        <r>
          <rPr>
            <b/>
            <sz val="9"/>
            <color indexed="81"/>
            <rFont val="Tahoma"/>
            <family val="2"/>
          </rPr>
          <t>two fans have 1.063 flanges (bent downstream)
One fan has 2.00 flanges (bent upstream) this will dictate the depth of the attachment collar.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Bryan Burnworth</author>
  </authors>
  <commentList>
    <comment ref="G2" authorId="0" shapeId="0" xr:uid="{ECDBA9FB-D654-4C32-8CC5-21DEFC491AA3}">
      <text>
        <r>
          <rPr>
            <b/>
            <sz val="9"/>
            <color indexed="81"/>
            <rFont val="Tahoma"/>
            <family val="2"/>
          </rPr>
          <t>Total overall length
small - inlet flang to back of mtr
larger - inlet face to end of frame</t>
        </r>
      </text>
    </comment>
    <comment ref="L2" authorId="0" shapeId="0" xr:uid="{9F951DA2-B74A-4968-927D-38C9A7C88143}">
      <text>
        <r>
          <rPr>
            <b/>
            <sz val="9"/>
            <color indexed="81"/>
            <rFont val="Tahoma"/>
            <family val="2"/>
          </rPr>
          <t>per side</t>
        </r>
      </text>
    </comment>
    <comment ref="P2" authorId="0" shapeId="0" xr:uid="{9DD294FE-5F19-4E79-A3DA-E62068C6F90C}">
      <text>
        <r>
          <rPr>
            <b/>
            <sz val="9"/>
            <color indexed="81"/>
            <rFont val="Tahoma"/>
            <family val="2"/>
          </rPr>
          <t>fans with side hardware that extends past the inlet plate perimeter</t>
        </r>
      </text>
    </comment>
    <comment ref="Q2" authorId="0" shapeId="0" xr:uid="{B75BEB55-15C6-423B-9CD2-925F9ABCC49B}">
      <text>
        <r>
          <rPr>
            <b/>
            <sz val="9"/>
            <color indexed="81"/>
            <rFont val="Tahoma"/>
            <family val="2"/>
          </rPr>
          <t>side of inlet plate to harware center</t>
        </r>
      </text>
    </comment>
    <comment ref="S2" authorId="0" shapeId="0" xr:uid="{AA1800C5-7F7A-4B58-A97E-C1E504F43263}">
      <text>
        <r>
          <rPr>
            <b/>
            <sz val="9"/>
            <color indexed="81"/>
            <rFont val="Tahoma"/>
            <family val="2"/>
          </rPr>
          <t>IF = 3
THEN OFF, ELSE ON</t>
        </r>
      </text>
    </comment>
    <comment ref="T2" authorId="0" shapeId="0" xr:uid="{68FE04B9-C1EA-4C29-9D72-E59311FBB07A}">
      <text>
        <r>
          <rPr>
            <b/>
            <sz val="12"/>
            <color indexed="81"/>
            <rFont val="Tahoma"/>
            <family val="2"/>
          </rPr>
          <t>diameter hardware head or washer</t>
        </r>
      </text>
    </comment>
    <comment ref="X2" authorId="0" shapeId="0" xr:uid="{FAFC57E1-D620-48F8-A438-612420449BD5}">
      <text>
        <r>
          <rPr>
            <sz val="12"/>
            <color indexed="81"/>
            <rFont val="Tahoma"/>
            <family val="2"/>
          </rPr>
          <t>1 = 1  OVAL, 2 BOLTS
2 = CORNER WITH 4 BOLTS
3 = CORNER WITH 2 BOLTS</t>
        </r>
      </text>
    </comment>
    <comment ref="Y2" authorId="0" shapeId="0" xr:uid="{5E9FECA1-7376-4EB8-ABD6-7CB821EC975C}">
      <text>
        <r>
          <rPr>
            <sz val="12"/>
            <color indexed="81"/>
            <rFont val="Tahoma"/>
            <family val="2"/>
          </rPr>
          <t>1 = STANDARD
2 = CORNER CHAMF. &amp; HDWR NOTCHES
3 = CORNER CHAMF., NOTCHES &amp; 
      DOWNSTREAM INLET FLANGES
4 = CORNER CHAMF., NOTCHES &amp; 
      DS INLET FLANGES &amp; EXTRA MNT HOLE</t>
        </r>
      </text>
    </comment>
    <comment ref="O5" authorId="0" shapeId="0" xr:uid="{9F0B4659-83BB-48A5-B22D-D5BE30EAE56D}">
      <text>
        <r>
          <rPr>
            <b/>
            <sz val="9"/>
            <color indexed="81"/>
            <rFont val="Tahoma"/>
            <family val="2"/>
          </rPr>
          <t>.28?</t>
        </r>
      </text>
    </comment>
    <comment ref="T53" authorId="0" shapeId="0" xr:uid="{8047B334-D266-4861-94B3-10FBB5B74894}">
      <text>
        <r>
          <rPr>
            <b/>
            <sz val="9"/>
            <color indexed="81"/>
            <rFont val="Tahoma"/>
            <family val="2"/>
          </rPr>
          <t>washer</t>
        </r>
      </text>
    </comment>
    <comment ref="G60" authorId="0" shapeId="0" xr:uid="{D10795BF-DAEB-48A8-BB0B-88C2564EF6C7}">
      <text>
        <r>
          <rPr>
            <b/>
            <sz val="9"/>
            <color indexed="81"/>
            <rFont val="Tahoma"/>
            <family val="2"/>
          </rPr>
          <t>this matches the drawing
it doesn't match given excel data</t>
        </r>
      </text>
    </comment>
    <comment ref="T60" authorId="0" shapeId="0" xr:uid="{B64DD1D0-4D83-468E-BF4E-E26EDD40E4CF}">
      <text>
        <r>
          <rPr>
            <b/>
            <sz val="9"/>
            <color indexed="81"/>
            <rFont val="Tahoma"/>
            <family val="2"/>
          </rPr>
          <t>hex head</t>
        </r>
      </text>
    </comment>
    <comment ref="T95" authorId="0" shapeId="0" xr:uid="{FC2707E2-A72B-4B25-89D2-0B7BF938596F}">
      <text>
        <r>
          <rPr>
            <b/>
            <sz val="9"/>
            <color indexed="81"/>
            <rFont val="Tahoma"/>
            <family val="2"/>
          </rPr>
          <t>washer</t>
        </r>
      </text>
    </comment>
    <comment ref="A97" authorId="0" shapeId="0" xr:uid="{C9379524-3F52-492B-BB0C-36E5C4AC38E8}">
      <text>
        <r>
          <rPr>
            <b/>
            <sz val="9"/>
            <color indexed="81"/>
            <rFont val="Tahoma"/>
            <family val="2"/>
          </rPr>
          <t>SQ'ed fan</t>
        </r>
      </text>
    </comment>
    <comment ref="G100" authorId="0" shapeId="0" xr:uid="{E7F4EC07-FA15-4295-BFBE-8673EC420191}">
      <text>
        <r>
          <rPr>
            <b/>
            <sz val="9"/>
            <color indexed="81"/>
            <rFont val="Tahoma"/>
            <family val="2"/>
          </rPr>
          <t>this matches the drawing
it doesn't match given excel data</t>
        </r>
      </text>
    </comment>
    <comment ref="T100" authorId="0" shapeId="0" xr:uid="{D613793A-D72D-4862-9C23-EBE67527A645}">
      <text>
        <r>
          <rPr>
            <b/>
            <sz val="9"/>
            <color indexed="81"/>
            <rFont val="Tahoma"/>
            <family val="2"/>
          </rPr>
          <t>hex head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Eric Werner</author>
  </authors>
  <commentList>
    <comment ref="H15" authorId="0" shapeId="0" xr:uid="{5B9BFBE2-5316-492D-88DA-D81A450FDAD1}">
      <text>
        <r>
          <rPr>
            <b/>
            <sz val="9"/>
            <color indexed="81"/>
            <rFont val="Tahoma"/>
            <family val="2"/>
          </rPr>
          <t>Eric Werner:</t>
        </r>
        <r>
          <rPr>
            <sz val="9"/>
            <color indexed="81"/>
            <rFont val="Tahoma"/>
            <family val="2"/>
          </rPr>
          <t xml:space="preserve">
0=No Screen
1 = Screen
</t>
        </r>
      </text>
    </comment>
    <comment ref="P15" authorId="0" shapeId="0" xr:uid="{5D468CA2-2FC8-4EAD-BCF3-40A71720670F}">
      <text>
        <r>
          <rPr>
            <b/>
            <sz val="9"/>
            <color indexed="81"/>
            <rFont val="Tahoma"/>
            <family val="2"/>
          </rPr>
          <t>Eric Werner:</t>
        </r>
        <r>
          <rPr>
            <sz val="9"/>
            <color indexed="81"/>
            <rFont val="Tahoma"/>
            <family val="2"/>
          </rPr>
          <t xml:space="preserve">
Nominal RPM = Maximum RPM per EBM Papst</t>
        </r>
      </text>
    </comment>
  </commentList>
</comments>
</file>

<file path=xl/sharedStrings.xml><?xml version="1.0" encoding="utf-8"?>
<sst xmlns="http://schemas.openxmlformats.org/spreadsheetml/2006/main" count="5561" uniqueCount="2023">
  <si>
    <t>Input</t>
  </si>
  <si>
    <t>Parameter</t>
  </si>
  <si>
    <t>Value</t>
  </si>
  <si>
    <t>Description</t>
  </si>
  <si>
    <t>FANSIZE</t>
  </si>
  <si>
    <t>MTRVOLT</t>
  </si>
  <si>
    <t>KW</t>
  </si>
  <si>
    <t>FANSARRAY</t>
  </si>
  <si>
    <t>FANSWIDE</t>
  </si>
  <si>
    <t>MaterialStyle</t>
  </si>
  <si>
    <t>Construction</t>
  </si>
  <si>
    <t>FanBlockOffQty</t>
  </si>
  <si>
    <t>FanDamperOptn</t>
  </si>
  <si>
    <t>Segment Width</t>
  </si>
  <si>
    <t>Motor Voltage</t>
  </si>
  <si>
    <t>Motor KW</t>
  </si>
  <si>
    <t>Construction type - TBD</t>
  </si>
  <si>
    <t>BD, NO (back-draft, none)</t>
  </si>
  <si>
    <t>FanSpacingHorz_O</t>
  </si>
  <si>
    <t>FanToLinerHorz_O</t>
  </si>
  <si>
    <t>CollarThkO</t>
  </si>
  <si>
    <t>OpeningChannelThkO</t>
  </si>
  <si>
    <t>FanBlockOffThkO</t>
  </si>
  <si>
    <t>Override spacing between fans - Horizontally, wheel to wheel (not center to center)</t>
  </si>
  <si>
    <t>Override spacing from side liner to fan wheel (not to fan center)</t>
  </si>
  <si>
    <t>Override channel thickness</t>
  </si>
  <si>
    <t>Override collar thickness.  Mounts fans to ladder</t>
  </si>
  <si>
    <t>Override Fan blockoff thickness (Typ. 16 ga.)</t>
  </si>
  <si>
    <t>Ladder Rail</t>
  </si>
  <si>
    <t>Separator Panel</t>
  </si>
  <si>
    <t>Lad_Rail_Thk_Ga</t>
  </si>
  <si>
    <t>Sep_Pnl1_Thk_Ga</t>
  </si>
  <si>
    <t>Lad_Rail_Thk</t>
  </si>
  <si>
    <t>Lad_End_Sup_Width</t>
  </si>
  <si>
    <t>Lad_Mid_Sup_Width</t>
  </si>
  <si>
    <t>Lad_Rail_Length</t>
  </si>
  <si>
    <t>Sep_Pnl1_Length</t>
  </si>
  <si>
    <t>Lad_Rail_Flg1</t>
  </si>
  <si>
    <t>Lad_Rail_Flg2</t>
  </si>
  <si>
    <t>Lad_Rail_Flg3</t>
  </si>
  <si>
    <t>Sep_Pnl1_Hole1_X_loc</t>
  </si>
  <si>
    <t>Lad_End_Hole1_X_loc</t>
  </si>
  <si>
    <t>Sep_Pnl1_Hole1_Z_loc</t>
  </si>
  <si>
    <t>Lad_Rail_Hole1_X_loc</t>
  </si>
  <si>
    <t>Sep_Pnl1_Hole1_Z1_Spac</t>
  </si>
  <si>
    <t>Lad_Rail_Hole1_Z_loc</t>
  </si>
  <si>
    <t>Lad_Rail_Hole1_Z_Spac</t>
  </si>
  <si>
    <t>Sep_Pnl1_Hole1_Z2_Spac</t>
  </si>
  <si>
    <t>Lad_Rail_Hole1_Z_Qty</t>
  </si>
  <si>
    <t>Lad_Rail_Chf_Dist</t>
  </si>
  <si>
    <t>Lad_Rail_Hole2_X_loc</t>
  </si>
  <si>
    <t>Sep_Pnl1_Hole2_Y_loc</t>
  </si>
  <si>
    <t>Lad_Rail_Hole2_Z_loc</t>
  </si>
  <si>
    <t>Sep_Pnl1_Hole2_Y_Spac</t>
  </si>
  <si>
    <t>Lad_Rail_Hole2_X1_Spac</t>
  </si>
  <si>
    <t>Lad_Rail_Hole2_X1_Qty</t>
  </si>
  <si>
    <t>Lad_Rail_Hole2_X2_Spac</t>
  </si>
  <si>
    <t>Lad_Rail_Hole2_X2_Qty</t>
  </si>
  <si>
    <t>Lad_Rail_Hole3_X_loc</t>
  </si>
  <si>
    <t>Lad_Rail_Hole3_Y_loc</t>
  </si>
  <si>
    <t>Lad_Rail_Hole3_X1_Spacing</t>
  </si>
  <si>
    <t>Lad_Rail_Hole5_X_loc</t>
  </si>
  <si>
    <t>Lad_Rail_Hole5_Z1_loc</t>
  </si>
  <si>
    <t>Lad_Rail_Hole5_Z2_loc</t>
  </si>
  <si>
    <t>Separator Support Bkt</t>
  </si>
  <si>
    <t>Separator Mounting Bkt</t>
  </si>
  <si>
    <t>BlankOff</t>
  </si>
  <si>
    <t>Sep_Sup_Bkt_Thk_Ga</t>
  </si>
  <si>
    <t>Sep_Mtg_Bkt_Thk_Ga</t>
  </si>
  <si>
    <t>BlankOff_Thk_Ga</t>
  </si>
  <si>
    <t>Sep_Sup_Bkt_Thk</t>
  </si>
  <si>
    <t>Sep_Mtg_Bkt_Thk</t>
  </si>
  <si>
    <t>BlankOff_Thk</t>
  </si>
  <si>
    <t>Sep_Sup_Bkt_Width</t>
  </si>
  <si>
    <t>Sep_Mtg_Bkt_Height</t>
  </si>
  <si>
    <t>BlankOff_Width</t>
  </si>
  <si>
    <t>Sep_Sup_Bkt_Length</t>
  </si>
  <si>
    <t>Sep_Mtg_Bkt_Length</t>
  </si>
  <si>
    <t>BlankOff_Length</t>
  </si>
  <si>
    <t>Sep_Sup_Bkt_Flg1</t>
  </si>
  <si>
    <t>Sep_mtg_Bkt_Flg1</t>
  </si>
  <si>
    <t>BlankOff_Flg1</t>
  </si>
  <si>
    <t>Sep_Sup_Bkt_Flg2</t>
  </si>
  <si>
    <t>Sep_mtg_Bkt_Hole1_Dia</t>
  </si>
  <si>
    <t>Sep_mtg_Bkt_Hole1_X_loc</t>
  </si>
  <si>
    <t>Sep_mtg_Bkt_Hole1_Z_loc</t>
  </si>
  <si>
    <t>Sep_Sup_Bkt_Hole1_X_loc</t>
  </si>
  <si>
    <t>Sep_mtg_Bkt_Hole1_Z_Spac</t>
  </si>
  <si>
    <t>Sep_Sup_Bkt_Hole1_Z_loc</t>
  </si>
  <si>
    <t>Sep_Sup_Bkt_Hole1_X_Spac</t>
  </si>
  <si>
    <t>Sep_mtg_Bkt_Hole2_X_loc</t>
  </si>
  <si>
    <t>Wheel Hrdwr Bolt Circ</t>
  </si>
  <si>
    <t>Wheel Hrdwr Angle</t>
  </si>
  <si>
    <t>Wheel Hrdwr Qty</t>
  </si>
  <si>
    <t>inlet pnl opening</t>
  </si>
  <si>
    <t>Funnel Mnt Face dia.</t>
  </si>
  <si>
    <t xml:space="preserve">Funnel Radius 1 </t>
  </si>
  <si>
    <t>Funnel Radius2 dia.</t>
  </si>
  <si>
    <t xml:space="preserve">Funnel Radius 2 </t>
  </si>
  <si>
    <t>Funnel W</t>
  </si>
  <si>
    <t>Funnel Thk</t>
  </si>
  <si>
    <t>Wheel Start</t>
  </si>
  <si>
    <t>Wheel W</t>
  </si>
  <si>
    <t>Wheel Rim W</t>
  </si>
  <si>
    <t>Wheel Rim R1</t>
  </si>
  <si>
    <t>Wheel Funnel R2</t>
  </si>
  <si>
    <t>Wheel Funnel Angle</t>
  </si>
  <si>
    <t>Wheel Funnel dia.</t>
  </si>
  <si>
    <t>K</t>
  </si>
  <si>
    <t>L</t>
  </si>
  <si>
    <t>M</t>
  </si>
  <si>
    <t>Mtr Rear to Panel</t>
  </si>
  <si>
    <t>Wh. Blade L</t>
  </si>
  <si>
    <t>Wh. Blade Arc H</t>
  </si>
  <si>
    <t>Wh. Blade Angle</t>
  </si>
  <si>
    <t>Wh. Blade Ref. Dia. 1</t>
  </si>
  <si>
    <t>Wh. Blade Ref. Dia. 2</t>
  </si>
  <si>
    <t>MIN btm of unit to fan inlet panel</t>
  </si>
  <si>
    <t>V</t>
  </si>
  <si>
    <t>W</t>
  </si>
  <si>
    <t>Fan</t>
  </si>
  <si>
    <t>wheel dia</t>
  </si>
  <si>
    <t>Size</t>
  </si>
  <si>
    <t>WD</t>
  </si>
  <si>
    <t>Y</t>
  </si>
  <si>
    <t>Z</t>
  </si>
  <si>
    <t>AA</t>
  </si>
  <si>
    <t>AB</t>
  </si>
  <si>
    <t>AC</t>
  </si>
  <si>
    <t>AD</t>
  </si>
  <si>
    <t>AE</t>
  </si>
  <si>
    <t>AF</t>
  </si>
  <si>
    <t>AG</t>
  </si>
  <si>
    <t>AH</t>
  </si>
  <si>
    <t>AI</t>
  </si>
  <si>
    <t>AJ</t>
  </si>
  <si>
    <t>AL</t>
  </si>
  <si>
    <t>AU</t>
  </si>
  <si>
    <t>AZ</t>
  </si>
  <si>
    <t>BA</t>
  </si>
  <si>
    <t>BB</t>
  </si>
  <si>
    <t>BC</t>
  </si>
  <si>
    <t>BD</t>
  </si>
  <si>
    <t>BE</t>
  </si>
  <si>
    <t>14.17</t>
  </si>
  <si>
    <t>15.91</t>
  </si>
  <si>
    <t>17.91</t>
  </si>
  <si>
    <t>19.88</t>
  </si>
  <si>
    <t>22.28</t>
  </si>
  <si>
    <t>25.04</t>
  </si>
  <si>
    <t>28.19</t>
  </si>
  <si>
    <t>31.73</t>
  </si>
  <si>
    <t>35.79</t>
  </si>
  <si>
    <t>Voltage</t>
  </si>
  <si>
    <t>Fan Model</t>
  </si>
  <si>
    <t>Inlet Plate H&amp;W</t>
  </si>
  <si>
    <t>Mtr Plate H&amp;W</t>
  </si>
  <si>
    <t xml:space="preserve">Total Length Inlet to back </t>
  </si>
  <si>
    <t>Btwn Plates</t>
  </si>
  <si>
    <t>Inlet Plate Flng</t>
  </si>
  <si>
    <t>Plate Thk</t>
  </si>
  <si>
    <t>Mtr Plate Flng</t>
  </si>
  <si>
    <t>Inlet Mnt Hole Qty</t>
  </si>
  <si>
    <t>Inlet Mnt Hole Spacing</t>
  </si>
  <si>
    <t>Inlet Mnt Hole Start</t>
  </si>
  <si>
    <t>Inlet Mnt Hole Size</t>
  </si>
  <si>
    <t>side hrdwr ext.</t>
  </si>
  <si>
    <t>Frame hrdwr to side</t>
  </si>
  <si>
    <t>Frame hrdwr 1 spacing</t>
  </si>
  <si>
    <t>Frame hrdwr 2 spacing</t>
  </si>
  <si>
    <t>Frame hrdwr dia.</t>
  </si>
  <si>
    <t>Mtr dia.</t>
  </si>
  <si>
    <t>back of mtr to inlet face</t>
  </si>
  <si>
    <t>Frame style oval/angle</t>
  </si>
  <si>
    <t xml:space="preserve">Collar style </t>
  </si>
  <si>
    <t>non "W" back of mtr to inlet face</t>
  </si>
  <si>
    <t>Locate WAGO Connector</t>
  </si>
  <si>
    <t>Damper</t>
  </si>
  <si>
    <t>FAN_A</t>
  </si>
  <si>
    <t>FAN_T</t>
  </si>
  <si>
    <t>FAN_TL</t>
  </si>
  <si>
    <t>FAN_S</t>
  </si>
  <si>
    <t>FAN_B</t>
  </si>
  <si>
    <t>FAN_C</t>
  </si>
  <si>
    <t>FAN_U</t>
  </si>
  <si>
    <t>FAN_F</t>
  </si>
  <si>
    <t>FAN_G</t>
  </si>
  <si>
    <t>FAN_E</t>
  </si>
  <si>
    <t>FAN_D</t>
  </si>
  <si>
    <t>FAN_SD</t>
  </si>
  <si>
    <t>FAN_H</t>
  </si>
  <si>
    <t>FAN_J</t>
  </si>
  <si>
    <t>FAN_I</t>
  </si>
  <si>
    <t>FAN_HD</t>
  </si>
  <si>
    <t>FAN_AW</t>
  </si>
  <si>
    <t>FAN_LG</t>
  </si>
  <si>
    <t>FAN_WD</t>
  </si>
  <si>
    <t>FAN_FS</t>
  </si>
  <si>
    <t>FAN_CS</t>
  </si>
  <si>
    <t>FAN_LG_orig</t>
  </si>
  <si>
    <t>WAGO_Dist1</t>
  </si>
  <si>
    <t>WAGO_Dist2</t>
  </si>
  <si>
    <t>WAGO_Dist3</t>
  </si>
  <si>
    <t>WAGO_Dist4</t>
  </si>
  <si>
    <t>OpeningOS</t>
  </si>
  <si>
    <t>DamperSize</t>
  </si>
  <si>
    <t>GR25C</t>
  </si>
  <si>
    <t>310G3_4.5</t>
  </si>
  <si>
    <t>GR31C</t>
  </si>
  <si>
    <t>355G3_4.5</t>
  </si>
  <si>
    <t>GR35C</t>
  </si>
  <si>
    <t>400G3_4.5</t>
  </si>
  <si>
    <t>GR40C</t>
  </si>
  <si>
    <t>450G3_4.5</t>
  </si>
  <si>
    <t>450G3_8</t>
  </si>
  <si>
    <t>GR45C</t>
  </si>
  <si>
    <t>500G3_4.5</t>
  </si>
  <si>
    <t>500G3_8</t>
  </si>
  <si>
    <t>GR50C</t>
  </si>
  <si>
    <t>560G3_4.5</t>
  </si>
  <si>
    <t>560G3_8</t>
  </si>
  <si>
    <t>GR56C</t>
  </si>
  <si>
    <t>GR63C</t>
  </si>
  <si>
    <t>Page: 001-013</t>
  </si>
  <si>
    <t>Edit Manual</t>
  </si>
  <si>
    <t>PRODUCT: Solution</t>
  </si>
  <si>
    <t>Title: ECM Fans Purchase Parts</t>
  </si>
  <si>
    <t>001-013.xls</t>
  </si>
  <si>
    <t>Rel/Rev Date: 11-08-16</t>
  </si>
  <si>
    <t>Revision Level :
New</t>
  </si>
  <si>
    <t>ECN Number :
16-9146</t>
  </si>
  <si>
    <t>EFFDATE</t>
  </si>
  <si>
    <t>INFFANTYPE</t>
  </si>
  <si>
    <t>VOLTAGE</t>
  </si>
  <si>
    <t>HP</t>
  </si>
  <si>
    <t>INLET GUARD/SCREEN</t>
  </si>
  <si>
    <t>PIEZORING</t>
  </si>
  <si>
    <t>PART_NUMBER</t>
  </si>
  <si>
    <r>
      <t xml:space="preserve">Description </t>
    </r>
    <r>
      <rPr>
        <b/>
        <sz val="10"/>
        <color indexed="48"/>
        <rFont val="Arial"/>
        <family val="2"/>
      </rPr>
      <t>(30 character max)</t>
    </r>
  </si>
  <si>
    <r>
      <t>Extended description 1</t>
    </r>
    <r>
      <rPr>
        <b/>
        <sz val="10"/>
        <color indexed="48"/>
        <rFont val="Arial"/>
        <family val="2"/>
      </rPr>
      <t xml:space="preserve"> (40 character max)</t>
    </r>
  </si>
  <si>
    <r>
      <t xml:space="preserve">Extended description 2  </t>
    </r>
    <r>
      <rPr>
        <b/>
        <sz val="10"/>
        <color indexed="48"/>
        <rFont val="Arial"/>
        <family val="2"/>
      </rPr>
      <t>(40 character max)</t>
    </r>
  </si>
  <si>
    <t>Weight</t>
  </si>
  <si>
    <t>FLA</t>
  </si>
  <si>
    <t>Nominal RPM</t>
  </si>
  <si>
    <t>Power Factor</t>
  </si>
  <si>
    <t>Efficiency</t>
  </si>
  <si>
    <t xml:space="preserve">Compare WAGO P/N to non-WAGO P/N </t>
  </si>
  <si>
    <t>FanVoltKW</t>
  </si>
  <si>
    <t>PLENUMRADIPAC</t>
  </si>
  <si>
    <t>YES</t>
  </si>
  <si>
    <t>026-50033-001</t>
  </si>
  <si>
    <t>EBM_250_380-480V_3PH_1KW</t>
  </si>
  <si>
    <t>WITHOUT_FINGER_INLET_GUARD</t>
  </si>
  <si>
    <t>EBM_PN:_EG1R-480-250-12</t>
  </si>
  <si>
    <t>250_460_1</t>
  </si>
  <si>
    <t>026-50033-101</t>
  </si>
  <si>
    <t>WITH_FINGER_INLET_GUARD</t>
  </si>
  <si>
    <t>026-50033-011</t>
  </si>
  <si>
    <t>EBM_250_200-240V_3PH_1KW</t>
  </si>
  <si>
    <t>EBM_PN:_EG1R-240-250-12</t>
  </si>
  <si>
    <t>250_208_1</t>
  </si>
  <si>
    <t>026-50033-111</t>
  </si>
  <si>
    <t>250_230_1</t>
  </si>
  <si>
    <t>na</t>
  </si>
  <si>
    <t>026-50034-001</t>
  </si>
  <si>
    <t>EBM_280_380-480V_3PH_1KW</t>
  </si>
  <si>
    <t>EBM_PN:_EG1R-480-280-12</t>
  </si>
  <si>
    <t>280_460_1</t>
  </si>
  <si>
    <t>026-50034-101</t>
  </si>
  <si>
    <t>026-50034-011</t>
  </si>
  <si>
    <t>EBM_280_200-240V_3PH_1KW</t>
  </si>
  <si>
    <t>EBM_PN:_EG1R-240-280-12</t>
  </si>
  <si>
    <t>280_208_1</t>
  </si>
  <si>
    <t>026-50034-111</t>
  </si>
  <si>
    <t>280_230_1</t>
  </si>
  <si>
    <t>026-50035-001</t>
  </si>
  <si>
    <t>EBM_310_380-480V_3PH_3KW</t>
  </si>
  <si>
    <t>EBM_PN:_EG1R-480-310-35</t>
  </si>
  <si>
    <t>310_460_3</t>
  </si>
  <si>
    <t>026-50035-101</t>
  </si>
  <si>
    <t>026-50035-011</t>
  </si>
  <si>
    <t>EBM_310_200-240V_3PH_3KW</t>
  </si>
  <si>
    <t>EBM_PN:_EG1R-240-310-35</t>
  </si>
  <si>
    <t>310_208_3</t>
  </si>
  <si>
    <t>026-50035-111</t>
  </si>
  <si>
    <t>310_230_3</t>
  </si>
  <si>
    <t>026-50036-001</t>
  </si>
  <si>
    <t>EBM_355_380-480V_3PH_3KW</t>
  </si>
  <si>
    <t>EBM_PN:_EG1R-480-355-32</t>
  </si>
  <si>
    <t>355_460_3</t>
  </si>
  <si>
    <t>026-50036-101</t>
  </si>
  <si>
    <t>026-50036-011</t>
  </si>
  <si>
    <t>EBM_355_200-240V_3PH_3KW</t>
  </si>
  <si>
    <t>EBM_PN:_EG1R-240-355-32</t>
  </si>
  <si>
    <t>355_208_3</t>
  </si>
  <si>
    <t>026-50036-111</t>
  </si>
  <si>
    <t>355_230_3</t>
  </si>
  <si>
    <t>026-50037-001</t>
  </si>
  <si>
    <t>EBM_400_380-480V_3PH_3KW</t>
  </si>
  <si>
    <t>EBM_PN:_EG1R-480-400-48</t>
  </si>
  <si>
    <t>400_460_3</t>
  </si>
  <si>
    <t>026-50037-101</t>
  </si>
  <si>
    <t>026-50037-011</t>
  </si>
  <si>
    <t>EBM_400_200-240V_3PH_3KW</t>
  </si>
  <si>
    <t>EBM_PN:_EG1R-240-400-48</t>
  </si>
  <si>
    <t>400_208_3</t>
  </si>
  <si>
    <t>026-50037-111</t>
  </si>
  <si>
    <t>400_230_3</t>
  </si>
  <si>
    <t>026-50038-001</t>
  </si>
  <si>
    <t>EBM_450_380-480V_3PH_3KW</t>
  </si>
  <si>
    <t>EBM_PN:_EG1R-480-450-48</t>
  </si>
  <si>
    <t>450_460_3</t>
  </si>
  <si>
    <t>026-50038-002</t>
  </si>
  <si>
    <t>EBM_450_380-480V_3PH_6KW</t>
  </si>
  <si>
    <t>EBM_PN:_EG1R-480-450-68</t>
  </si>
  <si>
    <t>450_460_6</t>
  </si>
  <si>
    <t>026-51038-101</t>
  </si>
  <si>
    <t>026-51038-102</t>
  </si>
  <si>
    <t>026-50038-011</t>
  </si>
  <si>
    <t>EBM_450_200-240V_3PH_3KW</t>
  </si>
  <si>
    <t>EBM_PN:_EG1R-240-450-48</t>
  </si>
  <si>
    <t>450_208_3</t>
  </si>
  <si>
    <t>026-50038-012</t>
  </si>
  <si>
    <t>EBM_450_200-240V_3PH_6KW</t>
  </si>
  <si>
    <t>EBM_PN:_EG1R-240-450-68</t>
  </si>
  <si>
    <t>450_208_6</t>
  </si>
  <si>
    <t>026-51038-111</t>
  </si>
  <si>
    <t>026-51038-112</t>
  </si>
  <si>
    <t>450_230_3</t>
  </si>
  <si>
    <t>450_230_6</t>
  </si>
  <si>
    <t>026-50039-001</t>
  </si>
  <si>
    <t>EBM_500_380-480V_3PH_3KW</t>
  </si>
  <si>
    <t>EBM_PN:_EG1R-480-500-48</t>
  </si>
  <si>
    <t>500_460_3</t>
  </si>
  <si>
    <t>026-50039-002</t>
  </si>
  <si>
    <t>EBM_500_380-480V_3PH_6KW</t>
  </si>
  <si>
    <t>EBM_PN:_EG1R-480-500-58</t>
  </si>
  <si>
    <t>500_460_6</t>
  </si>
  <si>
    <t>026-51039-101</t>
  </si>
  <si>
    <t>026-51039-102</t>
  </si>
  <si>
    <t>026-50039-011</t>
  </si>
  <si>
    <t>EBM_500_200-240V_3PH_3KW</t>
  </si>
  <si>
    <t>EBM_PN:_EG1R-240-500-48</t>
  </si>
  <si>
    <t>500_208_3</t>
  </si>
  <si>
    <t>026-50039-012</t>
  </si>
  <si>
    <t>EBM_500_200-240V_3PH_6KW</t>
  </si>
  <si>
    <t>EBM_PN:_EG1R-240-500-58</t>
  </si>
  <si>
    <t>500_208_6</t>
  </si>
  <si>
    <t>026-51039-111</t>
  </si>
  <si>
    <t>026-51039-112</t>
  </si>
  <si>
    <t>500_230_3</t>
  </si>
  <si>
    <t>500_230_6</t>
  </si>
  <si>
    <t>026-50040-001</t>
  </si>
  <si>
    <t>EBM_560_380-480V_3PH_3KW</t>
  </si>
  <si>
    <t>EBM_PN:_EG1R-480-560-48</t>
  </si>
  <si>
    <t>560_460_3</t>
  </si>
  <si>
    <t>026-50040-002</t>
  </si>
  <si>
    <t>EBM_560_380-480V_3PH_6KW</t>
  </si>
  <si>
    <t>EBM_PN:_EG1R-480-560-68</t>
  </si>
  <si>
    <t>560_460_6</t>
  </si>
  <si>
    <t>026-51040-101</t>
  </si>
  <si>
    <t>026-51040-102</t>
  </si>
  <si>
    <t>026-50040-011</t>
  </si>
  <si>
    <t>EBM_560_200-240V_3PH_3KW</t>
  </si>
  <si>
    <t>EBM_PN:_EG1R-240-560-48</t>
  </si>
  <si>
    <t>560_208_3</t>
  </si>
  <si>
    <t>026-50040-012</t>
  </si>
  <si>
    <t>EBM_560_200-240V_3PH_6KW</t>
  </si>
  <si>
    <t>EBM_PN:_EG1R-240-560-68</t>
  </si>
  <si>
    <t>560_208_6</t>
  </si>
  <si>
    <t>026-51040-111</t>
  </si>
  <si>
    <t>026-51040-112</t>
  </si>
  <si>
    <t>560_230_3</t>
  </si>
  <si>
    <t>560_230_6</t>
  </si>
  <si>
    <t>026-50041-001</t>
  </si>
  <si>
    <t>EBM_630_380-480V_3PH_3KW</t>
  </si>
  <si>
    <t>EBM_PN:_EG1R-480-630-33</t>
  </si>
  <si>
    <t>630_460_3</t>
  </si>
  <si>
    <t>026-50041-002</t>
  </si>
  <si>
    <t>EBM_630_380-480V_3PH_6KW</t>
  </si>
  <si>
    <t>EBM_PN:_K3G630-AQ01-05</t>
  </si>
  <si>
    <t>630_460_6</t>
  </si>
  <si>
    <t>026-50041-003</t>
  </si>
  <si>
    <t>EBM_630_380-480V_3PH_7.5KW</t>
  </si>
  <si>
    <t>EBM_PN:_K3G630-AR02-01</t>
  </si>
  <si>
    <t>630_460_7.5</t>
  </si>
  <si>
    <t>026-50041-004</t>
  </si>
  <si>
    <t>EBM_630_380-480V_3PH_12KW</t>
  </si>
  <si>
    <t>EBM_PN:_K3G630-AS05-01</t>
  </si>
  <si>
    <t>630_460_12</t>
  </si>
  <si>
    <t>026-50041-005</t>
  </si>
  <si>
    <t>EBM_630_380-480V_3PH_13.5KW</t>
  </si>
  <si>
    <t>EBM_PN:_K3G630-AT09-01</t>
  </si>
  <si>
    <t>630_460_13.5</t>
  </si>
  <si>
    <t>026-51041-101</t>
  </si>
  <si>
    <t>026-51041-102</t>
  </si>
  <si>
    <t>026-51041-103</t>
  </si>
  <si>
    <t>026-51041-104</t>
  </si>
  <si>
    <t>026-51041-105</t>
  </si>
  <si>
    <t>026-50041-012</t>
  </si>
  <si>
    <t>EBM_630_200-240V_3PH_6KW</t>
  </si>
  <si>
    <t>EBM_PN:_K3G630-AQ03-19</t>
  </si>
  <si>
    <t>630_208_6</t>
  </si>
  <si>
    <t>026-51041-112</t>
  </si>
  <si>
    <t>630_230_6</t>
  </si>
  <si>
    <t>026-50042-001</t>
  </si>
  <si>
    <t>EBM_710_380-480V_3PH_3KW</t>
  </si>
  <si>
    <t>EBM_PN:_EG1R-480-710-02</t>
  </si>
  <si>
    <t>710_460_3</t>
  </si>
  <si>
    <t>026-50042-002</t>
  </si>
  <si>
    <t>EBM_710_380-480V_3PH_6KW</t>
  </si>
  <si>
    <t>EBM_PN:_K3G710-AQ01-09</t>
  </si>
  <si>
    <t>710_460_6</t>
  </si>
  <si>
    <t>026-50042-003</t>
  </si>
  <si>
    <t>EBM_710_380-480V_3PH_7.5KW</t>
  </si>
  <si>
    <t>EBM_PN:_K3G710-AR03-01</t>
  </si>
  <si>
    <t>710_460_7.5</t>
  </si>
  <si>
    <t>026-50042-004</t>
  </si>
  <si>
    <t>EBM_710_380-480V_3PH_12KW</t>
  </si>
  <si>
    <t>EBM_PN:_K3G710-AS06-01</t>
  </si>
  <si>
    <t>710_460_12</t>
  </si>
  <si>
    <t>026-51042-101</t>
  </si>
  <si>
    <t>026-51042-102</t>
  </si>
  <si>
    <t>026-51042-103</t>
  </si>
  <si>
    <t>026-51042-104</t>
  </si>
  <si>
    <t>026-50042-012</t>
  </si>
  <si>
    <t>EBM_710_200-240V_3PH_6KW</t>
  </si>
  <si>
    <t>EBM_PN:_K3G710-AQ04-19</t>
  </si>
  <si>
    <t>710_208_6</t>
  </si>
  <si>
    <t>026-51042-112</t>
  </si>
  <si>
    <t>710_230_6</t>
  </si>
  <si>
    <t>026-50043-001</t>
  </si>
  <si>
    <t>EBM_800_380-480V_3PH_6KW</t>
  </si>
  <si>
    <t>EBM_PN:_K3G800-AQ03-09</t>
  </si>
  <si>
    <t>800_460_6</t>
  </si>
  <si>
    <t>026-50043-002</t>
  </si>
  <si>
    <t>EBM_800_380-480V_3PH_7.5KW</t>
  </si>
  <si>
    <t>EBM_PN:_K3G800-AR08-01</t>
  </si>
  <si>
    <t>800_460_7.5</t>
  </si>
  <si>
    <t>026-50043-003</t>
  </si>
  <si>
    <t>EBM_800_380-480V_3PH_12KW</t>
  </si>
  <si>
    <t>EBM_PN:_K3G800-AS07-01</t>
  </si>
  <si>
    <t>800_460_12</t>
  </si>
  <si>
    <t>026-51043-101</t>
  </si>
  <si>
    <t>026-51043-102</t>
  </si>
  <si>
    <t>026-51043-103</t>
  </si>
  <si>
    <t>026-50043-011</t>
  </si>
  <si>
    <t>EBM_800_200-240V_3PH_6KW</t>
  </si>
  <si>
    <t>EBM_PN:_K3G800-AQ06-19</t>
  </si>
  <si>
    <t>800_208_6</t>
  </si>
  <si>
    <t>026-51043-111</t>
  </si>
  <si>
    <t>800_230_6</t>
  </si>
  <si>
    <t>026-50044-001</t>
  </si>
  <si>
    <t>EBM_900_380-480V_3PH_6KW</t>
  </si>
  <si>
    <t>EBM_PN:_K3G900-AQ01-09</t>
  </si>
  <si>
    <t>900_460_6</t>
  </si>
  <si>
    <t>026-50044-002</t>
  </si>
  <si>
    <t>EBM_900_380-480V_3PH_12KW</t>
  </si>
  <si>
    <t>EBM_PN:_K3G900-AS08-01</t>
  </si>
  <si>
    <t>900_460_12</t>
  </si>
  <si>
    <t>026-51044-101</t>
  </si>
  <si>
    <t>026-51044-102</t>
  </si>
  <si>
    <t>026-50044-011</t>
  </si>
  <si>
    <t>EBM_900_200-240V_3PH_6KW</t>
  </si>
  <si>
    <t>EBM_PN:_K3G900-AQ07-19</t>
  </si>
  <si>
    <t>900_208_6</t>
  </si>
  <si>
    <t>026-51044-111</t>
  </si>
  <si>
    <t>900_230_6</t>
  </si>
  <si>
    <t>EBM_250_460V_3PH_1KW</t>
  </si>
  <si>
    <t>BASE_WITH_WAGO</t>
  </si>
  <si>
    <t>EBM_PN:_EG1R-480-250-11W</t>
  </si>
  <si>
    <t>BASE_WITH_WAGO_WITH_FINGER_INLET_GUARD</t>
  </si>
  <si>
    <t>EBM_250_208V_3PH_1KW</t>
  </si>
  <si>
    <t>EBM_PN:_EG1R-240-250-11W</t>
  </si>
  <si>
    <t>026-50033-021</t>
  </si>
  <si>
    <t>EBM_250_230V_3PH_1KW</t>
  </si>
  <si>
    <t>026-50033-121</t>
  </si>
  <si>
    <t>EBM_280_460V_3PH_1KW</t>
  </si>
  <si>
    <t>EBM_PN:_EG1R480-280-11W</t>
  </si>
  <si>
    <t>EBM_280_208V_3PH_1KW</t>
  </si>
  <si>
    <t>EBM_PN:_EG1R240-280-11W</t>
  </si>
  <si>
    <t>026-50034-021</t>
  </si>
  <si>
    <t>EBM_280_230V_3PH_1KW</t>
  </si>
  <si>
    <t>026-50034-121</t>
  </si>
  <si>
    <t>EBM_310_208V_3PH_3KW</t>
  </si>
  <si>
    <t>EBM_PN:_EG1R240-310-13W</t>
  </si>
  <si>
    <t>026-50035-021</t>
  </si>
  <si>
    <t>EBM_310_230V_3PH_3KW</t>
  </si>
  <si>
    <t>026-50035-121</t>
  </si>
  <si>
    <t>EBM_310_460V_3PH_3KW</t>
  </si>
  <si>
    <t>EBM_PN:_EG1R480-310-13W</t>
  </si>
  <si>
    <t>EBM_355_460V_3PH_3KW</t>
  </si>
  <si>
    <t>EBM_PN:_EG1R480-355-12W</t>
  </si>
  <si>
    <t>EBM_355_208V_3PH_3KW</t>
  </si>
  <si>
    <t>EBM_PN:_EG1R240-355-12W</t>
  </si>
  <si>
    <t>026-50036-021</t>
  </si>
  <si>
    <t>EBM_355_230V_3PH_3KW</t>
  </si>
  <si>
    <t>026-50036-121</t>
  </si>
  <si>
    <t>EBM_400_460V_3PH_3KW</t>
  </si>
  <si>
    <t>EBM_PN:_EG1R480-400-13W</t>
  </si>
  <si>
    <t>EBM_400_208V_3PH_3KW</t>
  </si>
  <si>
    <t>EBM_PN:_EG1R240-400-13W</t>
  </si>
  <si>
    <t>026-50037-021</t>
  </si>
  <si>
    <t>EBM_400_230V_3PH_3KW</t>
  </si>
  <si>
    <t>026-50037-121</t>
  </si>
  <si>
    <t>EBM_450_460V_3PH_3KW</t>
  </si>
  <si>
    <t>EBM_PN:_EG1R480-450-13W</t>
  </si>
  <si>
    <t>EBM_450_460V_3PH_6KW</t>
  </si>
  <si>
    <t>EBM_PN:_EG1R480-450-16W</t>
  </si>
  <si>
    <t>EBM_450_208V_3PH_3KW</t>
  </si>
  <si>
    <t>EBM_PN:_EG1R240-450-13W</t>
  </si>
  <si>
    <t>EBM_450_208V_3PH_6KW</t>
  </si>
  <si>
    <t>EBM_PN:_EG1R240-450-16W</t>
  </si>
  <si>
    <t>026-50038-021</t>
  </si>
  <si>
    <t>EBM_450_230V_3PH_3KW</t>
  </si>
  <si>
    <t>026-50038-022</t>
  </si>
  <si>
    <t>EBM_450_230V_3PH_6KW</t>
  </si>
  <si>
    <t>026-51038-121</t>
  </si>
  <si>
    <t>026-51038-122</t>
  </si>
  <si>
    <t>EBM_500_460V_3PH_3KW</t>
  </si>
  <si>
    <t>EBM_PN:_EG1R480-500-13W</t>
  </si>
  <si>
    <t>EBM_500_460V_3PH_6KW</t>
  </si>
  <si>
    <t>EBM_PN:_EG1R480-500-16W</t>
  </si>
  <si>
    <t>EBM_500_208V_3PH_3KW</t>
  </si>
  <si>
    <t>EBM_PN:_EG1R240-500-13W</t>
  </si>
  <si>
    <t>EBM_500_208V_3PH_6KW</t>
  </si>
  <si>
    <t>EBM_PN:_EG1R240-500-16W</t>
  </si>
  <si>
    <t>026-50039-021</t>
  </si>
  <si>
    <t>EBM_500_230V_3PH_3KW</t>
  </si>
  <si>
    <t>026-50039-022</t>
  </si>
  <si>
    <t>EBM_500_230V_3PH_6KW</t>
  </si>
  <si>
    <t>026-51039-121</t>
  </si>
  <si>
    <t>026-51039-122</t>
  </si>
  <si>
    <t>EBM_560_460V_3PH_3KW</t>
  </si>
  <si>
    <t>EBM_PN:_EG1R480-560-13W</t>
  </si>
  <si>
    <t>EBM_560_460V_3PH_6KW</t>
  </si>
  <si>
    <t>EBM_PN:_EG1R480-560-16W</t>
  </si>
  <si>
    <t>EBM_560_208V_3PH_3KW</t>
  </si>
  <si>
    <t>EBM_PN:_EG1R240-560-13W</t>
  </si>
  <si>
    <t>EBM_560_208V_3PH_6KW</t>
  </si>
  <si>
    <t>EBM_PN:_EG1R240-560-16W</t>
  </si>
  <si>
    <t>026-50040-021</t>
  </si>
  <si>
    <t>EBM_560_230V_3PH_3KW</t>
  </si>
  <si>
    <t>026-50040-022</t>
  </si>
  <si>
    <t>EBM_560_230V_3PH_6KW</t>
  </si>
  <si>
    <t>026-51040-121</t>
  </si>
  <si>
    <t>026-51040-122</t>
  </si>
  <si>
    <t>EBM_630_460V_3PH_3KW</t>
  </si>
  <si>
    <t>EBM_PN:_EG1R480-630-13W</t>
  </si>
  <si>
    <t>EBM_630_460V_3PH_6KW</t>
  </si>
  <si>
    <t>EBM_PN:_K3G630-AQ01-05W</t>
  </si>
  <si>
    <t>EBM_630_460V_3PH_7.5KW</t>
  </si>
  <si>
    <t>EBM_PN:_K3G630-AR02-01W</t>
  </si>
  <si>
    <t>EBM_630_460V_3PH_12KW</t>
  </si>
  <si>
    <t>EBM_PN:_K3G630-AS05-01W</t>
  </si>
  <si>
    <t>EBM_630_460V_3PH_13.5KW</t>
  </si>
  <si>
    <t>EBM_PN:_K3G630-AT09-01W</t>
  </si>
  <si>
    <t>026-50041-011</t>
  </si>
  <si>
    <t>EBM_630_208V_3PH_6KW</t>
  </si>
  <si>
    <t>EBM_PN:_K3G630-AQ03-19W</t>
  </si>
  <si>
    <t>026-50041-021</t>
  </si>
  <si>
    <t>EBM_630_230V_3PH_6KW</t>
  </si>
  <si>
    <t>026-51041-121</t>
  </si>
  <si>
    <t>EBM_710_460V_3PH_3KW</t>
  </si>
  <si>
    <t>EBM_PN:_EG1R480-710-13W</t>
  </si>
  <si>
    <t>EBM_710_460V_3PH_6KW</t>
  </si>
  <si>
    <t>EBM_PN:_K3G710-AQ01-09W</t>
  </si>
  <si>
    <t>EBM_710_460V_3PH_7.5KW</t>
  </si>
  <si>
    <t>EBM_PN:_K3G710-AR03-01W</t>
  </si>
  <si>
    <t>EBM_710_460V_3PH_12KW</t>
  </si>
  <si>
    <t>EBM_PN:_K3G710-AS06-01W</t>
  </si>
  <si>
    <t>026-50042-011</t>
  </si>
  <si>
    <t>EBM_710_208V_3PH_6KW</t>
  </si>
  <si>
    <t>EBM_PN:_K3G710-AQ04-19W</t>
  </si>
  <si>
    <t>026-50042-021</t>
  </si>
  <si>
    <t>EBM_710_230V_3PH_6KW</t>
  </si>
  <si>
    <t>026-51042-121</t>
  </si>
  <si>
    <t>EBM_800_460V_3PH_6KW</t>
  </si>
  <si>
    <t>EBM_PN:_K3G800-AQ03-09W</t>
  </si>
  <si>
    <t>EBM_800_460V_3PH_7.5KW</t>
  </si>
  <si>
    <t>EBM_PN:_K3G800-AR08-01W</t>
  </si>
  <si>
    <t>EBM_800_460V_3PH_12KW</t>
  </si>
  <si>
    <t>EBM_PN:_K3G800-AS07-01W</t>
  </si>
  <si>
    <t>EBM_800_208V_3PH_6KW</t>
  </si>
  <si>
    <t>EBM_PN:_K3G800-AQ06-19W</t>
  </si>
  <si>
    <t>026-50043-021</t>
  </si>
  <si>
    <t>EBM_800_230V_3PH_6KW</t>
  </si>
  <si>
    <t>026-51043-121</t>
  </si>
  <si>
    <t>EBM_900_460V_3PH_6KW</t>
  </si>
  <si>
    <t>EBM_PN:_K3G900-AQ01-09W</t>
  </si>
  <si>
    <t>EBM_900_460V_3PH_12KW</t>
  </si>
  <si>
    <t>EBM_PN:_K3G900-AS08-01W</t>
  </si>
  <si>
    <t>EBM_900_208V_3PH_6KW</t>
  </si>
  <si>
    <t>EBM_PN:_K3G900-AQ07-19W</t>
  </si>
  <si>
    <t>026-50044-021</t>
  </si>
  <si>
    <t>EBM_900_230V_3PH_6KW</t>
  </si>
  <si>
    <t>026-51044-121</t>
  </si>
  <si>
    <t>Fan_WD</t>
  </si>
  <si>
    <t>FAN_K</t>
  </si>
  <si>
    <t>FAN_L</t>
  </si>
  <si>
    <t>FAN_M</t>
  </si>
  <si>
    <t>FAN_N</t>
  </si>
  <si>
    <t>FAN_O</t>
  </si>
  <si>
    <t>FAN_P</t>
  </si>
  <si>
    <t>FAN_Q</t>
  </si>
  <si>
    <t>FAN_R</t>
  </si>
  <si>
    <t>FAN_V</t>
  </si>
  <si>
    <t>FAN_W</t>
  </si>
  <si>
    <t>FAN_X</t>
  </si>
  <si>
    <t>FAN_Y</t>
  </si>
  <si>
    <t>FAN_Z</t>
  </si>
  <si>
    <t>FAN_AA</t>
  </si>
  <si>
    <t>FAN_AB</t>
  </si>
  <si>
    <t>FAN_AC</t>
  </si>
  <si>
    <t>FAN_AD</t>
  </si>
  <si>
    <t>FAN_AE</t>
  </si>
  <si>
    <t>FAN_AF</t>
  </si>
  <si>
    <t>FAN_AG</t>
  </si>
  <si>
    <t>FAN_AH</t>
  </si>
  <si>
    <t>FAN_AI</t>
  </si>
  <si>
    <t>FAN_AJ</t>
  </si>
  <si>
    <t>FAN_AK</t>
  </si>
  <si>
    <t>FAN_AL</t>
  </si>
  <si>
    <t>FAN_AM</t>
  </si>
  <si>
    <t>FAN_AN</t>
  </si>
  <si>
    <t>FAN_AO</t>
  </si>
  <si>
    <t>FAN_AP</t>
  </si>
  <si>
    <t>FAN_AQ</t>
  </si>
  <si>
    <t>FAN_AR</t>
  </si>
  <si>
    <t>FAN_AS</t>
  </si>
  <si>
    <t>FAN_AT</t>
  </si>
  <si>
    <t>FAN_AU</t>
  </si>
  <si>
    <t>FAN_AV</t>
  </si>
  <si>
    <t>FAN_AX</t>
  </si>
  <si>
    <t>FAN_AY</t>
  </si>
  <si>
    <t>FAN_AZ</t>
  </si>
  <si>
    <t>FAN_BA</t>
  </si>
  <si>
    <t>FAN_BB</t>
  </si>
  <si>
    <t>FAN_BC</t>
  </si>
  <si>
    <t>FAN_BD</t>
  </si>
  <si>
    <t>FAN_BE</t>
  </si>
  <si>
    <t>FAN_HD2</t>
  </si>
  <si>
    <t>FAN_HD_H</t>
  </si>
  <si>
    <t>FAN_HD_W_DIA</t>
  </si>
  <si>
    <t>FAN_HD_W_THK</t>
  </si>
  <si>
    <t>FAN_CS1</t>
  </si>
  <si>
    <t>FAN_3RD_HL</t>
  </si>
  <si>
    <t>SINGLE_FAN_SW1</t>
  </si>
  <si>
    <t>FanMntHole_to_FanEdge</t>
  </si>
  <si>
    <t>FAN_LENG</t>
  </si>
  <si>
    <t>Error</t>
  </si>
  <si>
    <t>STL GALV</t>
  </si>
  <si>
    <t>Baseline</t>
  </si>
  <si>
    <t>UM</t>
  </si>
  <si>
    <t>Comments</t>
  </si>
  <si>
    <t>ul</t>
  </si>
  <si>
    <t>in</t>
  </si>
  <si>
    <t>1/8 Rivet</t>
  </si>
  <si>
    <t>3/16 Rivet</t>
  </si>
  <si>
    <t>Page: 102-006</t>
  </si>
  <si>
    <t>Title: Raw Material Part Numbers, Mapics Codes, Calculations And Others</t>
  </si>
  <si>
    <t>102-006.xls</t>
  </si>
  <si>
    <t xml:space="preserve">Rel/Rev Date: </t>
  </si>
  <si>
    <t xml:space="preserve">Revision Level : </t>
  </si>
  <si>
    <t>ECN Number :</t>
  </si>
  <si>
    <t>Solution Project, Raw material codes and calculations, Sheet or Coil stock, Square Foot</t>
  </si>
  <si>
    <t>Mat'l Group</t>
  </si>
  <si>
    <t>Metal Gauge</t>
  </si>
  <si>
    <t>Metal Thickness Min.</t>
  </si>
  <si>
    <t>Design Thickness (Ref)</t>
  </si>
  <si>
    <t>Inventor Thickness Key_PK</t>
  </si>
  <si>
    <t>Active Product "XT"</t>
  </si>
  <si>
    <t>Active Product "YC"</t>
  </si>
  <si>
    <t>Mapics Part Number</t>
  </si>
  <si>
    <t>Material description</t>
  </si>
  <si>
    <t>Material Type</t>
  </si>
  <si>
    <t>York "R" Std</t>
  </si>
  <si>
    <t>Max Cut Size</t>
  </si>
  <si>
    <t>Unit of Measure</t>
  </si>
  <si>
    <t>Inventor Material Designation</t>
  </si>
  <si>
    <t>"DXF" Mat'l Data</t>
  </si>
  <si>
    <t>Hole Size / Texture</t>
  </si>
  <si>
    <t>Staggered Centers</t>
  </si>
  <si>
    <t>MAT_LOOKUP</t>
  </si>
  <si>
    <t>MAT_GRP</t>
  </si>
  <si>
    <t>MAT_GA</t>
  </si>
  <si>
    <t>MAT_MINT</t>
  </si>
  <si>
    <t>MAT_DEST</t>
  </si>
  <si>
    <t>MAT_KEYT</t>
  </si>
  <si>
    <t>MAT_XT</t>
  </si>
  <si>
    <t>MAT_YC</t>
  </si>
  <si>
    <t>MAT_PNUM</t>
  </si>
  <si>
    <t>MAT_DESC</t>
  </si>
  <si>
    <t>MAT_TYPE</t>
  </si>
  <si>
    <t>MAT_RSTD</t>
  </si>
  <si>
    <t>MAT_CUT</t>
  </si>
  <si>
    <t>MAT_UMSR</t>
  </si>
  <si>
    <t>MAT_DESG</t>
  </si>
  <si>
    <t>MAT_DXF</t>
  </si>
  <si>
    <t>MAT_HLSZ</t>
  </si>
  <si>
    <t>MAT_STG</t>
  </si>
  <si>
    <t>Sheet Products, Solid</t>
  </si>
  <si>
    <t>Sheet, G90</t>
  </si>
  <si>
    <t>.156</t>
  </si>
  <si>
    <t>XT</t>
  </si>
  <si>
    <t>YC</t>
  </si>
  <si>
    <t>005 06145 008</t>
  </si>
  <si>
    <t>Galvanized Steel</t>
  </si>
  <si>
    <t>G90</t>
  </si>
  <si>
    <t>R259 w/ note 4</t>
  </si>
  <si>
    <t>48 X 144</t>
  </si>
  <si>
    <t>SF</t>
  </si>
  <si>
    <t>GLVS157-</t>
  </si>
  <si>
    <t>N/A</t>
  </si>
  <si>
    <t>.125</t>
  </si>
  <si>
    <t>.126</t>
  </si>
  <si>
    <t>-</t>
  </si>
  <si>
    <t>005 06145 010</t>
  </si>
  <si>
    <t>GLVS126-</t>
  </si>
  <si>
    <t>.096</t>
  </si>
  <si>
    <t>.097</t>
  </si>
  <si>
    <t>005 06145 012</t>
  </si>
  <si>
    <t>60 X 144</t>
  </si>
  <si>
    <t>GLVS097-</t>
  </si>
  <si>
    <t>.069</t>
  </si>
  <si>
    <t>.070</t>
  </si>
  <si>
    <t>005 06145 014</t>
  </si>
  <si>
    <t>GLVS070-</t>
  </si>
  <si>
    <t>.055</t>
  </si>
  <si>
    <t>.056</t>
  </si>
  <si>
    <t>005 06145 016</t>
  </si>
  <si>
    <t>GLVS056A</t>
  </si>
  <si>
    <t>.044</t>
  </si>
  <si>
    <t>.045</t>
  </si>
  <si>
    <t>005 06145 018</t>
  </si>
  <si>
    <t>GLVS045A</t>
  </si>
  <si>
    <t>.033</t>
  </si>
  <si>
    <t>.034</t>
  </si>
  <si>
    <t>005 06145 020</t>
  </si>
  <si>
    <t>GLVS034-</t>
  </si>
  <si>
    <t>22</t>
  </si>
  <si>
    <t>.028</t>
  </si>
  <si>
    <t>005 06145 022</t>
  </si>
  <si>
    <t>GLVS028-</t>
  </si>
  <si>
    <t>24</t>
  </si>
  <si>
    <t>.022</t>
  </si>
  <si>
    <t>005 06145 024</t>
  </si>
  <si>
    <t>GLVS022-</t>
  </si>
  <si>
    <t>Roll Form Coil</t>
  </si>
  <si>
    <t>001 07591 467</t>
  </si>
  <si>
    <t>Channel,Rf,16ga,Glv,4.67w_Flat, YC 2" Housing Channel</t>
  </si>
  <si>
    <t>G40</t>
  </si>
  <si>
    <t>4.67 X Lg</t>
  </si>
  <si>
    <t>STL GALV2</t>
  </si>
  <si>
    <t>GLVS056C</t>
  </si>
  <si>
    <t>001 07591 567</t>
  </si>
  <si>
    <t>Channel,Rf,16ga,Glv,5.67w_Flat, YC 3" Housing Channel</t>
  </si>
  <si>
    <t>5.67 X Lg</t>
  </si>
  <si>
    <t>STL GALV3</t>
  </si>
  <si>
    <t>GLVS056D</t>
  </si>
  <si>
    <t>001 07591 667</t>
  </si>
  <si>
    <t>Channel,Rf,16ga,Glv,6.67w_Flat, YC 4" Housing Channel</t>
  </si>
  <si>
    <t>6.67 X Lg</t>
  </si>
  <si>
    <t>STL GALV4</t>
  </si>
  <si>
    <t>GLVS056E</t>
  </si>
  <si>
    <t>005 06160 001</t>
  </si>
  <si>
    <t>Galvanized Steel, Coil, XT Seam Cap</t>
  </si>
  <si>
    <t>2.491 X Lg</t>
  </si>
  <si>
    <t>STL GALVS</t>
  </si>
  <si>
    <t>GLVS045B</t>
  </si>
  <si>
    <t>005 06161 001</t>
  </si>
  <si>
    <t>Galvanized Steel, Coil, XT Raceway</t>
  </si>
  <si>
    <t>12.62 X Lg</t>
  </si>
  <si>
    <t>STL GALVR</t>
  </si>
  <si>
    <t>GLVS056B</t>
  </si>
  <si>
    <t>Sheet, Pre-Paint</t>
  </si>
  <si>
    <t>005 07110 014</t>
  </si>
  <si>
    <t xml:space="preserve">Sheet,Pre-Paint,Gray,14ga </t>
  </si>
  <si>
    <t>P-Paint</t>
  </si>
  <si>
    <t xml:space="preserve">M-310 </t>
  </si>
  <si>
    <t>48 x Lg</t>
  </si>
  <si>
    <t>STL GALV PPG</t>
  </si>
  <si>
    <t>GLVPP070A</t>
  </si>
  <si>
    <t>Gray Paint</t>
  </si>
  <si>
    <t>005 07110 016</t>
  </si>
  <si>
    <t xml:space="preserve">Sheet,Pre-Paint,Gray,16ga </t>
  </si>
  <si>
    <t>GLVPP056A</t>
  </si>
  <si>
    <t>005 07110 116</t>
  </si>
  <si>
    <t>Sheet,Pre-Paint,Champagne,16ga</t>
  </si>
  <si>
    <t>STL GALV PPC</t>
  </si>
  <si>
    <t>GLVPP056B</t>
  </si>
  <si>
    <t>Champagne Paint</t>
  </si>
  <si>
    <t>005 07110 117</t>
  </si>
  <si>
    <t>Sheet,Pre-Paint,Msftwhite,18ga</t>
  </si>
  <si>
    <t>STL GALV PPW</t>
  </si>
  <si>
    <t>GLVPP045A</t>
  </si>
  <si>
    <t>Msftwhite Paint</t>
  </si>
  <si>
    <t>005 07110 118</t>
  </si>
  <si>
    <t>Sheet,Pre-Paint,Champagne,18ga</t>
  </si>
  <si>
    <t>GLVPP045B</t>
  </si>
  <si>
    <t>Sheet, HR</t>
  </si>
  <si>
    <t>10</t>
  </si>
  <si>
    <t>.127</t>
  </si>
  <si>
    <t>005 07113 010</t>
  </si>
  <si>
    <t xml:space="preserve">Sheet,Hot-Rolled,10ga </t>
  </si>
  <si>
    <t>HR</t>
  </si>
  <si>
    <t>STL HOT ROLL</t>
  </si>
  <si>
    <t>STLHR127A</t>
  </si>
  <si>
    <t>Hot-Rolled</t>
  </si>
  <si>
    <t>11</t>
  </si>
  <si>
    <t>.112</t>
  </si>
  <si>
    <t>005 07113 011</t>
  </si>
  <si>
    <t xml:space="preserve">Sheet,Hot-Rolled,11ga </t>
  </si>
  <si>
    <t>48 X 96</t>
  </si>
  <si>
    <t>STLHR112A</t>
  </si>
  <si>
    <t>12</t>
  </si>
  <si>
    <t>005 07113 012</t>
  </si>
  <si>
    <t xml:space="preserve">Sheet,Hot-Rolled,12ga </t>
  </si>
  <si>
    <t>STLHR097A</t>
  </si>
  <si>
    <t>14</t>
  </si>
  <si>
    <t>.068</t>
  </si>
  <si>
    <t>005 07113 014</t>
  </si>
  <si>
    <t xml:space="preserve">Sheet,Hot-Rolled,14ga </t>
  </si>
  <si>
    <t>48 X 120</t>
  </si>
  <si>
    <t>STLHR068A</t>
  </si>
  <si>
    <t>Sheet, AL</t>
  </si>
  <si>
    <t>20</t>
  </si>
  <si>
    <t>.040</t>
  </si>
  <si>
    <t>008 02570 040</t>
  </si>
  <si>
    <t xml:space="preserve">Sheet,Al,3003h14,.040         </t>
  </si>
  <si>
    <t>R-777</t>
  </si>
  <si>
    <t>48 x 144</t>
  </si>
  <si>
    <t>ALM SHT</t>
  </si>
  <si>
    <t>ALUS040A</t>
  </si>
  <si>
    <t>18</t>
  </si>
  <si>
    <t>.050</t>
  </si>
  <si>
    <t>008 02570 050</t>
  </si>
  <si>
    <t xml:space="preserve">Sheet,Al,3003h14,.050         </t>
  </si>
  <si>
    <t>ALUS050A</t>
  </si>
  <si>
    <t>16</t>
  </si>
  <si>
    <t>.063</t>
  </si>
  <si>
    <t>008 02570 063</t>
  </si>
  <si>
    <t xml:space="preserve">Sheet,Al,3003h14,.063         </t>
  </si>
  <si>
    <t>ALUS063A</t>
  </si>
  <si>
    <t>.080</t>
  </si>
  <si>
    <t>008 02570 080</t>
  </si>
  <si>
    <t xml:space="preserve">Sheet,Al,3003h14,.080         </t>
  </si>
  <si>
    <t>ALUS080A</t>
  </si>
  <si>
    <t>008 02570 125</t>
  </si>
  <si>
    <t xml:space="preserve">Sheet,Al,3003h14,.125         </t>
  </si>
  <si>
    <t>ALUS125A</t>
  </si>
  <si>
    <t>8</t>
  </si>
  <si>
    <t>.190</t>
  </si>
  <si>
    <t>008 02570 190</t>
  </si>
  <si>
    <t xml:space="preserve">Sheet,Al,3003h14,.190         </t>
  </si>
  <si>
    <t>ALUS190A</t>
  </si>
  <si>
    <t>Sheet, SST</t>
  </si>
  <si>
    <t>.165</t>
  </si>
  <si>
    <t>005 06146 008</t>
  </si>
  <si>
    <t>Stainless steel</t>
  </si>
  <si>
    <t>304</t>
  </si>
  <si>
    <t>R52</t>
  </si>
  <si>
    <t>SST304</t>
  </si>
  <si>
    <t>SSTS165-</t>
  </si>
  <si>
    <t>.135</t>
  </si>
  <si>
    <t>005 06146 010</t>
  </si>
  <si>
    <t>SSTS135-</t>
  </si>
  <si>
    <t>.105</t>
  </si>
  <si>
    <t>005 06146 012</t>
  </si>
  <si>
    <t>SSTS105-</t>
  </si>
  <si>
    <t>.075</t>
  </si>
  <si>
    <t>005 06146 014</t>
  </si>
  <si>
    <t>SSTS075-</t>
  </si>
  <si>
    <t>.060</t>
  </si>
  <si>
    <t>005 06146 016</t>
  </si>
  <si>
    <t>SSTS060-</t>
  </si>
  <si>
    <t>.048</t>
  </si>
  <si>
    <t>005 06146 018</t>
  </si>
  <si>
    <t>SSTS048-</t>
  </si>
  <si>
    <t>.035</t>
  </si>
  <si>
    <t>005 06146 020</t>
  </si>
  <si>
    <t>SSTS035-</t>
  </si>
  <si>
    <t>.029</t>
  </si>
  <si>
    <t>005 06146 022</t>
  </si>
  <si>
    <t>SSTS029-</t>
  </si>
  <si>
    <t>.024</t>
  </si>
  <si>
    <t>005 06146 024</t>
  </si>
  <si>
    <t>SSTS024-</t>
  </si>
  <si>
    <t>005 07103 012</t>
  </si>
  <si>
    <t xml:space="preserve">Sheet,304lss,12ga </t>
  </si>
  <si>
    <t>304L</t>
  </si>
  <si>
    <t>SST304L</t>
  </si>
  <si>
    <t>SSTL105-</t>
  </si>
  <si>
    <t>005 07103 016</t>
  </si>
  <si>
    <t xml:space="preserve">Sheet,304lss,16ga </t>
  </si>
  <si>
    <t>SSTL060-</t>
  </si>
  <si>
    <t>005 07104 010</t>
  </si>
  <si>
    <t xml:space="preserve">Sheet,316lss, 10ga </t>
  </si>
  <si>
    <t>316L</t>
  </si>
  <si>
    <t>SST316L</t>
  </si>
  <si>
    <t>SSLS135-</t>
  </si>
  <si>
    <t>005 07104 012</t>
  </si>
  <si>
    <t xml:space="preserve">Sheet,316lss, 12ga </t>
  </si>
  <si>
    <t>SSLS105-</t>
  </si>
  <si>
    <t>005 07104 014</t>
  </si>
  <si>
    <t xml:space="preserve">Sheet,316lss, 14ga </t>
  </si>
  <si>
    <t>SSLS075-</t>
  </si>
  <si>
    <t>005 07104 016</t>
  </si>
  <si>
    <t>Sheet,316lss, 16ga</t>
  </si>
  <si>
    <t>SSLS060-</t>
  </si>
  <si>
    <t>005 07104 018</t>
  </si>
  <si>
    <t>Sheet,316lss, 18ga</t>
  </si>
  <si>
    <t>SSLS048-</t>
  </si>
  <si>
    <t>005 07104 020</t>
  </si>
  <si>
    <t>Sheet,316lss, 20ga</t>
  </si>
  <si>
    <t>SSLS035-</t>
  </si>
  <si>
    <t>005 07104 022</t>
  </si>
  <si>
    <t xml:space="preserve">Sheet,316lss, 22ga </t>
  </si>
  <si>
    <t>SSLS029-</t>
  </si>
  <si>
    <t>Sheet Products, Structural</t>
  </si>
  <si>
    <t>Sheet, Structural</t>
  </si>
  <si>
    <t>005 06596 010</t>
  </si>
  <si>
    <t>Structural Galvanized Steel</t>
  </si>
  <si>
    <t>R1190</t>
  </si>
  <si>
    <t>STRUCT GALV</t>
  </si>
  <si>
    <t>GLVS126S</t>
  </si>
  <si>
    <t>005 06596 012</t>
  </si>
  <si>
    <t>GLVS097S</t>
  </si>
  <si>
    <t>005 06596 014</t>
  </si>
  <si>
    <t>GLVS070S</t>
  </si>
  <si>
    <t>Sheet Products, Perforated</t>
  </si>
  <si>
    <t>Sheet, Perf</t>
  </si>
  <si>
    <t>.039</t>
  </si>
  <si>
    <t>005 02897 000</t>
  </si>
  <si>
    <t>Galvanized Steel (perf)</t>
  </si>
  <si>
    <t>R1045</t>
  </si>
  <si>
    <t>GALV PRFA</t>
  </si>
  <si>
    <t>GLVP039A</t>
  </si>
  <si>
    <t>5/16</t>
  </si>
  <si>
    <t>3/8</t>
  </si>
  <si>
    <t>005 02901 000</t>
  </si>
  <si>
    <t>GALV PRFD</t>
  </si>
  <si>
    <t>GLVP039D</t>
  </si>
  <si>
    <t>1/4</t>
  </si>
  <si>
    <t>005 06154 000</t>
  </si>
  <si>
    <t>GALV PRFE</t>
  </si>
  <si>
    <t>GLVP039E</t>
  </si>
  <si>
    <t>5/8</t>
  </si>
  <si>
    <t>13/16</t>
  </si>
  <si>
    <t>005 07115 016</t>
  </si>
  <si>
    <t xml:space="preserve">Sheet,Perf,Glv,40.3%,16ga </t>
  </si>
  <si>
    <t>48 X Lg</t>
  </si>
  <si>
    <t>GALV PRFG</t>
  </si>
  <si>
    <t>GLVP055A</t>
  </si>
  <si>
    <t>.188</t>
  </si>
  <si>
    <t>005 07115 018</t>
  </si>
  <si>
    <t xml:space="preserve">Sheet,Perf,Glv,40.3%,18ga </t>
  </si>
  <si>
    <t>GLVP045A</t>
  </si>
  <si>
    <t>005 07115 020</t>
  </si>
  <si>
    <t xml:space="preserve">Sheet,Perf,Glv,40.3%,20ga </t>
  </si>
  <si>
    <t>GLVP034A</t>
  </si>
  <si>
    <t>005 07115 022</t>
  </si>
  <si>
    <t xml:space="preserve">Sheet,Perf,Glv,40.3%,22ga </t>
  </si>
  <si>
    <t>GALV PRFF</t>
  </si>
  <si>
    <t>GLVP028A</t>
  </si>
  <si>
    <t>005 07118 018</t>
  </si>
  <si>
    <t xml:space="preserve">Sheet,Perf,Glv,47%,18ga </t>
  </si>
  <si>
    <t>GALV PRFH</t>
  </si>
  <si>
    <t>GLVP044B</t>
  </si>
  <si>
    <t>.50</t>
  </si>
  <si>
    <t>.688</t>
  </si>
  <si>
    <t>Sheet, Perf, AL</t>
  </si>
  <si>
    <t>008 02316 001</t>
  </si>
  <si>
    <t>Aluminum Sheet (perf)</t>
  </si>
  <si>
    <t>R1116</t>
  </si>
  <si>
    <t>ALM PRF</t>
  </si>
  <si>
    <t>ALUP050A</t>
  </si>
  <si>
    <t>1/8</t>
  </si>
  <si>
    <t>7/32</t>
  </si>
  <si>
    <t>008 02573 050</t>
  </si>
  <si>
    <t>Sheet,Perf,Al,40.3%,.050, 3003h14</t>
  </si>
  <si>
    <t>ALM PRFA</t>
  </si>
  <si>
    <t>ALUP050B</t>
  </si>
  <si>
    <t>008 02573 063</t>
  </si>
  <si>
    <t>Sheet,Perf,Al,40.3%,.063, 3003h14</t>
  </si>
  <si>
    <t>ALUP063A</t>
  </si>
  <si>
    <t>008 02573 080</t>
  </si>
  <si>
    <t xml:space="preserve">Sheet,Perf,Al,40.3%,.080, 3003h14 </t>
  </si>
  <si>
    <t>ALUP080A</t>
  </si>
  <si>
    <t>008 02574 080</t>
  </si>
  <si>
    <t>Sheet,Perf,Al,47%,.080, 3003h14</t>
  </si>
  <si>
    <t>ALM PRFB</t>
  </si>
  <si>
    <t>ALUP080B</t>
  </si>
  <si>
    <t>Sheet, Perf, SST</t>
  </si>
  <si>
    <t>005 07114 016</t>
  </si>
  <si>
    <t xml:space="preserve">Sheet,Perf,304ss,40.3%,16ga </t>
  </si>
  <si>
    <t>SST304PA</t>
  </si>
  <si>
    <t>SSTP060A</t>
  </si>
  <si>
    <t>005 07114 018</t>
  </si>
  <si>
    <t xml:space="preserve">Sheet,Perf,304ss,40.3%,18ga </t>
  </si>
  <si>
    <t>SSTP048B</t>
  </si>
  <si>
    <t>005 07114 020</t>
  </si>
  <si>
    <t xml:space="preserve">Sheet,Perf,304ss,40.3%,20ga </t>
  </si>
  <si>
    <t>SSTP035A</t>
  </si>
  <si>
    <t>005 07116 016</t>
  </si>
  <si>
    <t xml:space="preserve">Sheet,Perf,304ss,51%,16ga </t>
  </si>
  <si>
    <t>SST304PC</t>
  </si>
  <si>
    <t>SSTP060B</t>
  </si>
  <si>
    <t>.25</t>
  </si>
  <si>
    <t>005 07117 018</t>
  </si>
  <si>
    <t xml:space="preserve">Sheet,Perf,304ss,47%,18ga </t>
  </si>
  <si>
    <t>SST304PB</t>
  </si>
  <si>
    <t>SSTP048C</t>
  </si>
  <si>
    <t>Sheet Products, Expanded or Textured</t>
  </si>
  <si>
    <t>Sheet, Expanded</t>
  </si>
  <si>
    <t>9</t>
  </si>
  <si>
    <t>.146</t>
  </si>
  <si>
    <t>005 06150 000</t>
  </si>
  <si>
    <t>Galvanized Steel (Expanded/Flattened) 3/4 No. 9</t>
  </si>
  <si>
    <t>R259</t>
  </si>
  <si>
    <t>48 x 120</t>
  </si>
  <si>
    <t>GALV EXPA</t>
  </si>
  <si>
    <t>GLVE146A</t>
  </si>
  <si>
    <t>3/4" wide diamond</t>
  </si>
  <si>
    <t>Flattened</t>
  </si>
  <si>
    <t>005 06579 000</t>
  </si>
  <si>
    <t>Galvanized Steel (Expanded/Flattened) 1-1/2 No. 9</t>
  </si>
  <si>
    <t>GALV EXPB</t>
  </si>
  <si>
    <t>GLVE146B</t>
  </si>
  <si>
    <t>1-1/2" wide diamond</t>
  </si>
  <si>
    <t>005 06579 100</t>
  </si>
  <si>
    <t>Sheet,Exp_Mtl,Glv,G90,9ga, 1.5 Flattened</t>
  </si>
  <si>
    <t>48 x 96</t>
  </si>
  <si>
    <t>GALV EXPBY</t>
  </si>
  <si>
    <t>GLVE146C</t>
  </si>
  <si>
    <t>.120</t>
  </si>
  <si>
    <t>005 07109 011</t>
  </si>
  <si>
    <t>Sheet,Exp_Mtl,Glv,11ga, .75 Flattened, #9</t>
  </si>
  <si>
    <t>GLVE120-</t>
  </si>
  <si>
    <t>Sheet, Expanded, AL</t>
  </si>
  <si>
    <t>008 02335 000</t>
  </si>
  <si>
    <t>Aluminum Sht (Expanded/Flattened) 1/2 No..081 5005-H34</t>
  </si>
  <si>
    <t>ALM EXP</t>
  </si>
  <si>
    <t>ALUE060A</t>
  </si>
  <si>
    <t>.28x.94 diamond</t>
  </si>
  <si>
    <t>Sheet, Expanded, SST</t>
  </si>
  <si>
    <t>005 06588 100</t>
  </si>
  <si>
    <t xml:space="preserve">Sheet,Exp_Mtl,Ss,304,9ga,1.5 Flattened </t>
  </si>
  <si>
    <t>SST304E</t>
  </si>
  <si>
    <t>SSTE146-</t>
  </si>
  <si>
    <t>005 07120 011</t>
  </si>
  <si>
    <t>Sheet,Exp_Mtl,304ss,11ga, .75 flattened #9</t>
  </si>
  <si>
    <t>SSTE120-</t>
  </si>
  <si>
    <t>Sheet, AL, Emb</t>
  </si>
  <si>
    <t>008 02168 000</t>
  </si>
  <si>
    <t>Al,3105h14,.040, Stucco Emb Alum</t>
  </si>
  <si>
    <t>Stucco Finish</t>
  </si>
  <si>
    <t>ALM EMB</t>
  </si>
  <si>
    <t>ALUE040A</t>
  </si>
  <si>
    <t>Embossed AL</t>
  </si>
  <si>
    <t>008 02571 080</t>
  </si>
  <si>
    <t>Sheet,Al_Text,3003h134,.080_Stucco</t>
  </si>
  <si>
    <t>ALUE080A</t>
  </si>
  <si>
    <t>Grating</t>
  </si>
  <si>
    <t>1</t>
  </si>
  <si>
    <t>1"High</t>
  </si>
  <si>
    <t>001 07514 000</t>
  </si>
  <si>
    <t>Grating,19-S-4,1h_.13thk ,Stainless Steel Grating</t>
  </si>
  <si>
    <t>36 X 96</t>
  </si>
  <si>
    <t>SST304G</t>
  </si>
  <si>
    <t>SSTG100A</t>
  </si>
  <si>
    <t>1" 19-S-4</t>
  </si>
  <si>
    <t>001 07515 000</t>
  </si>
  <si>
    <t>Grating,19-Ap-4,1h_.13thk,Aluminum Grating</t>
  </si>
  <si>
    <t>ALM GRATE</t>
  </si>
  <si>
    <t>ALUG100A</t>
  </si>
  <si>
    <t>1" 19-Ap-4</t>
  </si>
  <si>
    <t>001 07516 000</t>
  </si>
  <si>
    <t>Grating,19-W-4,1h_.13thk ,Hot Dipped Glv Grating</t>
  </si>
  <si>
    <t>Hot Dip</t>
  </si>
  <si>
    <t>GALV GRATE</t>
  </si>
  <si>
    <t>GLVG100A</t>
  </si>
  <si>
    <t>1" 19-W-4</t>
  </si>
  <si>
    <t>Sheet, Cloth</t>
  </si>
  <si>
    <t>19</t>
  </si>
  <si>
    <t>.04</t>
  </si>
  <si>
    <t>005 07112 041</t>
  </si>
  <si>
    <t>Cloth, Hdw, Glv, .5 x .5 x .04</t>
  </si>
  <si>
    <t>Galv</t>
  </si>
  <si>
    <t>GALV CLOTH</t>
  </si>
  <si>
    <t>GLVC040A</t>
  </si>
  <si>
    <t>Sheet Products, Diamond Tread Plate</t>
  </si>
  <si>
    <t>Plate, Diamond, HR</t>
  </si>
  <si>
    <t>005 07108 012</t>
  </si>
  <si>
    <t xml:space="preserve">Plate,Dia,Hot-Rolled,12ga </t>
  </si>
  <si>
    <t>STL DIA HR</t>
  </si>
  <si>
    <t>HRSD097-</t>
  </si>
  <si>
    <t>Raised Lug</t>
  </si>
  <si>
    <t>005 07108 014</t>
  </si>
  <si>
    <t xml:space="preserve">Plate,Dia,Hot-Rolled,14ga </t>
  </si>
  <si>
    <t>HRSD070-</t>
  </si>
  <si>
    <t>005 07108 125</t>
  </si>
  <si>
    <t xml:space="preserve">Plate,Dia,Hot-Rolled,.125 </t>
  </si>
  <si>
    <t>HRSD126-</t>
  </si>
  <si>
    <t>7</t>
  </si>
  <si>
    <t>005 07108 188</t>
  </si>
  <si>
    <t xml:space="preserve">Plate,Dia,Hot-Rolled,.188 </t>
  </si>
  <si>
    <t>HRSD188-</t>
  </si>
  <si>
    <t>Plate, Diamond, AL</t>
  </si>
  <si>
    <t>.100</t>
  </si>
  <si>
    <t>008 02572 100</t>
  </si>
  <si>
    <t>Plate,Dia,Al,.100_3003</t>
  </si>
  <si>
    <t>ALM DIA</t>
  </si>
  <si>
    <t>ALUD100A</t>
  </si>
  <si>
    <t>008 02572 125</t>
  </si>
  <si>
    <t>Plate,Dia,Al,.125_3003</t>
  </si>
  <si>
    <t>ALUD125A</t>
  </si>
  <si>
    <t>3/16</t>
  </si>
  <si>
    <t>008 02572 188</t>
  </si>
  <si>
    <t xml:space="preserve">Plate,Dia,Al,.188_3003   </t>
  </si>
  <si>
    <t>ALUD188A</t>
  </si>
  <si>
    <t>008 02596 101</t>
  </si>
  <si>
    <t>Plate,Dia,Alu,.125_3003 Bright</t>
  </si>
  <si>
    <t>ALMB DIA</t>
  </si>
  <si>
    <t>ALUD125B</t>
  </si>
  <si>
    <t>008 02596 102</t>
  </si>
  <si>
    <t>Plate,Dia,Alu,.188_3003 Bright</t>
  </si>
  <si>
    <t>ALUD188B</t>
  </si>
  <si>
    <t>.250</t>
  </si>
  <si>
    <t>008 02596 103</t>
  </si>
  <si>
    <t xml:space="preserve">Plate,Dia,Alu,.25_3003 Bright </t>
  </si>
  <si>
    <t>ALUD250B</t>
  </si>
  <si>
    <t>Plate, Diamond, SST</t>
  </si>
  <si>
    <t>005 07107 125</t>
  </si>
  <si>
    <t>Plate,Dia,304ss,.125</t>
  </si>
  <si>
    <t>SST304D</t>
  </si>
  <si>
    <t>SSTD125-</t>
  </si>
  <si>
    <t>005 07107 188</t>
  </si>
  <si>
    <t>Plate,Dia,304ss,.188</t>
  </si>
  <si>
    <t>SSTD188-</t>
  </si>
  <si>
    <t>Sheet Products, Corrugated</t>
  </si>
  <si>
    <t>Sheet, Corrugated</t>
  </si>
  <si>
    <t>005 06169 010</t>
  </si>
  <si>
    <t>Galvanized Steel, Corrugated, 4” Box Rib Profile</t>
  </si>
  <si>
    <t>38.5 X 120</t>
  </si>
  <si>
    <t>GALV CORA</t>
  </si>
  <si>
    <t>GLVC034A</t>
  </si>
  <si>
    <t>Corrugated</t>
  </si>
  <si>
    <t>Plate Products, Solid</t>
  </si>
  <si>
    <t>Plate, SST</t>
  </si>
  <si>
    <t>005 06146 188</t>
  </si>
  <si>
    <t>Plate,304ss,.188</t>
  </si>
  <si>
    <t>SSTS188-</t>
  </si>
  <si>
    <t>005 06146 250</t>
  </si>
  <si>
    <t xml:space="preserve">Plate,304ss,.25 </t>
  </si>
  <si>
    <t>SSTS250-</t>
  </si>
  <si>
    <t>Plate, Steel</t>
  </si>
  <si>
    <t>005 07119 188</t>
  </si>
  <si>
    <t>Plate,Steel 0.188</t>
  </si>
  <si>
    <t>Mild</t>
  </si>
  <si>
    <t>STL PLATE</t>
  </si>
  <si>
    <t>STLPL188A</t>
  </si>
  <si>
    <t>005 07119 250</t>
  </si>
  <si>
    <t>Plate,Steel,0.25</t>
  </si>
  <si>
    <t>STLPL250A</t>
  </si>
  <si>
    <t>.313</t>
  </si>
  <si>
    <t>005 07119 313</t>
  </si>
  <si>
    <t xml:space="preserve">Plate,Steel,0.313 </t>
  </si>
  <si>
    <t xml:space="preserve">48 x 120 </t>
  </si>
  <si>
    <t>STLPL313A</t>
  </si>
  <si>
    <t>.375</t>
  </si>
  <si>
    <t>005 07119 375</t>
  </si>
  <si>
    <t xml:space="preserve">Plate,Steel,0.375 </t>
  </si>
  <si>
    <t>STLPL375A</t>
  </si>
  <si>
    <t>1/2</t>
  </si>
  <si>
    <t>.500</t>
  </si>
  <si>
    <t>005 07119 500</t>
  </si>
  <si>
    <t xml:space="preserve">Plate,Steel,0.5 </t>
  </si>
  <si>
    <t>STLPL500A</t>
  </si>
  <si>
    <t>Notes:</t>
  </si>
  <si>
    <t>1. All sheet or coil stock raw material will be calculated in Square Foot, (Width" X Length") / 144 = SQ. FT.</t>
  </si>
  <si>
    <t>2. Conversions to Pounds or Sheets will be setup in Mapics as a (1 to X) product structure relationship</t>
  </si>
  <si>
    <t>3. The max sheet size is 60 X 144 inches for sheet stock material</t>
  </si>
  <si>
    <t>4. With the exception to standard R259 is that all Galvanized Steel will be Chemically Treated and oiled with a mineral based oil which is easily removable by vapor degreasing or mild alkaline cleaning with a hot water rinse.</t>
  </si>
  <si>
    <t>Revision</t>
  </si>
  <si>
    <t>Date</t>
  </si>
  <si>
    <t>By</t>
  </si>
  <si>
    <t>ECN Number</t>
  </si>
  <si>
    <t>NEW</t>
  </si>
  <si>
    <t>SJ</t>
  </si>
  <si>
    <t>24-11650</t>
  </si>
  <si>
    <t>General</t>
  </si>
  <si>
    <t>Raceway_W</t>
  </si>
  <si>
    <t>Clearance_1</t>
  </si>
  <si>
    <t>Clearance_2</t>
  </si>
  <si>
    <t>Seg_L</t>
  </si>
  <si>
    <t>Seg_W</t>
  </si>
  <si>
    <t>deg</t>
  </si>
  <si>
    <t>FansWide</t>
  </si>
  <si>
    <t>FanArrayDoa</t>
  </si>
  <si>
    <t>BendRadius</t>
  </si>
  <si>
    <t>Sep_Pnl1_Hole4_Z_loc</t>
  </si>
  <si>
    <t>Sep_Pnl1_Hole4_Y_loc</t>
  </si>
  <si>
    <t>Sep_Pnl1_Hole4_Y_Spac</t>
  </si>
  <si>
    <t>Sep_Pnl1_Hole4_Y_Qty</t>
  </si>
  <si>
    <t>Fan Collar</t>
  </si>
  <si>
    <t>Collar_Thk</t>
  </si>
  <si>
    <t>Collar_Thk_Ga</t>
  </si>
  <si>
    <t>Collar_H</t>
  </si>
  <si>
    <t>Collar_Top_Flg</t>
  </si>
  <si>
    <t>Collar_W</t>
  </si>
  <si>
    <t>Collar_Depth</t>
  </si>
  <si>
    <t>Collar_Rivet_HL_Dia</t>
  </si>
  <si>
    <t>Collar_Btm_Flg</t>
  </si>
  <si>
    <t>Collar_Hole1_to_Edge</t>
  </si>
  <si>
    <t>Collar_Hole1_Spac</t>
  </si>
  <si>
    <t>Collar_Hole_Max_Spac</t>
  </si>
  <si>
    <t>Collar_Hole1_Qty</t>
  </si>
  <si>
    <t>Collar_Flg_Clr</t>
  </si>
  <si>
    <t>Damper_Thk</t>
  </si>
  <si>
    <t>Damper_Length</t>
  </si>
  <si>
    <t>Damper_Width</t>
  </si>
  <si>
    <t>Damper_Length_No_Flg</t>
  </si>
  <si>
    <t>Damper_Width_No_Flg</t>
  </si>
  <si>
    <t>Damper_Flg</t>
  </si>
  <si>
    <t>Damper_Mtg_Hole_Edge</t>
  </si>
  <si>
    <t>Damper_Depth</t>
  </si>
  <si>
    <t>Collar_H_Round</t>
  </si>
  <si>
    <t>FansWideDist</t>
  </si>
  <si>
    <t>FanSpacing</t>
  </si>
  <si>
    <t>Sep_Pnl2_Length</t>
  </si>
  <si>
    <t>Lad_End_Sup_Spac</t>
  </si>
  <si>
    <t>Damper_Hole1_X_loc</t>
  </si>
  <si>
    <t>Damper_Hole1_Y_loc</t>
  </si>
  <si>
    <t>Damper_Hole1_X_Spac</t>
  </si>
  <si>
    <t>Damper_Hole1_X_Qty</t>
  </si>
  <si>
    <t>Damper_Hole1_X_Spac_Calc</t>
  </si>
  <si>
    <t>Damper_Hole1_X_loc_Max</t>
  </si>
  <si>
    <t>Collar_Hole2_X_loc</t>
  </si>
  <si>
    <t>Collar_Hole2_Y_loc</t>
  </si>
  <si>
    <t>Collar_Hole2_X_Spac</t>
  </si>
  <si>
    <t>Collar_Hole2_X_Qty</t>
  </si>
  <si>
    <t>Nom_WD</t>
  </si>
  <si>
    <t>Fan Weel to Frame</t>
  </si>
  <si>
    <t>Min</t>
  </si>
  <si>
    <t>Min
Phy</t>
  </si>
  <si>
    <t>Min
Per WD</t>
  </si>
  <si>
    <t>Horz Wheel to Wheel</t>
  </si>
  <si>
    <t>FanHorzSp2</t>
  </si>
  <si>
    <t>Initial</t>
  </si>
  <si>
    <t>Final</t>
  </si>
  <si>
    <t>If Fan Spacing = 1</t>
  </si>
  <si>
    <t>If Fan Spacing = 0</t>
  </si>
  <si>
    <t>If Fan Spacing = 2</t>
  </si>
  <si>
    <t>Spacing Checker for 0</t>
  </si>
  <si>
    <t>Spacing Checker for 1</t>
  </si>
  <si>
    <t>If Fan Spacing Override</t>
  </si>
  <si>
    <t>Inputs for MOM</t>
  </si>
  <si>
    <t>Error Check</t>
  </si>
  <si>
    <t>1, 2</t>
  </si>
  <si>
    <t>FAN_FRAME_CLR</t>
  </si>
  <si>
    <t>Sep_Pnl1_Cutout_Width</t>
  </si>
  <si>
    <t>Sep_Sup_Bkt_Flg3</t>
  </si>
  <si>
    <t>BlankOff_Qty</t>
  </si>
  <si>
    <t>BlankOff_Hole1_Z_loc</t>
  </si>
  <si>
    <t>BlackOff_Hole1_Y_loc</t>
  </si>
  <si>
    <t>0, 1, 2</t>
  </si>
  <si>
    <t>NO, BD</t>
  </si>
  <si>
    <t>BlankOff_Sup</t>
  </si>
  <si>
    <t>FanSpacingLeng_O</t>
  </si>
  <si>
    <t>FanToLinerLeng_O</t>
  </si>
  <si>
    <t>Override spacing from Segment start to fan wheel (not to fan center)</t>
  </si>
  <si>
    <t>Override panel thickness (Typ. 16 ga.) - Horz Separation panels</t>
  </si>
  <si>
    <t>PanThkO</t>
  </si>
  <si>
    <t>LenSepPanThkO</t>
  </si>
  <si>
    <t>Override panel thickness (Typ. 16 ga.) - Along Seg Length Separation panels</t>
  </si>
  <si>
    <t>Override spacing between fans - Along Seg Length, wheel to wheel (not center to center)</t>
  </si>
  <si>
    <t>EBM_PN:_EG1R-240-310-A26</t>
  </si>
  <si>
    <t>EBM_PN:_EG1R-240-310-A29</t>
  </si>
  <si>
    <t>EBM_PN:_EG1R-240 310-A29</t>
  </si>
  <si>
    <t>EBM_PN:_EG1R-240-355-A26</t>
  </si>
  <si>
    <t>EBM_PN:_EG1R-240-355-A29</t>
  </si>
  <si>
    <t>EBM_PN:_EG1R-240-400-A26</t>
  </si>
  <si>
    <t>EBM_PN:_EG1R-240-400-A29</t>
  </si>
  <si>
    <t>EBM_PN:_EG1R-240-450-A26</t>
  </si>
  <si>
    <t>EBM_PN:_EG1R-240-450-A29</t>
  </si>
  <si>
    <t>EBM_PN:_EG1R-240-450-B26</t>
  </si>
  <si>
    <t>EBM_PN:_EG1R-240-450-B29</t>
  </si>
  <si>
    <t>EBM_PN:_EG1R-240-500-A26</t>
  </si>
  <si>
    <t>EBM_PN:_EG1R-240-500-A29</t>
  </si>
  <si>
    <t>EBM_PN:_EG1R-240-500-B26</t>
  </si>
  <si>
    <t>EBM_PN:_EG1R-240-500-B29</t>
  </si>
  <si>
    <t>EBM_PN:_EG1R-240-560-A26</t>
  </si>
  <si>
    <t>EBM_PN:_EG1R-240-560-A29</t>
  </si>
  <si>
    <t>EBM_PN:_EG1R-240-560-B26</t>
  </si>
  <si>
    <t>EBM_PN:_EG1R-240-560-B29</t>
  </si>
  <si>
    <t>EBM_PN:_EG1R-480-310-A26</t>
  </si>
  <si>
    <t>EBM_PN:_EG1R-480-310-A29</t>
  </si>
  <si>
    <t>EBM_PN:_EG1R-480-355-A26</t>
  </si>
  <si>
    <t>EBM_PN:_EG1R-480-355-A29</t>
  </si>
  <si>
    <t>EBM_PN:_EG1R-480-400-A26</t>
  </si>
  <si>
    <t>EBM_PN:_EG1R-480-400-A29</t>
  </si>
  <si>
    <t>EBM_PN:_EG1R-480-450-A26</t>
  </si>
  <si>
    <t>EBM_PN:_EG1R-480-450-A29</t>
  </si>
  <si>
    <t>EBM_PN:_EG1R-480-450-B26</t>
  </si>
  <si>
    <t>EBM_PN:_EG1R-480-450-B29</t>
  </si>
  <si>
    <t>EBM_PN:_EG1R-480-500-A26</t>
  </si>
  <si>
    <t>EBM_PN:_EG1R-480-500-A29</t>
  </si>
  <si>
    <t>EBM_PN:_EG1R-480-500-B26</t>
  </si>
  <si>
    <t>EBM_PN:_EG1R-480-500-B29</t>
  </si>
  <si>
    <t>EBM_PN:_EG1R-480-560-A26</t>
  </si>
  <si>
    <t>EBM_PN:_EG1R-480-560-A29</t>
  </si>
  <si>
    <t>EBM_PN:_EG1R-480-560-B26</t>
  </si>
  <si>
    <t>EBM_PN:_EG1R-480-560-B29</t>
  </si>
  <si>
    <t>EBM_PN:_EG1R-480-630-A26</t>
  </si>
  <si>
    <t>EBM_PN:_EG1R-480-630-A29</t>
  </si>
  <si>
    <t>EBM_PN:_K3G710-PC05-03</t>
  </si>
  <si>
    <t>EBM_PN:_K3G800-PC02-03</t>
  </si>
  <si>
    <t>EBM_310_200-240V_3PH_4.5KW</t>
  </si>
  <si>
    <t>EBM_355_200-240V_3PH_4.5KW</t>
  </si>
  <si>
    <t>EBM_400_200-240V_3PH_4.5KW</t>
  </si>
  <si>
    <t>EBM_450_200-240V_3PH_4.5KW</t>
  </si>
  <si>
    <t>EBM_450_200-240V_3PH_8KW</t>
  </si>
  <si>
    <t>EBM_500_200-240V_3PH_4.5KW</t>
  </si>
  <si>
    <t>EBM_500_200-240V_3PH_8KW</t>
  </si>
  <si>
    <t>EBM_560_200-240V_3PH_4.5KW</t>
  </si>
  <si>
    <t>EBM_560_200-240V_3PH_8KW</t>
  </si>
  <si>
    <t>EBM_310_380-480V_3PH_4.5KW</t>
  </si>
  <si>
    <t>EBM_355_380-480V_3PH_4.5KW</t>
  </si>
  <si>
    <t>EBM_400_380-480V_3PH_4.5KW</t>
  </si>
  <si>
    <t>EBM_450_380-480V_3PH_4.5KW</t>
  </si>
  <si>
    <t>EBM_450_380-480V_3PH_8KW</t>
  </si>
  <si>
    <t>EBM_500_380-480V_3PH_4.5KW</t>
  </si>
  <si>
    <t>EBM_500_380-480V_3PH_8KW</t>
  </si>
  <si>
    <t>EBM_560_380-480V_3PH_4.5KW</t>
  </si>
  <si>
    <t>EBM_560_380-480V_3PH_8KW</t>
  </si>
  <si>
    <t>EBM_630_380-480V_3PH_4.5KW</t>
  </si>
  <si>
    <t>EBM_710_380-480V_3PH_4.5KW</t>
  </si>
  <si>
    <t>EBM_800_380-480V_3PH_4.5KW</t>
  </si>
  <si>
    <t>026-52851-201</t>
  </si>
  <si>
    <t>026-52851-211</t>
  </si>
  <si>
    <t>026-52851-301</t>
  </si>
  <si>
    <t>026-52851-311</t>
  </si>
  <si>
    <t>026-52852-201</t>
  </si>
  <si>
    <t>026-52852-301</t>
  </si>
  <si>
    <t>026-52852-311</t>
  </si>
  <si>
    <t>026-52852-211</t>
  </si>
  <si>
    <t>026-52853-201</t>
  </si>
  <si>
    <t>026-52853-301</t>
  </si>
  <si>
    <t>026-52853-211</t>
  </si>
  <si>
    <t>026-52853-311</t>
  </si>
  <si>
    <t>026-52840-201</t>
  </si>
  <si>
    <t>026-52840-301</t>
  </si>
  <si>
    <t>026-52840-311</t>
  </si>
  <si>
    <t>026-53738-201</t>
  </si>
  <si>
    <t>026-52840-211</t>
  </si>
  <si>
    <t>026-53738-301</t>
  </si>
  <si>
    <t>026-53738-211</t>
  </si>
  <si>
    <t>026-53738-311</t>
  </si>
  <si>
    <t>026-52841-201</t>
  </si>
  <si>
    <t>026-52841-301</t>
  </si>
  <si>
    <t>026-52841-211</t>
  </si>
  <si>
    <t>026-52841-311</t>
  </si>
  <si>
    <t>026-53739-201</t>
  </si>
  <si>
    <t>026-53739-301</t>
  </si>
  <si>
    <t>026-53739-211</t>
  </si>
  <si>
    <t>026-53739-311</t>
  </si>
  <si>
    <t>026-52842-201</t>
  </si>
  <si>
    <t>026-52842-301</t>
  </si>
  <si>
    <t>026-52842-211</t>
  </si>
  <si>
    <t>026-52842-311</t>
  </si>
  <si>
    <t>026-53740-201</t>
  </si>
  <si>
    <t>026-53740-301</t>
  </si>
  <si>
    <t>026-53740-211</t>
  </si>
  <si>
    <t>026-53740-311</t>
  </si>
  <si>
    <t>026-52851-401</t>
  </si>
  <si>
    <t>026-52851-411</t>
  </si>
  <si>
    <t>026-52852-401</t>
  </si>
  <si>
    <t>026-52852-411</t>
  </si>
  <si>
    <t>026-52853-401</t>
  </si>
  <si>
    <t>026-52853-411</t>
  </si>
  <si>
    <t>026-52840-001</t>
  </si>
  <si>
    <t>026-52840-002</t>
  </si>
  <si>
    <t>026-53738-401</t>
  </si>
  <si>
    <t>026-53738-411</t>
  </si>
  <si>
    <t>026-52841-001</t>
  </si>
  <si>
    <t>026-52841-002</t>
  </si>
  <si>
    <t>026-53739-401</t>
  </si>
  <si>
    <t>026-53739-411</t>
  </si>
  <si>
    <t>026-52842-001</t>
  </si>
  <si>
    <t>026-52842-002</t>
  </si>
  <si>
    <t>026-53740-401</t>
  </si>
  <si>
    <t>026-53740-411</t>
  </si>
  <si>
    <t>026-52854-401</t>
  </si>
  <si>
    <t>026-52854-411</t>
  </si>
  <si>
    <t>026-52855-401</t>
  </si>
  <si>
    <t>026-52856-401</t>
  </si>
  <si>
    <t>Fan Size</t>
  </si>
  <si>
    <t>380-480</t>
  </si>
  <si>
    <t>EG1R-480-250-12</t>
  </si>
  <si>
    <t>200-240</t>
  </si>
  <si>
    <t>EG1R-240-250-12</t>
  </si>
  <si>
    <t>EG1R-480-280-12</t>
  </si>
  <si>
    <t>EG1R-240-280-12</t>
  </si>
  <si>
    <t>EG1R-480-310-35</t>
  </si>
  <si>
    <t>EG1R-240-310-35</t>
  </si>
  <si>
    <t>EG1R-480-355-32</t>
  </si>
  <si>
    <t>EG1R-240-355-32</t>
  </si>
  <si>
    <t>EG1R-480-400-48</t>
  </si>
  <si>
    <t>EG1R-240-400-48</t>
  </si>
  <si>
    <t>EG1R-480-450-48</t>
  </si>
  <si>
    <t>EG1R-480-450-68</t>
  </si>
  <si>
    <t>EG1R-240-450-48</t>
  </si>
  <si>
    <t>EG1R-240-450-68</t>
  </si>
  <si>
    <t>EG1R-480-500-48</t>
  </si>
  <si>
    <t>EG1R-480-500-58</t>
  </si>
  <si>
    <t>EG1R-240-500-48</t>
  </si>
  <si>
    <t>EG1R-240-500-58</t>
  </si>
  <si>
    <t>EG1R-480-560-48</t>
  </si>
  <si>
    <t>EG1R-480-560-68</t>
  </si>
  <si>
    <t>EG1R-240-560-48</t>
  </si>
  <si>
    <t>EG1R-240-560-68</t>
  </si>
  <si>
    <t>EG1R-480-630-33</t>
  </si>
  <si>
    <t>K3G630-AQ01-05</t>
  </si>
  <si>
    <t>K3G630-AR02-01</t>
  </si>
  <si>
    <t>K3G630-AS05-01</t>
  </si>
  <si>
    <t>K3G630-AT09-01</t>
  </si>
  <si>
    <t>K3G630-AQ03-19</t>
  </si>
  <si>
    <t>EG1R-480-710-02</t>
  </si>
  <si>
    <t>K3G710-AQ01-09</t>
  </si>
  <si>
    <t>K3G710-AR03-01</t>
  </si>
  <si>
    <t>K3G710-AS06-01</t>
  </si>
  <si>
    <t>K3G710-AQ04-19</t>
  </si>
  <si>
    <t>K3G800-AQ03-09</t>
  </si>
  <si>
    <t>K3G800-AR08-01</t>
  </si>
  <si>
    <t>K3G800-AS07-01</t>
  </si>
  <si>
    <t>K3G800-AQ06-19</t>
  </si>
  <si>
    <t>K3G900-AQ01-09</t>
  </si>
  <si>
    <t>K3G900-AS08-01</t>
  </si>
  <si>
    <t>K3G900-AQ07-19</t>
  </si>
  <si>
    <t>EG1R-480-250-11W</t>
  </si>
  <si>
    <t>EG1R-240-250-11W</t>
  </si>
  <si>
    <t>EG1R480-280-11W</t>
  </si>
  <si>
    <t>EG1R240-280-11W</t>
  </si>
  <si>
    <t>EG1R480-310-13W</t>
  </si>
  <si>
    <t>EG1R240-310-13W</t>
  </si>
  <si>
    <t>EG1R480-355-12W</t>
  </si>
  <si>
    <t>EG1R240-355-12W</t>
  </si>
  <si>
    <t>EG1R480-400-13W</t>
  </si>
  <si>
    <t>EG1R240-400-13W</t>
  </si>
  <si>
    <t>EG1R480-450-13W</t>
  </si>
  <si>
    <t>EG1R480-450-16W</t>
  </si>
  <si>
    <t>EG1R240-450-13W</t>
  </si>
  <si>
    <t>EG1R240-450-16W</t>
  </si>
  <si>
    <t>EG1R480-500-13W</t>
  </si>
  <si>
    <t>EG1R480-500-16W</t>
  </si>
  <si>
    <t>EG1R240-500-13W</t>
  </si>
  <si>
    <t>EG1R240-500-16W</t>
  </si>
  <si>
    <t>EG1R480-560-13W</t>
  </si>
  <si>
    <t>EG1R480-560-16W</t>
  </si>
  <si>
    <t>EG1R240-560-13W</t>
  </si>
  <si>
    <t>EG1R240-560-16W</t>
  </si>
  <si>
    <t>EG1R480-630-13W</t>
  </si>
  <si>
    <t>K3G630-AQ01-05W</t>
  </si>
  <si>
    <t>K3G630-AR02-01W</t>
  </si>
  <si>
    <t>K3G630-AS05-01W</t>
  </si>
  <si>
    <t>K3G630-AT09-01W</t>
  </si>
  <si>
    <t>K3G630-AQ03-19W</t>
  </si>
  <si>
    <t>EG1R480-710-13W</t>
  </si>
  <si>
    <t>K3G710-AQ01-09W</t>
  </si>
  <si>
    <t>K3G710-AR03-01W</t>
  </si>
  <si>
    <t>K3G710-AS06-01W</t>
  </si>
  <si>
    <t>K3G710-AQ04-19W</t>
  </si>
  <si>
    <t>K3G800-AQ03-09W</t>
  </si>
  <si>
    <t>K3G800-AR08-01W</t>
  </si>
  <si>
    <t>K3G800-AS07-01W</t>
  </si>
  <si>
    <t>K3G800-AQ06-19W</t>
  </si>
  <si>
    <t>K3G900-AQ01-09W</t>
  </si>
  <si>
    <t>K3G900-AS08-01W</t>
  </si>
  <si>
    <t>K3G900-AQ07-19W</t>
  </si>
  <si>
    <t>inlet 
H/W</t>
  </si>
  <si>
    <t>inlet 
Flange</t>
  </si>
  <si>
    <t>inlet 
Thk</t>
  </si>
  <si>
    <t>inlet 
Mnt 
Hole</t>
  </si>
  <si>
    <t>Hole 
to Edge</t>
  </si>
  <si>
    <t>Hole 
Qty</t>
  </si>
  <si>
    <t>Hole 
Spacing</t>
  </si>
  <si>
    <t>Frame 
Hrdwr 
to Side</t>
  </si>
  <si>
    <t>Frame 
Hrdwr 
to Top</t>
  </si>
  <si>
    <t>Frame 
Hrdwr 
Spacing</t>
  </si>
  <si>
    <t>NOT USED</t>
  </si>
  <si>
    <t>Oval Frame W</t>
  </si>
  <si>
    <t>Oval Frame H</t>
  </si>
  <si>
    <t>Oval Frame Cntr-Side1</t>
  </si>
  <si>
    <t>Oval Frame Cntr-Side2</t>
  </si>
  <si>
    <t>Oval Frame Length</t>
  </si>
  <si>
    <t>Mtr Pnl H/W</t>
  </si>
  <si>
    <t>Mtr Pnl Flange</t>
  </si>
  <si>
    <t>Funnel Angle</t>
  </si>
  <si>
    <t>Wheel Rim dia.</t>
  </si>
  <si>
    <t>Mtr Hub to Panel</t>
  </si>
  <si>
    <t>Mtr Hub dia.</t>
  </si>
  <si>
    <t>Mtr Hub Chamfer</t>
  </si>
  <si>
    <t>Mtr Hub R1</t>
  </si>
  <si>
    <t>Mtr Step to Pnl</t>
  </si>
  <si>
    <t>Mtr Step R1</t>
  </si>
  <si>
    <t>Mtr Step dia. 1</t>
  </si>
  <si>
    <t>Mtr Step dia. 2</t>
  </si>
  <si>
    <t>Mtr Rear Dia. 1</t>
  </si>
  <si>
    <t>Mtr Rear Dia. 2</t>
  </si>
  <si>
    <t>Mtr Rear Dia. 3</t>
  </si>
  <si>
    <t>Mtr Rear R1</t>
  </si>
  <si>
    <t>collar Depth</t>
  </si>
  <si>
    <t>inlet panel to dwnstrm end of fan/mtr</t>
  </si>
  <si>
    <t>XT Total Asy L</t>
  </si>
  <si>
    <t>YC Total Asy L</t>
  </si>
  <si>
    <t>Final XT L</t>
  </si>
  <si>
    <t>Final YC L</t>
  </si>
  <si>
    <t>Final L without isolated wall</t>
  </si>
  <si>
    <t>Final L without isolated wall + screen</t>
  </si>
  <si>
    <t>XT Vert L</t>
  </si>
  <si>
    <t>YC Vert L</t>
  </si>
  <si>
    <t>A</t>
  </si>
  <si>
    <t>B</t>
  </si>
  <si>
    <t>C</t>
  </si>
  <si>
    <t>D</t>
  </si>
  <si>
    <t>E</t>
  </si>
  <si>
    <t>F</t>
  </si>
  <si>
    <t>G</t>
  </si>
  <si>
    <t>H</t>
  </si>
  <si>
    <t>I</t>
  </si>
  <si>
    <t>J</t>
  </si>
  <si>
    <t>N</t>
  </si>
  <si>
    <t>O</t>
  </si>
  <si>
    <t>P</t>
  </si>
  <si>
    <t>Q</t>
  </si>
  <si>
    <t>R</t>
  </si>
  <si>
    <t>S</t>
  </si>
  <si>
    <t>T</t>
  </si>
  <si>
    <t>U</t>
  </si>
  <si>
    <t>X</t>
  </si>
  <si>
    <t>AK</t>
  </si>
  <si>
    <t>AM</t>
  </si>
  <si>
    <t>AN</t>
  </si>
  <si>
    <t>AO</t>
  </si>
  <si>
    <t>AP</t>
  </si>
  <si>
    <t>AQ</t>
  </si>
  <si>
    <t>AR</t>
  </si>
  <si>
    <t>AS</t>
  </si>
  <si>
    <t>AT</t>
  </si>
  <si>
    <t>AV</t>
  </si>
  <si>
    <t>AW</t>
  </si>
  <si>
    <t>AX</t>
  </si>
  <si>
    <t>AY</t>
  </si>
  <si>
    <t>11.18</t>
  </si>
  <si>
    <t>12.56</t>
  </si>
  <si>
    <t>39.61</t>
  </si>
  <si>
    <t>estimated values</t>
  </si>
  <si>
    <t>Darkened areas not used anymore</t>
  </si>
  <si>
    <t>EG1R-240-310-A</t>
  </si>
  <si>
    <t>EG1R-480-310-A</t>
  </si>
  <si>
    <t>EG1R-240-355-A</t>
  </si>
  <si>
    <t>EG1R-480-355-A</t>
  </si>
  <si>
    <t>EG1R-240-400-A</t>
  </si>
  <si>
    <t>EG1R-480-400-A</t>
  </si>
  <si>
    <t>EG1R-240-450-A</t>
  </si>
  <si>
    <t>EG1R-480-450-A</t>
  </si>
  <si>
    <t>EG1R-240-450-B</t>
  </si>
  <si>
    <t>EG1R-480-450-B</t>
  </si>
  <si>
    <t>EG1R-240-500-A</t>
  </si>
  <si>
    <t>EG1R-480-500-A</t>
  </si>
  <si>
    <t>EG1R-240-500-B</t>
  </si>
  <si>
    <t>EG1R-480-500-B</t>
  </si>
  <si>
    <t>EG1R-240-560-A</t>
  </si>
  <si>
    <t>EG1R-480-560-A</t>
  </si>
  <si>
    <t>EG1R-240-560-B</t>
  </si>
  <si>
    <t>EG1R-480-560-B</t>
  </si>
  <si>
    <t>EG1R-480-630-A</t>
  </si>
  <si>
    <t>630G3_4.5</t>
  </si>
  <si>
    <t>Default=0, Options 0= .6 wheel dia. spacing, 1= 1 wheel dia. spacing, 2= evenly spaced</t>
  </si>
  <si>
    <t>Default= STL GALV Any valid material style.  Ie: STL GALV, SST304</t>
  </si>
  <si>
    <t>Default=1, Fan Array DOA</t>
  </si>
  <si>
    <t>Default=1, Fan Array Width- number of fans side-by-side</t>
  </si>
  <si>
    <t>Default=0, Qty of fan block off plates</t>
  </si>
  <si>
    <t>Segment_L</t>
  </si>
  <si>
    <t>Segment_W</t>
  </si>
  <si>
    <t>Lad_Rail_Width1</t>
  </si>
  <si>
    <t>Lad_Rail_Width2</t>
  </si>
  <si>
    <t>Front to Wheel</t>
  </si>
  <si>
    <t>Leng Wheel to Wheel</t>
  </si>
  <si>
    <t>FanLegnSP2</t>
  </si>
  <si>
    <t>H SP</t>
  </si>
  <si>
    <t>L SP</t>
  </si>
  <si>
    <t>Damper_Sup</t>
  </si>
  <si>
    <t>FansArrayDist</t>
  </si>
  <si>
    <t>Lad_Rail_Hole_Cut_Out</t>
  </si>
  <si>
    <t>Lad_Rail_Hole_Dia_1</t>
  </si>
  <si>
    <t>Lad_Rail_Hole_Dia_2</t>
  </si>
  <si>
    <t>Lad_Rail_Hole_Dia_3</t>
  </si>
  <si>
    <t>Lad_Rail_Hole_Dia_4</t>
  </si>
  <si>
    <t>Seg_L_Mid</t>
  </si>
  <si>
    <t>Seg_W_Mid</t>
  </si>
  <si>
    <t>Clr_1</t>
  </si>
  <si>
    <t>Clr_2</t>
  </si>
  <si>
    <t>Fan_1_loc_Z</t>
  </si>
  <si>
    <t>Fan_1_loc_X</t>
  </si>
  <si>
    <t>Lad_Rail_Hole4_X_loc</t>
  </si>
  <si>
    <t>Lad_Rail_Hole4_Y_loc</t>
  </si>
  <si>
    <t>Lad_Rail_Hole4_X_Qty</t>
  </si>
  <si>
    <t>Lad_Rail_Hole3_X1_Spc</t>
  </si>
  <si>
    <t>Lad_Rail_Hole4_X_Spc</t>
  </si>
  <si>
    <t>Lad_Rail_Hole4_X2_Qty</t>
  </si>
  <si>
    <t>Ladder Support</t>
  </si>
  <si>
    <t>Lad_Sup_Thk_Ga</t>
  </si>
  <si>
    <t>Lad_Sup_Thk</t>
  </si>
  <si>
    <t>Lad_Sup_Length</t>
  </si>
  <si>
    <t>Lad_Sup_Flg1</t>
  </si>
  <si>
    <t>Lad_Sup_Flg2</t>
  </si>
  <si>
    <t>Lad_Sup_Hole1_Y_loc</t>
  </si>
  <si>
    <t>Lad_Sup_Hole1_X1_Spac</t>
  </si>
  <si>
    <t>Lad_Sup_Hole1_X1_Qty</t>
  </si>
  <si>
    <t>Lad_Sup_Hole2_X_loc</t>
  </si>
  <si>
    <t>Lad_Sup_Hole2_Z_loc</t>
  </si>
  <si>
    <t>Lad_Sup_Hole2_Z_Spac</t>
  </si>
  <si>
    <t>Lad_Sup_Hole2_Z_Qty</t>
  </si>
  <si>
    <t>Lad_Sup_Hole3_X_loc</t>
  </si>
  <si>
    <t>Lad_Sup_Hole3_Z1_loc</t>
  </si>
  <si>
    <t>Lad_Sup_Hole3_Z2_loc</t>
  </si>
  <si>
    <t>Lad_Sup_Hole3_Z_Spac</t>
  </si>
  <si>
    <t>BlockOff_Sup</t>
  </si>
  <si>
    <t>FanArray2x1Sup</t>
  </si>
  <si>
    <t>Sep_Pnl_Thk</t>
  </si>
  <si>
    <t>Sep_Pnl_Height</t>
  </si>
  <si>
    <t>Lad_Sup_Hole_Dia_1</t>
  </si>
  <si>
    <t>Lad_Sup_Hole_Cut_Out</t>
  </si>
  <si>
    <t>Lad_Sup_Hole_Max_Spc</t>
  </si>
  <si>
    <t>Sep_Pnl_Hole_Dia_1</t>
  </si>
  <si>
    <t>Sep_Pnl_Hole_Dia_2</t>
  </si>
  <si>
    <t>Sep_Pnl1_Flg</t>
  </si>
  <si>
    <t>Sep_Pnl2_Flg</t>
  </si>
  <si>
    <t>Collar_Hole_Dia_1</t>
  </si>
  <si>
    <t>Collar_Hole_Dia_2</t>
  </si>
  <si>
    <t>Lad_Sup_Hole1_X2_Spac</t>
  </si>
  <si>
    <t>Lad_Sup_Hole1_X2_Qty</t>
  </si>
  <si>
    <t>Lad_Rail_Start</t>
  </si>
  <si>
    <t>Lad_Rail_Hole3_X2_Spc</t>
  </si>
  <si>
    <t>Damper_Hole_Dia_1</t>
  </si>
  <si>
    <t>Sep_Sup_Bkt_Hole_Dia_1</t>
  </si>
  <si>
    <t>Lad_Rail_Spac</t>
  </si>
  <si>
    <t>Sep_Pnl3_Length</t>
  </si>
  <si>
    <t>Sep_Pnl2_Thk_Ga</t>
  </si>
  <si>
    <t>Sep_Pnl_Thk2</t>
  </si>
  <si>
    <t>Sep_Pnl1_Hole1_X1_Spac</t>
  </si>
  <si>
    <t>Sep_Pnl1_Hole2_Z_loc</t>
  </si>
  <si>
    <t>Sep_Sup_Bkt_Width1</t>
  </si>
  <si>
    <t>Sep_Sup_Bkt_Hole_Dia_2</t>
  </si>
  <si>
    <t>Sep_Sup_Bkt_Flg4</t>
  </si>
  <si>
    <t>FanArray2x2Sup</t>
  </si>
  <si>
    <t>FanArray2x3Sup</t>
  </si>
  <si>
    <t>Lad_Rail_Hole6_X_loc</t>
  </si>
  <si>
    <t>Lad_Rail_Hole7_X_loc</t>
  </si>
  <si>
    <t>Sep_Pnl2_Start_Dist</t>
  </si>
  <si>
    <t>Sep_Pnl3_Start_Dist</t>
  </si>
  <si>
    <t>Sep_Pnl2_Hole1_X1_loc</t>
  </si>
  <si>
    <t>Sep_Pnl2_Hole1_X2_loc</t>
  </si>
  <si>
    <t>Sep_Pnl2_Hole3_X_loc</t>
  </si>
  <si>
    <t>Sep_Pnl2_Hole3_Z1_loc</t>
  </si>
  <si>
    <t>Sep_Pnl2_Hole3_Z2_loc</t>
  </si>
  <si>
    <t>Sep_Pnl2_Hole3_X_Spac</t>
  </si>
  <si>
    <t>Sep_Pnl3_Hole3_X_Spac</t>
  </si>
  <si>
    <t>Fan_Min_Space_L</t>
  </si>
  <si>
    <t>Sep_mtg_Bkt_Hole_Supp</t>
  </si>
  <si>
    <t>Sep_Sup_Bkt_Hole1_X1_Spac</t>
  </si>
  <si>
    <t>Lad_Rail_Hole1_Z1_Spac</t>
  </si>
  <si>
    <t>Segment Length</t>
  </si>
  <si>
    <t>Motor Volt KW</t>
  </si>
  <si>
    <t>BlankOffArray2Sup</t>
  </si>
  <si>
    <t>BlankOffArray1Qty</t>
  </si>
  <si>
    <t>BlankOffArray2Qty</t>
  </si>
  <si>
    <t>Block Off Qty</t>
  </si>
  <si>
    <t>Lad_Rail_Hole8_X1_loc</t>
  </si>
  <si>
    <t>Lad_Rail_Hole8_X1_Spac</t>
  </si>
  <si>
    <t>Lad_Rail_Hole8_X2_Spac</t>
  </si>
  <si>
    <t>Lad_Rail_Hole8_X3_Spac</t>
  </si>
  <si>
    <t>Lad_Rail_Hole9_X1_Spac</t>
  </si>
  <si>
    <t>Lad_Rail_Hole9_X2_Spac</t>
  </si>
  <si>
    <t>Sep_Pnl4_Length</t>
  </si>
  <si>
    <t>Sep_Pnl4_Hole3_X_Spac</t>
  </si>
  <si>
    <t>Lad_Rail_RH_L</t>
  </si>
  <si>
    <t>Lad_Rail_LH_L</t>
  </si>
  <si>
    <t>Lad_Rail_LH_Start</t>
  </si>
  <si>
    <t>IW</t>
  </si>
  <si>
    <t>1, 2, 3, 4, 5, 6</t>
  </si>
  <si>
    <t>IL</t>
  </si>
  <si>
    <t>Sep_Pnl1_Support_Height</t>
  </si>
  <si>
    <t>Sep_Sup_Bkt1_Angle</t>
  </si>
  <si>
    <t>Sep_Sup_Bkt2_Angle1</t>
  </si>
  <si>
    <t>Sep_Sup_Bkt2_Angle2</t>
  </si>
  <si>
    <t>Lad_Rail_Hole1_Max_Spac</t>
  </si>
  <si>
    <t>Lad_Rail_RH_Hole1_Z_Qty</t>
  </si>
  <si>
    <t>Lad_Rail_RH_Hole1_Z_Spac</t>
  </si>
  <si>
    <t>Lad_Rail_LH_Hole1_Z_Qty</t>
  </si>
  <si>
    <t>Lad_Rail_LH_Hole1_Z_Spac</t>
  </si>
  <si>
    <t>Fan_CollarHole1_RH</t>
  </si>
  <si>
    <t>Fan_CollarHole1_RH_Qty</t>
  </si>
  <si>
    <t>Fan_CollarHole1_LH</t>
  </si>
  <si>
    <t>Fan_CollarHole1_LH_Qty</t>
  </si>
  <si>
    <t>Fan_1</t>
  </si>
  <si>
    <t>Fan_2</t>
  </si>
  <si>
    <t>Fan_3</t>
  </si>
  <si>
    <t>Fan_4</t>
  </si>
  <si>
    <t>Fan_5</t>
  </si>
  <si>
    <t>Fan_6</t>
  </si>
  <si>
    <t>Mid_Support_RH</t>
  </si>
  <si>
    <t>Loc_1</t>
  </si>
  <si>
    <t>Loc_2</t>
  </si>
  <si>
    <t>Loc_3</t>
  </si>
  <si>
    <t>Loc_4</t>
  </si>
  <si>
    <t>Loc_5</t>
  </si>
  <si>
    <t>Mid_Support_RH_Qty</t>
  </si>
  <si>
    <t>Mid_Support_LH</t>
  </si>
  <si>
    <t>Mid_Support_LH_Qty</t>
  </si>
  <si>
    <t>Fan1_CH1_RH</t>
  </si>
  <si>
    <t>Fan1_CH1_RH_Qty</t>
  </si>
  <si>
    <t>Fan2_CH1_RH</t>
  </si>
  <si>
    <t>Fan2_CH1_RH_Qty</t>
  </si>
  <si>
    <t>Fan2_CH1_LH</t>
  </si>
  <si>
    <t>Fan2_CH1_LH_Qty</t>
  </si>
  <si>
    <t>Fan3_CH1_RH</t>
  </si>
  <si>
    <t>Fan3_CH1_RH_Qty</t>
  </si>
  <si>
    <t>Fan3_CH1_LH</t>
  </si>
  <si>
    <t>Fan3_CH1_LH_Qty</t>
  </si>
  <si>
    <t>Fan4_CH1_LH</t>
  </si>
  <si>
    <t>Fan4_CH1_LH_Qty</t>
  </si>
  <si>
    <t>Fan5_CH1_LH</t>
  </si>
  <si>
    <t>Fan5_CH1_LH_Qty</t>
  </si>
  <si>
    <t>Fan6_CH1_LH</t>
  </si>
  <si>
    <t>Fan6_CH1_LH_Qty</t>
  </si>
  <si>
    <t>Separator_Panel1_H1_RH</t>
  </si>
  <si>
    <t>Separator_Panel1_H2_RH</t>
  </si>
  <si>
    <t>Separator_Panel1_H1_LH</t>
  </si>
  <si>
    <t>Separator_Panel1_H2_LH</t>
  </si>
  <si>
    <t>Sep_Pnl1_Rail_RH_loc11</t>
  </si>
  <si>
    <t>Sep_Pnl1_Rail_RH_loc12</t>
  </si>
  <si>
    <t>Sep_Pnl1_Rail_RH_loc21</t>
  </si>
  <si>
    <t>Sep_Pnl1_Rail_RH_loc22</t>
  </si>
  <si>
    <t>Sep_Pnl1_Rail_RH_loc31</t>
  </si>
  <si>
    <t>Sep_Pnl1_Rail_RH_loc32</t>
  </si>
  <si>
    <t>Sep_Pnl1_Rail_LH_loc31</t>
  </si>
  <si>
    <t>Sep_Pnl1_Rail_LH_loc32</t>
  </si>
  <si>
    <t>Sep_Pnl1_Rail_LH_loc51</t>
  </si>
  <si>
    <t>Sep_Pnl1_Rail_LH_loc52</t>
  </si>
  <si>
    <t>Sep_Pnl1_Rail_LH_loc41</t>
  </si>
  <si>
    <t>Sep_Pnl1_Rail_LH_loc42</t>
  </si>
  <si>
    <t>Mid_Sup_Rail_RH_loc1</t>
  </si>
  <si>
    <t>Mid_Sup_Rail_RH_loc2</t>
  </si>
  <si>
    <t>Mid_Sup_Rail_RH_loc3</t>
  </si>
  <si>
    <t>Mid_Sup_Rail_LH_loc2</t>
  </si>
  <si>
    <t>Mid_Sup_Rail_LH_loc3</t>
  </si>
  <si>
    <t>Mid_Sup_Rail_LH_loc4</t>
  </si>
  <si>
    <t>Mid_Sup_Rail_LH_loc5</t>
  </si>
  <si>
    <t>Mid_Sup_Rail_RH_loc1_Qty</t>
  </si>
  <si>
    <t>Mid_Sup_Rail_RH_loc2_Qty</t>
  </si>
  <si>
    <t>Mid_Sup_Rail_RH_loc3_Qty</t>
  </si>
  <si>
    <t>Mid_Sup_Rail_LH_loc2_Qty</t>
  </si>
  <si>
    <t>Mid_Sup_Rail_LH_loc3_Qty</t>
  </si>
  <si>
    <t>Mid_Sup_Rail_LH_loc4_Qty</t>
  </si>
  <si>
    <t>Mid_Sup_Rail_LH_loc5_Qty</t>
  </si>
  <si>
    <t>Separator_Panel3_H1_RH</t>
  </si>
  <si>
    <t>Separator_Panel3_H1_LH</t>
  </si>
  <si>
    <t>Separator_Panel3_H2_RH</t>
  </si>
  <si>
    <t>Separator_Panel3_H2_LH</t>
  </si>
  <si>
    <t>Separator_Panel3_H3_RH</t>
  </si>
  <si>
    <t>Separator_Panel3_H3_LH</t>
  </si>
  <si>
    <t>Sep_Pnl1_Rail_LH_loc21</t>
  </si>
  <si>
    <t>Sep_Pnl1_Rail_LH_loc22</t>
  </si>
  <si>
    <t>Sep_Pnl3_Rail_RH_loc12</t>
  </si>
  <si>
    <t>Sep_Pnl3_Rail_RH_loc13</t>
  </si>
  <si>
    <t>Sep_Pnl3_Rail_LH_loc15</t>
  </si>
  <si>
    <t>Sep_Pnl3_Rail_LH_loc14</t>
  </si>
  <si>
    <t>Sep_Pnl3_Rail_LH_loc13</t>
  </si>
  <si>
    <t>Sep_Pnl3_Rail_LH_loc12</t>
  </si>
  <si>
    <t>Sep_Pnl3_Rail_RH_loc22</t>
  </si>
  <si>
    <t>Sep_Pnl3_Rail_RH_loc21</t>
  </si>
  <si>
    <t>Sep_Pnl3_Rail_RH_loc23</t>
  </si>
  <si>
    <t>Sep_Pnl3_Rail_LH_loc25</t>
  </si>
  <si>
    <t>Sep_Pnl3_Rail_LH_loc24</t>
  </si>
  <si>
    <t>Sep_Pnl3_Rail_LH_loc23</t>
  </si>
  <si>
    <t>Sep_Pnl3_Rail_LH_loc22</t>
  </si>
  <si>
    <t>208, 230, 460</t>
  </si>
  <si>
    <t>STL GALV, SST304</t>
  </si>
  <si>
    <t>Standard Hole Sizes</t>
  </si>
  <si>
    <t>Clearance</t>
  </si>
  <si>
    <t>Engagement</t>
  </si>
  <si>
    <t>0.152</t>
  </si>
  <si>
    <t>0.140</t>
  </si>
  <si>
    <t>0.218</t>
  </si>
  <si>
    <t>0.208</t>
  </si>
  <si>
    <t>#6 Hardware</t>
  </si>
  <si>
    <t>0.188</t>
  </si>
  <si>
    <t>28-20 ga. (&lt;.04 thickness)</t>
  </si>
  <si>
    <t>#8 Hardware</t>
  </si>
  <si>
    <t>0.109</t>
  </si>
  <si>
    <t>#10 Hardware</t>
  </si>
  <si>
    <t>1/4 Hardware</t>
  </si>
  <si>
    <t>0.312</t>
  </si>
  <si>
    <t>5/16 Hardware</t>
  </si>
  <si>
    <t>0.375</t>
  </si>
  <si>
    <t>1/4 Hardware - galv material</t>
  </si>
  <si>
    <t>3/8 Hardware</t>
  </si>
  <si>
    <t>0.437</t>
  </si>
  <si>
    <t>1/4 Hardware - sst</t>
  </si>
  <si>
    <t>1/2 Hardware</t>
  </si>
  <si>
    <t>0.562</t>
  </si>
  <si>
    <t>18-14 ga. (&gt;=.04 and &lt;=.09 thickness)</t>
  </si>
  <si>
    <t>#8 Hardware AB, B</t>
  </si>
  <si>
    <t>0.136</t>
  </si>
  <si>
    <t>Engagement holes per part</t>
  </si>
  <si>
    <t>#8 Hardware D,F,G &amp;T</t>
  </si>
  <si>
    <t>RightBhdEngHole</t>
  </si>
  <si>
    <t>LeftBhdEngHole</t>
  </si>
  <si>
    <t>1/4 Hardware AB, B</t>
  </si>
  <si>
    <t>TopBhdEngHole</t>
  </si>
  <si>
    <t>1/4 Hardware D,F,G&amp;T</t>
  </si>
  <si>
    <t>BtmBhdEngHole</t>
  </si>
  <si>
    <t>MidBhdEngHoleDia</t>
  </si>
  <si>
    <t>3/8 Hardware AB,B</t>
  </si>
  <si>
    <t>0.281</t>
  </si>
  <si>
    <t>StiffenerEngHole</t>
  </si>
  <si>
    <t>3/8 Hardware D,F,G&amp;T</t>
  </si>
  <si>
    <t>12 ga and up (&gt;.09 thickness)</t>
  </si>
  <si>
    <t>5/16 Hardware AB,B</t>
  </si>
  <si>
    <t>0.250</t>
  </si>
  <si>
    <t>5/16 Hardware D,F,G&amp;T</t>
  </si>
  <si>
    <t>0.344</t>
  </si>
  <si>
    <t>SPECIAL HOLE SIZES</t>
  </si>
  <si>
    <t>Indicator holes</t>
  </si>
  <si>
    <t>Ga</t>
  </si>
  <si>
    <t>dia</t>
  </si>
  <si>
    <t>spacing</t>
  </si>
  <si>
    <t>28 ga - 14 ga (&lt;=.09 thickness)</t>
  </si>
  <si>
    <t>12 ga - 10 ga (&gt;.09 and &lt; .14)</t>
  </si>
  <si>
    <t>8 ga. (&gt;= .14 thickness)</t>
  </si>
  <si>
    <t>Fan Spacing Calculations 1</t>
  </si>
  <si>
    <t>Fan Spacing Final Values</t>
  </si>
  <si>
    <t>Sep_Pnl3_Rail_RH_loc31</t>
  </si>
  <si>
    <t>Sep_Pnl3_Rail_RH_loc32</t>
  </si>
  <si>
    <t>Sep_Pnl3_Rail_RH_loc33</t>
  </si>
  <si>
    <t>Sep_Pnl3_Rail_LH_loc35</t>
  </si>
  <si>
    <t>Sep_Pnl3_Rail_LH_loc34</t>
  </si>
  <si>
    <t>Sep_Pnl3_Rail_LH_loc33</t>
  </si>
  <si>
    <t>Sep_Pnl3_Rail_LH_loc32</t>
  </si>
  <si>
    <t>Sep_Sup_Front_RH1</t>
  </si>
  <si>
    <t>Sep_Sup_Rear_RH1</t>
  </si>
  <si>
    <t>Sep_Sup_Front_LH1</t>
  </si>
  <si>
    <t>Sep_Sup_Rear_LH1</t>
  </si>
  <si>
    <t>Sep_Sup_Front_RH2</t>
  </si>
  <si>
    <t>Sep_Sup_Rear_RH2</t>
  </si>
  <si>
    <t>Sep_Sup_Front_LH2</t>
  </si>
  <si>
    <t>Sep_Sup_Rear_LH2</t>
  </si>
  <si>
    <t>Sep_Front_Rail_RH_loc11</t>
  </si>
  <si>
    <t>Sep_Front_Rail_RH_loc12</t>
  </si>
  <si>
    <t>Sep_Front_Rail_RH_loc21</t>
  </si>
  <si>
    <t>Sep_Front_Rail_RH_loc22</t>
  </si>
  <si>
    <t>Sep_Front_Rail_LH_loc51</t>
  </si>
  <si>
    <t>Sep_Front_Rail_LH_loc52</t>
  </si>
  <si>
    <t>Sep_Front_Rail_LH_loc41</t>
  </si>
  <si>
    <t>Sep_Front_Rail_LH_loc42</t>
  </si>
  <si>
    <t>Sep_Front_Rail_LH_loc31</t>
  </si>
  <si>
    <t>Sep_Front_Rail_LH_loc32</t>
  </si>
  <si>
    <t>Sep_Front_Rail_LH_loc21</t>
  </si>
  <si>
    <t>Sep_Front_Rail_LH_loc22</t>
  </si>
  <si>
    <t>Sep_Rear_Rail_RH_loc11</t>
  </si>
  <si>
    <t>Sep_Rear_Rail_RH_loc12</t>
  </si>
  <si>
    <t>Sep_Rear_Rail_RH_loc21</t>
  </si>
  <si>
    <t>Sep_Rear_Rail_RH_loc22</t>
  </si>
  <si>
    <t>Sep_Rear_Rail_RH_loc31</t>
  </si>
  <si>
    <t>Sep_Rear_Rail_RH_loc32</t>
  </si>
  <si>
    <t>Sep_Rear_Rail_LH_loc51</t>
  </si>
  <si>
    <t>Sep_Rear_Rail_LH_loc52</t>
  </si>
  <si>
    <t>Sep_Rear_Rail_LH_loc41</t>
  </si>
  <si>
    <t>Sep_Rear_Rail_LH_loc42</t>
  </si>
  <si>
    <t>Sep_Rear_Rail_LH_loc31</t>
  </si>
  <si>
    <t>Sep_Rear_Rail_LH_loc32</t>
  </si>
  <si>
    <t>Sep_Rear_Rail_LH_loc21</t>
  </si>
  <si>
    <t>Sep_Rear_Rail_LH_loc22</t>
  </si>
  <si>
    <t>COLLAR_CHAMF_TO_HOLE</t>
  </si>
  <si>
    <t>FAN_CLR_NOTCH</t>
  </si>
  <si>
    <t>Notch_Depth</t>
  </si>
  <si>
    <t>FAN_CLR_NOTCH_DEPTH</t>
  </si>
  <si>
    <t>Damper_Blade_Count</t>
  </si>
  <si>
    <t>DamperOption</t>
  </si>
  <si>
    <t>Support_Clearance</t>
  </si>
  <si>
    <t>Support_to_End</t>
  </si>
  <si>
    <t>Lad_Rail_Hole_Dia_5</t>
  </si>
  <si>
    <t>Wall to Wheel</t>
  </si>
  <si>
    <t>SpacingC/SpacingA</t>
  </si>
  <si>
    <t>ASSEMBLY_DESCRIPTION</t>
  </si>
  <si>
    <t>25,250,280,31,310,35,355,40,400,45,450,50,500,56,560,63,630,710,800,900</t>
  </si>
  <si>
    <t>Segment Internal length</t>
  </si>
  <si>
    <t>Segment Internal Width</t>
  </si>
  <si>
    <t>EBM Fan Size; 250 to 900</t>
  </si>
  <si>
    <t>CHANNEL LOCATION DIMENSIONS (Z_LOCATION)
FROM PRIMARY_Z_PLANE (SEGMENT START)</t>
  </si>
  <si>
    <t>Channel Name</t>
  </si>
  <si>
    <t>Z_LOCATION</t>
  </si>
  <si>
    <t>X_ARRAY_OFFSET</t>
  </si>
  <si>
    <t>X_ARRAY_QTY</t>
  </si>
  <si>
    <t>X_ARRAY_SPACING</t>
  </si>
  <si>
    <t>FLOOR CHANNELS</t>
  </si>
  <si>
    <t>FLOOR_CHAN_1</t>
  </si>
  <si>
    <t>FLOOR_CHAN_2</t>
  </si>
  <si>
    <t>FLOOR_CHAN_3</t>
  </si>
  <si>
    <t>FLOOR_CHAN_4</t>
  </si>
  <si>
    <t>FLOOR_CHAN_5</t>
  </si>
  <si>
    <t>FLOOR_CHAN_6</t>
  </si>
  <si>
    <t>FLOOR_CHAN_7</t>
  </si>
  <si>
    <t>FLOOR_CHAN_8</t>
  </si>
  <si>
    <t>FLOOR_CHAN_9</t>
  </si>
  <si>
    <t>FLOOR_CHAN_10</t>
  </si>
  <si>
    <t>FLOOR_CHAN_11</t>
  </si>
  <si>
    <t>FLOOR_CHAN_12</t>
  </si>
  <si>
    <t>FLOOR_CHAN_13</t>
  </si>
  <si>
    <t>FLOOR_CHAN_14</t>
  </si>
  <si>
    <t>FLOOR_CHAN_15</t>
  </si>
  <si>
    <t>FLOOR_CHAN_16</t>
  </si>
  <si>
    <t>FLOOR_CHAN_17</t>
  </si>
  <si>
    <t>FLOOR_CHAN_18</t>
  </si>
  <si>
    <t>FLOOR_CHAN_19</t>
  </si>
  <si>
    <t>FLOOR_CHAN_20</t>
  </si>
  <si>
    <t>ROOF CHANNELS</t>
  </si>
  <si>
    <t>ROOF_CHAN_1</t>
  </si>
  <si>
    <t>ROOF_CHAN_2</t>
  </si>
  <si>
    <t>ROOF_CHAN_3</t>
  </si>
  <si>
    <t>ROOF_CHAN_4</t>
  </si>
  <si>
    <t>ROOF_CHAN_5</t>
  </si>
  <si>
    <t>ROOF_CHAN_6</t>
  </si>
  <si>
    <t>ROOF_CHAN_7</t>
  </si>
  <si>
    <t>ROOF_CHAN_8</t>
  </si>
  <si>
    <t>ROOF_CHAN_9</t>
  </si>
  <si>
    <t>ROOF_CHAN_10</t>
  </si>
  <si>
    <t>ROOF_CHAN_11</t>
  </si>
  <si>
    <t>ROOF_CHAN_12</t>
  </si>
  <si>
    <t>ROOF_CHAN_13</t>
  </si>
  <si>
    <t>ROOF_CHAN_14</t>
  </si>
  <si>
    <t>ROOF_CHAN_15</t>
  </si>
  <si>
    <t>Y_ARRAY_OFFSET</t>
  </si>
  <si>
    <t>Y_ARRAY_QTY</t>
  </si>
  <si>
    <t>Y_ARRAY_SPACING</t>
  </si>
  <si>
    <t>NORTH WALL CHANNELS</t>
  </si>
  <si>
    <t>RIGHT_HAND_CHAN_1</t>
  </si>
  <si>
    <t>RIGHT_HAND_CHAN_2</t>
  </si>
  <si>
    <t>RIGHT_HAND_CHAN_3</t>
  </si>
  <si>
    <t>RIGHT_HAND_CHAN_4</t>
  </si>
  <si>
    <t>RIGHT_HAND_CHAN_5</t>
  </si>
  <si>
    <t>RIGHT_HAND_CHAN_6</t>
  </si>
  <si>
    <t>RIGHT_HAND_CHAN_7</t>
  </si>
  <si>
    <t>RIGHT_HAND_CHAN_8</t>
  </si>
  <si>
    <t>RIGHT_HAND_CHAN_9</t>
  </si>
  <si>
    <t>RIGHT_HAND_CHAN_10</t>
  </si>
  <si>
    <t>SOUTH WALL CHANNELS</t>
  </si>
  <si>
    <t>LEFT_HAND_CHAN_1</t>
  </si>
  <si>
    <t>LEFT_HAND_CHAN_2</t>
  </si>
  <si>
    <t>LEFT_HAND_CHAN_3</t>
  </si>
  <si>
    <t>LEFT_HAND_CHAN_4</t>
  </si>
  <si>
    <t>LEFT_HAND_CHAN_5</t>
  </si>
  <si>
    <t>LEFT_HAND_CHAN_6</t>
  </si>
  <si>
    <t>LEFT_HAND_CHAN_7</t>
  </si>
  <si>
    <t>LEFT_HAND_CHAN_8</t>
  </si>
  <si>
    <t>LEFT_HAND_CHAN_9</t>
  </si>
  <si>
    <t>LEFT_HAND_CHAN_10</t>
  </si>
  <si>
    <t>FLOOR_CHAN_21</t>
  </si>
  <si>
    <t>FLOOR_CHAN_22</t>
  </si>
  <si>
    <t>FLOOR_CHAN_23</t>
  </si>
  <si>
    <t>FLOOR_CHAN_24</t>
  </si>
  <si>
    <t>Floor channel &lt; 144"</t>
  </si>
  <si>
    <t>FIA RAIL LOC Hole array 1</t>
  </si>
  <si>
    <t>FIA RAIL LOC Hole array 2</t>
  </si>
  <si>
    <t>MID 2 RAIL LOC Hole array 1</t>
  </si>
  <si>
    <t>MID 2 RAIL LOC Hole array 2</t>
  </si>
  <si>
    <t>LIA RAIL LOC Hole array 1</t>
  </si>
  <si>
    <t>LIA RAIL LOC Hole array 2</t>
  </si>
  <si>
    <t>LIA / MID 1 RAIL LOC Hole array 1 (LIA if Fan Array = 1)</t>
  </si>
  <si>
    <t>LIA / MID 1 RAIL LOC Hole array 2 (LIA if Fan Array = 1)</t>
  </si>
  <si>
    <t>Floor channel &gt;= 144"</t>
  </si>
  <si>
    <t>RH FIA RAIL LOC Hole array 1</t>
  </si>
  <si>
    <t>RH FIA RAIL LOC Hole array 2</t>
  </si>
  <si>
    <t>RH LIA / MID 1 RAIL LOC Hole array 1 (LIA if Fan Array = 1)</t>
  </si>
  <si>
    <t>RH LIA / MID 1 RAIL LOC Hole array 2 (LIA if Fan Array = 1)</t>
  </si>
  <si>
    <t>RH MID 2 RAIL LOC Hole array 1</t>
  </si>
  <si>
    <t>RH MID 2 RAIL LOC Hole array 2</t>
  </si>
  <si>
    <t>RH LIA RAIL LOC Hole array 1</t>
  </si>
  <si>
    <t>RH LIA RAIL LOC Hole array 2</t>
  </si>
  <si>
    <t>LH FIA RAIL LOC Hole array 1</t>
  </si>
  <si>
    <t>LH FIA RAIL LOC Hole array 2</t>
  </si>
  <si>
    <t>LH LIA / MID 1 RAIL LOC Hole array 1 (LIA if Fan Array = 1)</t>
  </si>
  <si>
    <t>LH LIA / MID 1 RAIL LOC Hole array 2 (LIA if Fan Array = 1)</t>
  </si>
  <si>
    <t>LH MID 2 RAIL LOC Hole array 1</t>
  </si>
  <si>
    <t>LH MID 2 RAIL LOC Hole array 2</t>
  </si>
  <si>
    <t>LH LIA RAIL LOC Hole array 1</t>
  </si>
  <si>
    <t>LH LIA RAIL LOC Hole array 2</t>
  </si>
  <si>
    <t>HT</t>
  </si>
  <si>
    <t>DoorPlacement</t>
  </si>
  <si>
    <t>2, 3, 4</t>
  </si>
  <si>
    <t>Housing thickness, Default = 2. Options = 2, 3, 4</t>
  </si>
  <si>
    <t>None, Side, End, Both</t>
  </si>
  <si>
    <t>Spacing</t>
  </si>
  <si>
    <t>Door Spacing Adjustment Table</t>
  </si>
  <si>
    <t>For 2 &amp; 3</t>
  </si>
  <si>
    <t>For 4</t>
  </si>
  <si>
    <t>DoorRLskid</t>
  </si>
  <si>
    <t>DoorFRskid</t>
  </si>
  <si>
    <t>Spacing_A</t>
  </si>
  <si>
    <t>Spacing_B</t>
  </si>
  <si>
    <t>Spacing_C</t>
  </si>
  <si>
    <t>Spacing_D</t>
  </si>
  <si>
    <t>HousingThickness</t>
  </si>
  <si>
    <t>Spacing C</t>
  </si>
  <si>
    <t>Spacing A</t>
  </si>
  <si>
    <t>DOOR SPACING ADJUSTMENT ADDED IN CALCULATOR</t>
  </si>
  <si>
    <t>26-12266</t>
  </si>
  <si>
    <t>For ref</t>
  </si>
  <si>
    <t>Default=None, Options = None, Side, End, Both (Both= Side and End)</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</si>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</sst>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0.00000"/>
    <numFmt numFmtId="165" formatCode="dd\-mmm\-yy_)"/>
    <numFmt numFmtId="166" formatCode="0.0"/>
    <numFmt numFmtId="167" formatCode="mm/dd/yy"/>
    <numFmt numFmtId="168" formatCode="0.000"/>
    <numFmt numFmtId="169" formatCode="0.0000000"/>
    <numFmt numFmtId="170" formatCode="_(* #,##0.00000_);_(* \(#,##0.00000\);_(* &quot;-&quot;??_);_(@_)"/>
    <numFmt numFmtId="171" formatCode="_(* #,##0.00000000_);_(* \(#,##0.00000000\);_(* &quot;-&quot;??_);_(@_)"/>
    <numFmt numFmtId="172" formatCode="0.000000"/>
    <numFmt numFmtId="173" formatCode="_(* #,##0.0000000_);_(* \(#,##0.0000000\);_(* &quot;-&quot;??_);_(@_)"/>
    <numFmt numFmtId="174" formatCode="0.0000"/>
  </numFmts>
  <fonts count="95"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Calibri"/>
      <family val="2"/>
    </font>
    <font>
      <sz val="10"/>
      <name val="Arial"/>
      <family val="2"/>
    </font>
    <font>
      <b/>
      <sz val="10"/>
      <name val="Arial"/>
      <family val="2"/>
    </font>
    <font>
      <sz val="12"/>
      <name val="Arial"/>
      <family val="2"/>
    </font>
    <font>
      <u/>
      <sz val="10"/>
      <color indexed="12"/>
      <name val="Arial"/>
      <family val="2"/>
    </font>
    <font>
      <b/>
      <sz val="11"/>
      <name val="Arial"/>
      <family val="2"/>
    </font>
    <font>
      <b/>
      <sz val="9"/>
      <color indexed="81"/>
      <name val="Tahoma"/>
      <family val="2"/>
    </font>
    <font>
      <sz val="9"/>
      <color indexed="81"/>
      <name val="Tahoma"/>
      <family val="2"/>
    </font>
    <font>
      <b/>
      <sz val="10"/>
      <color indexed="10"/>
      <name val="Arial"/>
      <family val="2"/>
    </font>
    <font>
      <b/>
      <sz val="10"/>
      <color indexed="48"/>
      <name val="Arial"/>
      <family val="2"/>
    </font>
    <font>
      <b/>
      <sz val="12"/>
      <name val="Arial"/>
      <family val="2"/>
    </font>
    <font>
      <b/>
      <sz val="12"/>
      <name val="Calibri"/>
      <family val="2"/>
    </font>
    <font>
      <sz val="12"/>
      <color indexed="81"/>
      <name val="Tahoma"/>
      <family val="2"/>
    </font>
    <font>
      <b/>
      <sz val="12"/>
      <color indexed="81"/>
      <name val="Tahoma"/>
      <family val="2"/>
    </font>
    <font>
      <sz val="14"/>
      <name val="Calibri"/>
      <family val="2"/>
    </font>
    <font>
      <strike/>
      <sz val="10"/>
      <name val="Arial"/>
      <family val="2"/>
    </font>
    <font>
      <sz val="10"/>
      <color theme="1"/>
      <name val="Arial"/>
      <family val="2"/>
    </font>
    <font>
      <sz val="12"/>
      <color theme="1"/>
      <name val="Arial"/>
      <family val="2"/>
    </font>
    <font>
      <b/>
      <sz val="14"/>
      <color theme="1"/>
      <name val="Calibri"/>
      <family val="2"/>
    </font>
    <font>
      <sz val="12"/>
      <color theme="1"/>
      <name val="Calibri"/>
      <family val="2"/>
    </font>
    <font>
      <sz val="10"/>
      <color theme="1"/>
      <name val="Calibri"/>
      <family val="2"/>
    </font>
    <font>
      <sz val="9"/>
      <color theme="1"/>
      <name val="Calibri"/>
      <family val="2"/>
      <scheme val="minor"/>
    </font>
    <font>
      <b/>
      <sz val="12"/>
      <name val="Calibri"/>
      <family val="2"/>
      <scheme val="minor"/>
    </font>
    <font>
      <b/>
      <sz val="12"/>
      <color theme="1"/>
      <name val="Calibri"/>
      <family val="2"/>
      <scheme val="minor"/>
    </font>
    <font>
      <sz val="8"/>
      <color theme="1"/>
      <name val="Calibri"/>
      <family val="2"/>
    </font>
    <font>
      <b/>
      <sz val="12"/>
      <color theme="1"/>
      <name val="Calibri"/>
      <family val="2"/>
    </font>
    <font>
      <b/>
      <sz val="10"/>
      <color rgb="FF0000FF"/>
      <name val="Calibri"/>
      <family val="2"/>
    </font>
    <font>
      <b/>
      <sz val="11"/>
      <color theme="1"/>
      <name val="Calibri"/>
      <family val="2"/>
    </font>
    <font>
      <sz val="10"/>
      <name val="Calibri"/>
      <family val="2"/>
      <scheme val="minor"/>
    </font>
    <font>
      <sz val="9"/>
      <name val="Calibri"/>
      <family val="2"/>
      <scheme val="minor"/>
    </font>
    <font>
      <sz val="11"/>
      <name val="Calibri"/>
      <family val="2"/>
      <scheme val="minor"/>
    </font>
    <font>
      <b/>
      <sz val="11"/>
      <name val="Calibri"/>
      <family val="2"/>
      <scheme val="minor"/>
    </font>
    <font>
      <b/>
      <sz val="12"/>
      <color theme="5"/>
      <name val="Arial"/>
      <family val="2"/>
    </font>
    <font>
      <b/>
      <sz val="10"/>
      <color rgb="FFFF0000"/>
      <name val="Calibri"/>
      <family val="2"/>
    </font>
    <font>
      <b/>
      <sz val="10"/>
      <color theme="5" tint="-0.249977111117893"/>
      <name val="Calibri"/>
      <family val="2"/>
    </font>
    <font>
      <sz val="10"/>
      <color theme="5" tint="-0.249977111117893"/>
      <name val="Arial"/>
      <family val="2"/>
    </font>
    <font>
      <sz val="10"/>
      <color theme="5" tint="-0.249977111117893"/>
      <name val="Calibri"/>
      <family val="2"/>
    </font>
    <font>
      <b/>
      <sz val="12"/>
      <color theme="3"/>
      <name val="Calibri"/>
      <family val="2"/>
    </font>
    <font>
      <b/>
      <sz val="12"/>
      <color rgb="FF0000FF"/>
      <name val="Calibri"/>
      <family val="2"/>
    </font>
    <font>
      <b/>
      <sz val="16"/>
      <name val="Arial"/>
      <family val="2"/>
    </font>
    <font>
      <b/>
      <sz val="14"/>
      <name val="Arial"/>
      <family val="2"/>
    </font>
    <font>
      <sz val="14"/>
      <name val="Arial"/>
      <family val="2"/>
    </font>
    <font>
      <b/>
      <sz val="10"/>
      <color indexed="8"/>
      <name val="Arial"/>
      <family val="2"/>
    </font>
    <font>
      <b/>
      <sz val="12"/>
      <color indexed="8"/>
      <name val="Arial"/>
      <family val="2"/>
    </font>
    <font>
      <sz val="10"/>
      <color indexed="8"/>
      <name val="Arial"/>
      <family val="2"/>
    </font>
    <font>
      <sz val="10"/>
      <color rgb="FFFF0000"/>
      <name val="Arial"/>
      <family val="2"/>
    </font>
    <font>
      <b/>
      <sz val="12"/>
      <color rgb="FF0070C0"/>
      <name val="Calibri"/>
      <family val="2"/>
    </font>
    <font>
      <b/>
      <sz val="12"/>
      <color rgb="FFFF0000"/>
      <name val="Calibri"/>
      <family val="2"/>
      <scheme val="minor"/>
    </font>
    <font>
      <b/>
      <sz val="12"/>
      <color rgb="FFFFFF00"/>
      <name val="Calibri"/>
      <family val="2"/>
      <scheme val="minor"/>
    </font>
    <font>
      <b/>
      <sz val="12"/>
      <color theme="1" tint="0.499984740745262"/>
      <name val="Calibri"/>
      <family val="2"/>
    </font>
    <font>
      <b/>
      <sz val="12"/>
      <color theme="5" tint="-0.249977111117893"/>
      <name val="Calibri"/>
      <family val="2"/>
      <scheme val="minor"/>
    </font>
    <font>
      <b/>
      <sz val="12"/>
      <color theme="5" tint="-0.249977111117893"/>
      <name val="Calibri"/>
      <family val="2"/>
    </font>
    <font>
      <b/>
      <sz val="12"/>
      <color theme="4" tint="-0.249977111117893"/>
      <name val="Calibri"/>
      <family val="2"/>
      <scheme val="minor"/>
    </font>
    <font>
      <b/>
      <sz val="14"/>
      <color theme="5" tint="-0.249977111117893"/>
      <name val="Calibri"/>
      <family val="2"/>
    </font>
    <font>
      <b/>
      <sz val="12"/>
      <color rgb="FF000000"/>
      <name val="Calibri"/>
      <family val="2"/>
      <scheme val="minor"/>
    </font>
    <font>
      <b/>
      <sz val="12"/>
      <color rgb="FFFFFF00"/>
      <name val="Calibri"/>
      <family val="2"/>
    </font>
    <font>
      <b/>
      <sz val="12"/>
      <color rgb="FFFF0000"/>
      <name val="Calibri"/>
      <family val="2"/>
    </font>
    <font>
      <b/>
      <sz val="12"/>
      <color theme="1" tint="0.499984740745262"/>
      <name val="Calibri"/>
      <family val="2"/>
      <scheme val="minor"/>
    </font>
    <font>
      <b/>
      <sz val="11"/>
      <color rgb="FF000000"/>
      <name val="Arial"/>
      <family val="2"/>
    </font>
    <font>
      <i/>
      <sz val="10"/>
      <color rgb="FFC00000"/>
      <name val="Calibri"/>
      <family val="2"/>
      <scheme val="minor"/>
    </font>
    <font>
      <sz val="10"/>
      <color theme="1"/>
      <name val="Calibri"/>
      <family val="2"/>
      <scheme val="minor"/>
    </font>
    <font>
      <sz val="10"/>
      <color rgb="FFFF0000"/>
      <name val="Calibri"/>
      <family val="2"/>
      <scheme val="minor"/>
    </font>
    <font>
      <b/>
      <sz val="12"/>
      <color theme="5" tint="-0.499984740745262"/>
      <name val="Calibri"/>
      <family val="2"/>
      <scheme val="minor"/>
    </font>
    <font>
      <i/>
      <sz val="10"/>
      <color theme="5" tint="-0.499984740745262"/>
      <name val="Calibri"/>
      <family val="2"/>
      <scheme val="minor"/>
    </font>
    <font>
      <sz val="10"/>
      <color theme="5" tint="-0.499984740745262"/>
      <name val="Calibri"/>
      <family val="2"/>
      <scheme val="minor"/>
    </font>
    <font>
      <sz val="11"/>
      <color theme="5" tint="-0.499984740745262"/>
      <name val="Calibri"/>
      <family val="2"/>
      <scheme val="minor"/>
    </font>
    <font>
      <b/>
      <sz val="11"/>
      <color theme="5" tint="-0.499984740745262"/>
      <name val="Calibri"/>
      <family val="2"/>
      <scheme val="minor"/>
    </font>
    <font>
      <i/>
      <sz val="14"/>
      <color rgb="FFC00000"/>
      <name val="Calibri"/>
      <family val="2"/>
      <scheme val="minor"/>
    </font>
    <font>
      <b/>
      <sz val="14"/>
      <color theme="0"/>
      <name val="Calibri"/>
      <family val="2"/>
      <scheme val="minor"/>
    </font>
    <font>
      <sz val="8"/>
      <name val="Calibri"/>
      <family val="2"/>
      <scheme val="minor"/>
    </font>
    <font>
      <b/>
      <sz val="14"/>
      <name val="Calibri"/>
      <family val="2"/>
    </font>
    <font>
      <sz val="14"/>
      <name val="Calibri"/>
      <family val="2"/>
      <scheme val="minor"/>
    </font>
    <font>
      <sz val="12"/>
      <color theme="0"/>
      <name val="Arial"/>
      <family val="2"/>
    </font>
    <font>
      <sz val="12"/>
      <color rgb="FF9C0006"/>
      <name val="Arial"/>
      <family val="2"/>
    </font>
    <font>
      <b/>
      <sz val="12"/>
      <color rgb="FFFA7D00"/>
      <name val="Arial"/>
      <family val="2"/>
    </font>
    <font>
      <b/>
      <sz val="12"/>
      <color theme="0"/>
      <name val="Arial"/>
      <family val="2"/>
    </font>
    <font>
      <i/>
      <sz val="12"/>
      <color rgb="FF7F7F7F"/>
      <name val="Arial"/>
      <family val="2"/>
    </font>
    <font>
      <sz val="12"/>
      <color rgb="FF006100"/>
      <name val="Arial"/>
      <family val="2"/>
    </font>
    <font>
      <b/>
      <sz val="15"/>
      <color theme="3"/>
      <name val="Arial"/>
      <family val="2"/>
    </font>
    <font>
      <b/>
      <sz val="13"/>
      <color theme="3"/>
      <name val="Arial"/>
      <family val="2"/>
    </font>
    <font>
      <b/>
      <sz val="11"/>
      <color theme="3"/>
      <name val="Arial"/>
      <family val="2"/>
    </font>
    <font>
      <sz val="12"/>
      <color rgb="FF3F3F76"/>
      <name val="Arial"/>
      <family val="2"/>
    </font>
    <font>
      <sz val="12"/>
      <color rgb="FFFA7D00"/>
      <name val="Arial"/>
      <family val="2"/>
    </font>
    <font>
      <sz val="12"/>
      <color rgb="FF9C6500"/>
      <name val="Arial"/>
      <family val="2"/>
    </font>
    <font>
      <sz val="12"/>
      <color theme="1"/>
      <name val="Calibri"/>
      <family val="2"/>
      <scheme val="minor"/>
    </font>
    <font>
      <b/>
      <sz val="12"/>
      <color rgb="FF3F3F3F"/>
      <name val="Arial"/>
      <family val="2"/>
    </font>
    <font>
      <b/>
      <sz val="18"/>
      <color theme="3"/>
      <name val="Calibri Light"/>
      <family val="2"/>
      <scheme val="major"/>
    </font>
    <font>
      <b/>
      <sz val="12"/>
      <color theme="1"/>
      <name val="Arial"/>
      <family val="2"/>
    </font>
    <font>
      <sz val="12"/>
      <color rgb="FFFF0000"/>
      <name val="Arial"/>
      <family val="2"/>
    </font>
    <font>
      <b/>
      <sz val="10"/>
      <color theme="1"/>
      <name val="Arial"/>
      <family val="2"/>
    </font>
    <font>
      <b/>
      <sz val="14"/>
      <color theme="1"/>
      <name val="Arial"/>
      <family val="2"/>
    </font>
    <font>
      <b/>
      <sz val="14"/>
      <color theme="1"/>
      <name val="Calibri"/>
      <family val="2"/>
      <scheme val="minor"/>
    </font>
  </fonts>
  <fills count="58">
    <fill>
      <patternFill patternType="none"/>
    </fill>
    <fill>
      <patternFill patternType="gray125"/>
    </fill>
    <fill>
      <patternFill patternType="solid">
        <fgColor theme="4" tint="0.79998168889431442"/>
        <bgColor indexed="65"/>
      </patternFill>
    </fill>
    <fill>
      <patternFill patternType="solid">
        <fgColor theme="4" tint="0.59999389629810485"/>
        <bgColor indexed="65"/>
      </patternFill>
    </fill>
    <fill>
      <patternFill patternType="solid">
        <fgColor rgb="FFFFFF00"/>
        <bgColor indexed="64"/>
      </patternFill>
    </fill>
    <fill>
      <patternFill patternType="solid">
        <fgColor rgb="FFFFFF99"/>
        <bgColor indexed="64"/>
      </patternFill>
    </fill>
    <fill>
      <patternFill patternType="solid">
        <fgColor rgb="FFFFFFCC"/>
        <bgColor indexed="64"/>
      </patternFill>
    </fill>
    <fill>
      <patternFill patternType="solid">
        <fgColor rgb="FFFFC000"/>
        <bgColor indexed="64"/>
      </patternFill>
    </fill>
    <fill>
      <patternFill patternType="solid">
        <fgColor theme="2"/>
        <bgColor indexed="64"/>
      </patternFill>
    </fill>
    <fill>
      <patternFill patternType="solid">
        <fgColor theme="6" tint="0.59999389629810485"/>
        <bgColor indexed="64"/>
      </patternFill>
    </fill>
    <fill>
      <patternFill patternType="solid">
        <fgColor rgb="FF00FF00"/>
        <bgColor indexed="64"/>
      </patternFill>
    </fill>
    <fill>
      <patternFill patternType="solid">
        <fgColor theme="8" tint="0.79998168889431442"/>
        <bgColor indexed="64"/>
      </patternFill>
    </fill>
    <fill>
      <patternFill patternType="solid">
        <fgColor theme="6"/>
        <bgColor indexed="64"/>
      </patternFill>
    </fill>
    <fill>
      <patternFill patternType="solid">
        <fgColor theme="2" tint="-0.249977111117893"/>
        <bgColor indexed="64"/>
      </patternFill>
    </fill>
    <fill>
      <patternFill patternType="solid">
        <fgColor rgb="FF00B0F0"/>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bgColor indexed="64"/>
      </patternFill>
    </fill>
    <fill>
      <patternFill patternType="solid">
        <fgColor theme="1" tint="0.249977111117893"/>
        <bgColor indexed="64"/>
      </patternFill>
    </fill>
    <fill>
      <patternFill patternType="solid">
        <fgColor theme="5" tint="0.79998168889431442"/>
        <bgColor indexed="64"/>
      </patternFill>
    </fill>
    <fill>
      <patternFill patternType="solid">
        <fgColor rgb="FF92D050"/>
        <bgColor indexed="64"/>
      </patternFill>
    </fill>
    <fill>
      <patternFill patternType="solid">
        <fgColor theme="5" tint="0.59999389629810485"/>
        <bgColor indexed="64"/>
      </patternFill>
    </fill>
    <fill>
      <patternFill patternType="solid">
        <fgColor indexed="44"/>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2" tint="-9.9978637043366805E-2"/>
        <bgColor indexed="64"/>
      </patternFill>
    </fill>
    <fill>
      <patternFill patternType="solid">
        <fgColor theme="1" tint="4.9989318521683403E-2"/>
        <bgColor indexed="64"/>
      </patternFill>
    </fill>
    <fill>
      <patternFill patternType="gray125">
        <bgColor theme="6"/>
      </patternFill>
    </fill>
    <fill>
      <patternFill patternType="gray125">
        <bgColor theme="2" tint="-9.9978637043366805E-2"/>
      </patternFill>
    </fill>
    <fill>
      <patternFill patternType="gray125">
        <bgColor theme="0" tint="-0.34998626667073579"/>
      </patternFill>
    </fill>
    <fill>
      <patternFill patternType="gray125">
        <bgColor theme="0" tint="-0.249977111117893"/>
      </patternFill>
    </fill>
    <fill>
      <patternFill patternType="gray125">
        <bgColor theme="2" tint="-0.249977111117893"/>
      </patternFill>
    </fill>
    <fill>
      <patternFill patternType="solid">
        <fgColor theme="3"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7"/>
        <bgColor indexed="64"/>
      </patternFill>
    </fill>
    <fill>
      <patternFill patternType="solid">
        <fgColor theme="8"/>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rgb="FFFFEB9C"/>
        <bgColor indexed="64"/>
      </patternFill>
    </fill>
  </fills>
  <borders count="7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indexed="64"/>
      </left>
      <right/>
      <top style="double">
        <color indexed="64"/>
      </top>
      <bottom/>
      <diagonal/>
    </border>
    <border>
      <left/>
      <right/>
      <top style="double">
        <color indexed="64"/>
      </top>
      <bottom style="double">
        <color indexed="64"/>
      </bottom>
      <diagonal/>
    </border>
    <border>
      <left style="double">
        <color indexed="64"/>
      </left>
      <right/>
      <top/>
      <bottom/>
      <diagonal/>
    </border>
    <border>
      <left style="double">
        <color indexed="64"/>
      </left>
      <right style="double">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double">
        <color indexed="64"/>
      </right>
      <top/>
      <bottom style="double">
        <color indexed="64"/>
      </bottom>
      <diagonal/>
    </border>
    <border>
      <left style="double">
        <color indexed="64"/>
      </left>
      <right style="double">
        <color indexed="64"/>
      </right>
      <top style="thin">
        <color indexed="64"/>
      </top>
      <bottom style="thin">
        <color indexed="64"/>
      </bottom>
      <diagonal/>
    </border>
    <border>
      <left style="double">
        <color indexed="64"/>
      </left>
      <right style="double">
        <color indexed="64"/>
      </right>
      <top/>
      <bottom style="thin">
        <color indexed="64"/>
      </bottom>
      <diagonal/>
    </border>
    <border>
      <left style="double">
        <color indexed="64"/>
      </left>
      <right/>
      <top style="thin">
        <color indexed="64"/>
      </top>
      <bottom style="thin">
        <color indexed="64"/>
      </bottom>
      <diagonal/>
    </border>
    <border>
      <left style="double">
        <color indexed="64"/>
      </left>
      <right style="double">
        <color indexed="64"/>
      </right>
      <top style="thin">
        <color indexed="64"/>
      </top>
      <bottom/>
      <diagonal/>
    </border>
    <border>
      <left style="double">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style="double">
        <color indexed="64"/>
      </left>
      <right/>
      <top/>
      <bottom style="double">
        <color indexed="64"/>
      </bottom>
      <diagonal/>
    </border>
    <border>
      <left/>
      <right/>
      <top/>
      <bottom style="double">
        <color indexed="64"/>
      </bottom>
      <diagonal/>
    </border>
    <border>
      <left style="double">
        <color indexed="64"/>
      </left>
      <right style="double">
        <color indexed="64"/>
      </right>
      <top style="double">
        <color indexed="64"/>
      </top>
      <bottom style="thin">
        <color indexed="64"/>
      </bottom>
      <diagonal/>
    </border>
    <border>
      <left/>
      <right style="double">
        <color indexed="64"/>
      </right>
      <top style="double">
        <color indexed="64"/>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style="medium">
        <color indexed="64"/>
      </right>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top/>
      <bottom/>
      <diagonal/>
    </border>
  </borders>
  <cellStyleXfs count="73">
    <xf numFmtId="0" fontId="0" fillId="0" borderId="0"/>
    <xf numFmtId="0" fontId="3" fillId="0" borderId="0"/>
    <xf numFmtId="0" fontId="19" fillId="2" borderId="0" applyNumberFormat="0" applyBorder="0" applyAlignment="0" applyProtection="0"/>
    <xf numFmtId="0" fontId="19" fillId="3" borderId="0" applyNumberFormat="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7" fillId="0" borderId="0" applyNumberFormat="0" applyFill="0" applyBorder="0" applyAlignment="0" applyProtection="0">
      <alignment vertical="top"/>
      <protection locked="0"/>
    </xf>
    <xf numFmtId="0" fontId="4" fillId="0" borderId="0"/>
    <xf numFmtId="0" fontId="4" fillId="0" borderId="0"/>
    <xf numFmtId="0" fontId="4" fillId="0" borderId="0"/>
    <xf numFmtId="0" fontId="4" fillId="0" borderId="0"/>
    <xf numFmtId="0" fontId="4" fillId="0" borderId="0"/>
    <xf numFmtId="0" fontId="19" fillId="0" borderId="0"/>
    <xf numFmtId="0" fontId="20" fillId="0" borderId="0"/>
    <xf numFmtId="0" fontId="4" fillId="0" borderId="0"/>
    <xf numFmtId="0" fontId="4" fillId="0" borderId="0"/>
    <xf numFmtId="0" fontId="4" fillId="0" borderId="0"/>
    <xf numFmtId="0" fontId="4" fillId="0" borderId="0"/>
    <xf numFmtId="0" fontId="1" fillId="0" borderId="0"/>
    <xf numFmtId="0" fontId="20" fillId="0" borderId="0"/>
    <xf numFmtId="0" fontId="4" fillId="0" borderId="0"/>
    <xf numFmtId="0" fontId="4" fillId="0" borderId="0"/>
    <xf numFmtId="0" fontId="6" fillId="0" borderId="0"/>
    <xf numFmtId="0" fontId="4" fillId="0" borderId="0"/>
    <xf numFmtId="0" fontId="4" fillId="0" borderId="0"/>
    <xf numFmtId="43" fontId="1" fillId="0" borderId="0" applyFont="0" applyFill="0" applyBorder="0" applyAlignment="0" applyProtection="0"/>
    <xf numFmtId="0" fontId="20" fillId="25" borderId="0" applyNumberFormat="0" applyBorder="0" applyAlignment="0" applyProtection="0"/>
    <xf numFmtId="0" fontId="20" fillId="19"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11" borderId="0" applyNumberFormat="0" applyBorder="0" applyAlignment="0" applyProtection="0"/>
    <xf numFmtId="0" fontId="20" fillId="23" borderId="0" applyNumberFormat="0" applyBorder="0" applyAlignment="0" applyProtection="0"/>
    <xf numFmtId="0" fontId="20" fillId="40" borderId="0" applyNumberFormat="0" applyBorder="0" applyAlignment="0" applyProtection="0"/>
    <xf numFmtId="0" fontId="20" fillId="21" borderId="0" applyNumberFormat="0" applyBorder="0" applyAlignment="0" applyProtection="0"/>
    <xf numFmtId="0" fontId="20" fillId="9"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41" borderId="0" applyNumberFormat="0" applyBorder="0" applyAlignment="0" applyProtection="0"/>
    <xf numFmtId="0" fontId="75" fillId="42" borderId="0" applyNumberFormat="0" applyBorder="0" applyAlignment="0" applyProtection="0"/>
    <xf numFmtId="0" fontId="75" fillId="43" borderId="0" applyNumberFormat="0" applyBorder="0" applyAlignment="0" applyProtection="0"/>
    <xf numFmtId="0" fontId="75" fillId="44" borderId="0" applyNumberFormat="0" applyBorder="0" applyAlignment="0" applyProtection="0"/>
    <xf numFmtId="0" fontId="75" fillId="45" borderId="0" applyNumberFormat="0" applyBorder="0" applyAlignment="0" applyProtection="0"/>
    <xf numFmtId="0" fontId="75" fillId="46" borderId="0" applyNumberFormat="0" applyBorder="0" applyAlignment="0" applyProtection="0"/>
    <xf numFmtId="0" fontId="75" fillId="47" borderId="0" applyNumberFormat="0" applyBorder="0" applyAlignment="0" applyProtection="0"/>
    <xf numFmtId="0" fontId="75" fillId="48" borderId="0" applyNumberFormat="0" applyBorder="0" applyAlignment="0" applyProtection="0"/>
    <xf numFmtId="0" fontId="75" fillId="49" borderId="0" applyNumberFormat="0" applyBorder="0" applyAlignment="0" applyProtection="0"/>
    <xf numFmtId="0" fontId="75" fillId="12" borderId="0" applyNumberFormat="0" applyBorder="0" applyAlignment="0" applyProtection="0"/>
    <xf numFmtId="0" fontId="75" fillId="50" borderId="0" applyNumberFormat="0" applyBorder="0" applyAlignment="0" applyProtection="0"/>
    <xf numFmtId="0" fontId="75" fillId="51" borderId="0" applyNumberFormat="0" applyBorder="0" applyAlignment="0" applyProtection="0"/>
    <xf numFmtId="0" fontId="75" fillId="17" borderId="0" applyNumberFormat="0" applyBorder="0" applyAlignment="0" applyProtection="0"/>
    <xf numFmtId="0" fontId="76" fillId="52" borderId="0" applyNumberFormat="0" applyBorder="0" applyAlignment="0" applyProtection="0"/>
    <xf numFmtId="0" fontId="77" fillId="53" borderId="65" applyNumberFormat="0" applyAlignment="0" applyProtection="0"/>
    <xf numFmtId="0" fontId="78" fillId="54" borderId="68" applyNumberFormat="0" applyAlignment="0" applyProtection="0"/>
    <xf numFmtId="0" fontId="79" fillId="0" borderId="0" applyNumberFormat="0" applyFill="0" applyBorder="0" applyAlignment="0" applyProtection="0"/>
    <xf numFmtId="0" fontId="80" fillId="55" borderId="0" applyNumberFormat="0" applyBorder="0" applyAlignment="0" applyProtection="0"/>
    <xf numFmtId="0" fontId="81" fillId="0" borderId="62" applyNumberFormat="0" applyFill="0" applyAlignment="0" applyProtection="0"/>
    <xf numFmtId="0" fontId="82" fillId="0" borderId="63" applyNumberFormat="0" applyFill="0" applyAlignment="0" applyProtection="0"/>
    <xf numFmtId="0" fontId="83" fillId="0" borderId="64" applyNumberFormat="0" applyFill="0" applyAlignment="0" applyProtection="0"/>
    <xf numFmtId="0" fontId="83" fillId="0" borderId="0" applyNumberFormat="0" applyFill="0" applyBorder="0" applyAlignment="0" applyProtection="0"/>
    <xf numFmtId="0" fontId="7" fillId="0" borderId="0" applyNumberFormat="0" applyFill="0" applyBorder="0" applyAlignment="0" applyProtection="0">
      <alignment vertical="top"/>
      <protection locked="0"/>
    </xf>
    <xf numFmtId="0" fontId="84" fillId="56" borderId="65" applyNumberFormat="0" applyAlignment="0" applyProtection="0"/>
    <xf numFmtId="0" fontId="85" fillId="0" borderId="67" applyNumberFormat="0" applyFill="0" applyAlignment="0" applyProtection="0"/>
    <xf numFmtId="0" fontId="86" fillId="57" borderId="0" applyNumberFormat="0" applyBorder="0" applyAlignment="0" applyProtection="0"/>
    <xf numFmtId="0" fontId="87" fillId="0" borderId="0"/>
    <xf numFmtId="0" fontId="4" fillId="0" borderId="0"/>
    <xf numFmtId="0" fontId="3" fillId="0" borderId="0"/>
    <xf numFmtId="0" fontId="20" fillId="6" borderId="69" applyNumberFormat="0" applyFont="0" applyAlignment="0" applyProtection="0"/>
    <xf numFmtId="0" fontId="88" fillId="53" borderId="66" applyNumberFormat="0" applyAlignment="0" applyProtection="0"/>
    <xf numFmtId="0" fontId="89" fillId="0" borderId="0" applyNumberFormat="0" applyFill="0" applyBorder="0" applyAlignment="0" applyProtection="0"/>
    <xf numFmtId="0" fontId="90" fillId="0" borderId="70" applyNumberFormat="0" applyFill="0" applyAlignment="0" applyProtection="0"/>
    <xf numFmtId="0" fontId="91" fillId="0" borderId="0" applyNumberFormat="0" applyFill="0" applyBorder="0" applyAlignment="0" applyProtection="0"/>
  </cellStyleXfs>
  <cellXfs count="642">
    <xf numFmtId="0" fontId="0" fillId="0" borderId="0" xfId="0"/>
    <xf numFmtId="0" fontId="0" fillId="0" borderId="1" xfId="0" applyBorder="1" applyAlignment="1">
      <alignment horizontal="center"/>
    </xf>
    <xf numFmtId="0" fontId="0" fillId="0" borderId="1" xfId="0" applyBorder="1"/>
    <xf numFmtId="0" fontId="3" fillId="0" borderId="0" xfId="1"/>
    <xf numFmtId="0" fontId="3" fillId="0" borderId="0" xfId="1" applyAlignment="1">
      <alignment horizontal="center"/>
    </xf>
    <xf numFmtId="0" fontId="1" fillId="0" borderId="3" xfId="20" applyBorder="1" applyAlignment="1">
      <alignment horizontal="center"/>
    </xf>
    <xf numFmtId="0" fontId="24" fillId="7" borderId="0" xfId="20" applyFont="1" applyFill="1" applyAlignment="1">
      <alignment horizontal="center" wrapText="1"/>
    </xf>
    <xf numFmtId="0" fontId="13" fillId="0" borderId="9" xfId="9" applyFont="1" applyBorder="1" applyAlignment="1">
      <alignment horizontal="center" vertical="center" wrapText="1"/>
    </xf>
    <xf numFmtId="0" fontId="4" fillId="0" borderId="0" xfId="24" applyFont="1"/>
    <xf numFmtId="0" fontId="5" fillId="0" borderId="4" xfId="24" applyFont="1" applyBorder="1" applyAlignment="1">
      <alignment horizontal="left"/>
    </xf>
    <xf numFmtId="0" fontId="13" fillId="0" borderId="10" xfId="9" applyFont="1" applyBorder="1" applyAlignment="1">
      <alignment horizontal="center" vertical="center" wrapText="1"/>
    </xf>
    <xf numFmtId="0" fontId="1" fillId="0" borderId="0" xfId="20"/>
    <xf numFmtId="0" fontId="1" fillId="0" borderId="2" xfId="20" applyBorder="1" applyAlignment="1">
      <alignment horizontal="center"/>
    </xf>
    <xf numFmtId="0" fontId="1" fillId="0" borderId="0" xfId="20" applyAlignment="1">
      <alignment horizontal="center"/>
    </xf>
    <xf numFmtId="0" fontId="24" fillId="7" borderId="1" xfId="20" applyFont="1" applyFill="1" applyBorder="1" applyAlignment="1">
      <alignment horizontal="center" wrapText="1"/>
    </xf>
    <xf numFmtId="0" fontId="28" fillId="0" borderId="0" xfId="1" applyFont="1"/>
    <xf numFmtId="0" fontId="28" fillId="10" borderId="1" xfId="1" applyFont="1" applyFill="1" applyBorder="1" applyAlignment="1">
      <alignment horizontal="center"/>
    </xf>
    <xf numFmtId="0" fontId="3" fillId="0" borderId="0" xfId="1" applyAlignment="1">
      <alignment horizontal="center" vertical="center" wrapText="1"/>
    </xf>
    <xf numFmtId="0" fontId="30" fillId="10" borderId="1" xfId="1" applyFont="1" applyFill="1" applyBorder="1"/>
    <xf numFmtId="0" fontId="28" fillId="11" borderId="1" xfId="1" applyFont="1" applyFill="1" applyBorder="1" applyAlignment="1">
      <alignment horizontal="center"/>
    </xf>
    <xf numFmtId="0" fontId="21" fillId="0" borderId="0" xfId="1" applyFont="1"/>
    <xf numFmtId="0" fontId="6" fillId="0" borderId="1" xfId="9" applyFont="1" applyBorder="1" applyAlignment="1">
      <alignment horizontal="center" vertical="center" wrapText="1"/>
    </xf>
    <xf numFmtId="0" fontId="6" fillId="0" borderId="0" xfId="9" applyFont="1" applyAlignment="1">
      <alignment horizontal="center" vertical="center" wrapText="1"/>
    </xf>
    <xf numFmtId="0" fontId="13" fillId="0" borderId="1" xfId="9" applyFont="1" applyBorder="1" applyAlignment="1">
      <alignment horizontal="center" vertical="center" wrapText="1"/>
    </xf>
    <xf numFmtId="0" fontId="13" fillId="14" borderId="1" xfId="9" applyFont="1" applyFill="1" applyBorder="1" applyAlignment="1">
      <alignment horizontal="center" vertical="center" wrapText="1"/>
    </xf>
    <xf numFmtId="0" fontId="13" fillId="14" borderId="9" xfId="9" applyFont="1" applyFill="1" applyBorder="1" applyAlignment="1">
      <alignment horizontal="center" vertical="center" wrapText="1"/>
    </xf>
    <xf numFmtId="0" fontId="13" fillId="15" borderId="9" xfId="9" applyFont="1" applyFill="1" applyBorder="1" applyAlignment="1">
      <alignment horizontal="center" vertical="center" wrapText="1"/>
    </xf>
    <xf numFmtId="0" fontId="13" fillId="16" borderId="9" xfId="9" applyFont="1" applyFill="1" applyBorder="1" applyAlignment="1">
      <alignment horizontal="center" vertical="center" wrapText="1"/>
    </xf>
    <xf numFmtId="0" fontId="13" fillId="0" borderId="0" xfId="9" applyFont="1" applyAlignment="1">
      <alignment horizontal="center" vertical="center" wrapText="1"/>
    </xf>
    <xf numFmtId="0" fontId="13" fillId="14" borderId="10" xfId="9" applyFont="1" applyFill="1" applyBorder="1" applyAlignment="1">
      <alignment horizontal="center" vertical="center" wrapText="1"/>
    </xf>
    <xf numFmtId="0" fontId="13" fillId="15" borderId="10" xfId="9" applyFont="1" applyFill="1" applyBorder="1" applyAlignment="1">
      <alignment horizontal="center" vertical="center" wrapText="1"/>
    </xf>
    <xf numFmtId="0" fontId="13" fillId="16" borderId="10" xfId="9" applyFont="1" applyFill="1" applyBorder="1" applyAlignment="1">
      <alignment horizontal="center" vertical="center" wrapText="1"/>
    </xf>
    <xf numFmtId="0" fontId="22" fillId="0" borderId="0" xfId="1" applyFont="1" applyAlignment="1">
      <alignment horizontal="center" vertical="center" wrapText="1"/>
    </xf>
    <xf numFmtId="0" fontId="28" fillId="0" borderId="0" xfId="1" applyFont="1" applyAlignment="1">
      <alignment horizontal="center"/>
    </xf>
    <xf numFmtId="0" fontId="24" fillId="17" borderId="1" xfId="20" applyFont="1" applyFill="1" applyBorder="1" applyAlignment="1">
      <alignment horizontal="center" wrapText="1"/>
    </xf>
    <xf numFmtId="1" fontId="1" fillId="0" borderId="1" xfId="20" applyNumberFormat="1" applyBorder="1" applyAlignment="1">
      <alignment horizontal="center"/>
    </xf>
    <xf numFmtId="0" fontId="32" fillId="18" borderId="1" xfId="20" applyFont="1" applyFill="1" applyBorder="1" applyAlignment="1">
      <alignment horizontal="center" wrapText="1"/>
    </xf>
    <xf numFmtId="0" fontId="4" fillId="16" borderId="1" xfId="1" applyFont="1" applyFill="1" applyBorder="1" applyAlignment="1">
      <alignment horizontal="left"/>
    </xf>
    <xf numFmtId="0" fontId="35" fillId="19" borderId="9" xfId="9" applyFont="1" applyFill="1" applyBorder="1" applyAlignment="1">
      <alignment horizontal="center" vertical="center" wrapText="1"/>
    </xf>
    <xf numFmtId="0" fontId="35" fillId="19" borderId="10" xfId="9" applyFont="1" applyFill="1" applyBorder="1" applyAlignment="1">
      <alignment horizontal="center" vertical="center" wrapText="1"/>
    </xf>
    <xf numFmtId="0" fontId="30" fillId="10" borderId="1" xfId="1" applyFont="1" applyFill="1" applyBorder="1" applyAlignment="1">
      <alignment horizontal="center"/>
    </xf>
    <xf numFmtId="0" fontId="28" fillId="0" borderId="1" xfId="1" applyFont="1" applyBorder="1" applyAlignment="1">
      <alignment horizontal="center" vertical="center" wrapText="1"/>
    </xf>
    <xf numFmtId="0" fontId="23" fillId="20" borderId="1" xfId="1" applyFont="1" applyFill="1" applyBorder="1" applyAlignment="1">
      <alignment wrapText="1"/>
    </xf>
    <xf numFmtId="0" fontId="23" fillId="20" borderId="1" xfId="1" applyFont="1" applyFill="1" applyBorder="1"/>
    <xf numFmtId="0" fontId="37" fillId="21" borderId="1" xfId="1" applyFont="1" applyFill="1" applyBorder="1"/>
    <xf numFmtId="167" fontId="38" fillId="21" borderId="1" xfId="24" applyNumberFormat="1" applyFont="1" applyFill="1" applyBorder="1" applyAlignment="1">
      <alignment horizontal="center"/>
    </xf>
    <xf numFmtId="0" fontId="38" fillId="21" borderId="1" xfId="1" applyFont="1" applyFill="1" applyBorder="1" applyAlignment="1">
      <alignment horizontal="center"/>
    </xf>
    <xf numFmtId="0" fontId="38" fillId="21" borderId="1" xfId="24" applyFont="1" applyFill="1" applyBorder="1" applyAlignment="1">
      <alignment horizontal="center"/>
    </xf>
    <xf numFmtId="2" fontId="38" fillId="21" borderId="1" xfId="24" applyNumberFormat="1" applyFont="1" applyFill="1" applyBorder="1" applyAlignment="1">
      <alignment horizontal="center"/>
    </xf>
    <xf numFmtId="49" fontId="38" fillId="21" borderId="1" xfId="1" applyNumberFormat="1" applyFont="1" applyFill="1" applyBorder="1" applyAlignment="1">
      <alignment horizontal="center" vertical="center"/>
    </xf>
    <xf numFmtId="0" fontId="39" fillId="21" borderId="1" xfId="1" applyFont="1" applyFill="1" applyBorder="1" applyAlignment="1">
      <alignment horizontal="center"/>
    </xf>
    <xf numFmtId="0" fontId="39" fillId="21" borderId="1" xfId="1" applyFont="1" applyFill="1" applyBorder="1"/>
    <xf numFmtId="0" fontId="39" fillId="21" borderId="1" xfId="1" applyFont="1" applyFill="1" applyBorder="1" applyAlignment="1">
      <alignment horizontal="left"/>
    </xf>
    <xf numFmtId="49" fontId="1" fillId="5" borderId="1" xfId="20" applyNumberFormat="1" applyFill="1" applyBorder="1" applyAlignment="1">
      <alignment horizontal="center"/>
    </xf>
    <xf numFmtId="49" fontId="2" fillId="5" borderId="1" xfId="20" applyNumberFormat="1" applyFont="1" applyFill="1" applyBorder="1" applyAlignment="1">
      <alignment horizontal="center"/>
    </xf>
    <xf numFmtId="0" fontId="7" fillId="0" borderId="6" xfId="8" applyFill="1" applyBorder="1" applyAlignment="1" applyProtection="1">
      <alignment horizontal="left" vertical="center" wrapText="1"/>
    </xf>
    <xf numFmtId="0" fontId="7" fillId="0" borderId="8" xfId="8" applyFill="1" applyBorder="1" applyAlignment="1" applyProtection="1">
      <alignment horizontal="left" vertical="center" wrapText="1"/>
    </xf>
    <xf numFmtId="0" fontId="5" fillId="0" borderId="5" xfId="24" applyFont="1" applyBorder="1" applyAlignment="1">
      <alignment horizontal="left"/>
    </xf>
    <xf numFmtId="0" fontId="4" fillId="0" borderId="0" xfId="24" applyFont="1" applyAlignment="1">
      <alignment horizontal="left"/>
    </xf>
    <xf numFmtId="0" fontId="4" fillId="0" borderId="0" xfId="24" applyFont="1" applyAlignment="1">
      <alignment horizontal="center"/>
    </xf>
    <xf numFmtId="165" fontId="5" fillId="0" borderId="7" xfId="24" applyNumberFormat="1" applyFont="1" applyBorder="1"/>
    <xf numFmtId="0" fontId="5" fillId="0" borderId="5" xfId="24" applyFont="1" applyBorder="1" applyAlignment="1">
      <alignment horizontal="left" vertical="top" wrapText="1"/>
    </xf>
    <xf numFmtId="0" fontId="5" fillId="0" borderId="0" xfId="24" applyFont="1" applyAlignment="1">
      <alignment horizontal="left"/>
    </xf>
    <xf numFmtId="0" fontId="23" fillId="0" borderId="0" xfId="1" applyFont="1" applyAlignment="1">
      <alignment horizontal="left"/>
    </xf>
    <xf numFmtId="0" fontId="23" fillId="0" borderId="0" xfId="1" applyFont="1" applyAlignment="1">
      <alignment horizontal="center"/>
    </xf>
    <xf numFmtId="0" fontId="23" fillId="0" borderId="0" xfId="1" applyFont="1"/>
    <xf numFmtId="0" fontId="27" fillId="0" borderId="0" xfId="1" applyFont="1"/>
    <xf numFmtId="0" fontId="41" fillId="0" borderId="1" xfId="1" applyFont="1" applyBorder="1" applyAlignment="1">
      <alignment vertical="center"/>
    </xf>
    <xf numFmtId="167" fontId="4" fillId="0" borderId="1" xfId="24" applyNumberFormat="1" applyFont="1" applyBorder="1" applyAlignment="1">
      <alignment horizontal="center"/>
    </xf>
    <xf numFmtId="0" fontId="4" fillId="0" borderId="1" xfId="1" applyFont="1" applyBorder="1" applyAlignment="1">
      <alignment horizontal="center"/>
    </xf>
    <xf numFmtId="0" fontId="4" fillId="0" borderId="1" xfId="24" applyFont="1" applyBorder="1" applyAlignment="1">
      <alignment horizontal="center" wrapText="1"/>
    </xf>
    <xf numFmtId="0" fontId="11" fillId="0" borderId="1" xfId="1" applyFont="1" applyBorder="1" applyAlignment="1">
      <alignment horizontal="center" vertical="center" wrapText="1"/>
    </xf>
    <xf numFmtId="0" fontId="23" fillId="0" borderId="1" xfId="1" applyFont="1" applyBorder="1" applyAlignment="1">
      <alignment horizontal="center" vertical="top"/>
    </xf>
    <xf numFmtId="0" fontId="29" fillId="0" borderId="1" xfId="1" applyFont="1" applyBorder="1"/>
    <xf numFmtId="0" fontId="4" fillId="0" borderId="1" xfId="24" applyFont="1" applyBorder="1" applyAlignment="1">
      <alignment horizontal="center"/>
    </xf>
    <xf numFmtId="2" fontId="4" fillId="0" borderId="1" xfId="24" applyNumberFormat="1" applyFont="1" applyBorder="1" applyAlignment="1">
      <alignment horizontal="center"/>
    </xf>
    <xf numFmtId="49" fontId="4" fillId="0" borderId="1" xfId="1" applyNumberFormat="1" applyFont="1" applyBorder="1" applyAlignment="1">
      <alignment horizontal="center" vertical="center"/>
    </xf>
    <xf numFmtId="0" fontId="4" fillId="0" borderId="1" xfId="1" applyFont="1" applyBorder="1"/>
    <xf numFmtId="0" fontId="23" fillId="0" borderId="1" xfId="1" applyFont="1" applyBorder="1"/>
    <xf numFmtId="0" fontId="23" fillId="0" borderId="1" xfId="1" applyFont="1" applyBorder="1" applyAlignment="1">
      <alignment horizontal="left"/>
    </xf>
    <xf numFmtId="0" fontId="23" fillId="0" borderId="1" xfId="1" applyFont="1" applyBorder="1" applyAlignment="1">
      <alignment horizontal="center"/>
    </xf>
    <xf numFmtId="0" fontId="8" fillId="6" borderId="1" xfId="0" applyFont="1" applyFill="1" applyBorder="1" applyAlignment="1">
      <alignment horizontal="center"/>
    </xf>
    <xf numFmtId="0" fontId="5" fillId="0" borderId="17" xfId="24" applyFont="1" applyBorder="1" applyAlignment="1">
      <alignment horizontal="center"/>
    </xf>
    <xf numFmtId="164" fontId="5" fillId="0" borderId="17" xfId="24" applyNumberFormat="1" applyFont="1" applyBorder="1" applyAlignment="1">
      <alignment horizontal="center"/>
    </xf>
    <xf numFmtId="0" fontId="6" fillId="0" borderId="0" xfId="24"/>
    <xf numFmtId="0" fontId="4" fillId="0" borderId="0" xfId="19"/>
    <xf numFmtId="0" fontId="4" fillId="0" borderId="0" xfId="19" applyAlignment="1">
      <alignment horizontal="left"/>
    </xf>
    <xf numFmtId="0" fontId="4" fillId="0" borderId="0" xfId="19" applyAlignment="1">
      <alignment horizontal="center"/>
    </xf>
    <xf numFmtId="164" fontId="4" fillId="0" borderId="0" xfId="19" applyNumberFormat="1" applyAlignment="1">
      <alignment horizontal="center"/>
    </xf>
    <xf numFmtId="0" fontId="4" fillId="0" borderId="0" xfId="19" applyAlignment="1">
      <alignment wrapText="1"/>
    </xf>
    <xf numFmtId="0" fontId="42" fillId="0" borderId="19" xfId="19" applyFont="1" applyBorder="1"/>
    <xf numFmtId="0" fontId="4" fillId="0" borderId="20" xfId="19" applyBorder="1"/>
    <xf numFmtId="0" fontId="42" fillId="0" borderId="20" xfId="19" applyFont="1" applyBorder="1" applyAlignment="1">
      <alignment horizontal="left"/>
    </xf>
    <xf numFmtId="0" fontId="43" fillId="0" borderId="20" xfId="19" applyFont="1" applyBorder="1"/>
    <xf numFmtId="0" fontId="4" fillId="0" borderId="20" xfId="19" applyBorder="1" applyAlignment="1">
      <alignment horizontal="center"/>
    </xf>
    <xf numFmtId="164" fontId="4" fillId="0" borderId="20" xfId="19" applyNumberFormat="1" applyBorder="1" applyAlignment="1">
      <alignment horizontal="center"/>
    </xf>
    <xf numFmtId="0" fontId="44" fillId="0" borderId="20" xfId="19" applyFont="1" applyBorder="1" applyAlignment="1">
      <alignment horizontal="center"/>
    </xf>
    <xf numFmtId="0" fontId="4" fillId="0" borderId="21" xfId="19" applyBorder="1"/>
    <xf numFmtId="0" fontId="5" fillId="0" borderId="0" xfId="19" applyFont="1" applyAlignment="1">
      <alignment horizontal="center" wrapText="1"/>
    </xf>
    <xf numFmtId="0" fontId="5" fillId="0" borderId="22" xfId="19" applyFont="1" applyBorder="1" applyAlignment="1">
      <alignment horizontal="center" wrapText="1"/>
    </xf>
    <xf numFmtId="49" fontId="45" fillId="0" borderId="23" xfId="19" applyNumberFormat="1" applyFont="1" applyBorder="1" applyAlignment="1">
      <alignment horizontal="center" vertical="top" wrapText="1"/>
    </xf>
    <xf numFmtId="49" fontId="45" fillId="0" borderId="24" xfId="19" applyNumberFormat="1" applyFont="1" applyBorder="1" applyAlignment="1">
      <alignment horizontal="center" vertical="center" wrapText="1"/>
    </xf>
    <xf numFmtId="164" fontId="45" fillId="0" borderId="24" xfId="19" applyNumberFormat="1" applyFont="1" applyBorder="1" applyAlignment="1">
      <alignment horizontal="center" vertical="center" wrapText="1"/>
    </xf>
    <xf numFmtId="49" fontId="5" fillId="0" borderId="24" xfId="19" applyNumberFormat="1" applyFont="1" applyBorder="1" applyAlignment="1">
      <alignment horizontal="center" vertical="center" wrapText="1"/>
    </xf>
    <xf numFmtId="0" fontId="5" fillId="0" borderId="24" xfId="19" applyFont="1" applyBorder="1" applyAlignment="1">
      <alignment horizontal="center" vertical="center" wrapText="1"/>
    </xf>
    <xf numFmtId="49" fontId="5" fillId="0" borderId="25" xfId="19" applyNumberFormat="1" applyFont="1" applyBorder="1" applyAlignment="1">
      <alignment horizontal="center" vertical="center" wrapText="1"/>
    </xf>
    <xf numFmtId="0" fontId="5" fillId="0" borderId="21" xfId="19" applyFont="1" applyBorder="1" applyAlignment="1">
      <alignment horizontal="center" wrapText="1"/>
    </xf>
    <xf numFmtId="0" fontId="5" fillId="0" borderId="24" xfId="19" applyFont="1" applyBorder="1" applyAlignment="1">
      <alignment horizontal="center"/>
    </xf>
    <xf numFmtId="0" fontId="5" fillId="0" borderId="22" xfId="19" applyFont="1" applyBorder="1" applyAlignment="1">
      <alignment horizontal="center"/>
    </xf>
    <xf numFmtId="0" fontId="45" fillId="0" borderId="26" xfId="19" applyFont="1" applyBorder="1" applyAlignment="1">
      <alignment horizontal="center" vertical="top"/>
    </xf>
    <xf numFmtId="0" fontId="45" fillId="0" borderId="23" xfId="19" applyFont="1" applyBorder="1" applyAlignment="1">
      <alignment horizontal="center" vertical="center"/>
    </xf>
    <xf numFmtId="0" fontId="5" fillId="0" borderId="23" xfId="19" applyFont="1" applyBorder="1" applyAlignment="1">
      <alignment horizontal="center" vertical="center"/>
    </xf>
    <xf numFmtId="0" fontId="5" fillId="0" borderId="21" xfId="19" applyFont="1" applyBorder="1" applyAlignment="1">
      <alignment horizontal="center"/>
    </xf>
    <xf numFmtId="0" fontId="5" fillId="0" borderId="0" xfId="19" applyFont="1" applyAlignment="1">
      <alignment horizontal="center"/>
    </xf>
    <xf numFmtId="0" fontId="5" fillId="0" borderId="23" xfId="19" applyFont="1" applyBorder="1" applyAlignment="1">
      <alignment horizontal="center"/>
    </xf>
    <xf numFmtId="0" fontId="46" fillId="0" borderId="21" xfId="19" applyFont="1" applyBorder="1" applyAlignment="1">
      <alignment horizontal="left" vertical="center"/>
    </xf>
    <xf numFmtId="0" fontId="45" fillId="0" borderId="20" xfId="19" applyFont="1" applyBorder="1" applyAlignment="1">
      <alignment horizontal="center" vertical="center"/>
    </xf>
    <xf numFmtId="0" fontId="5" fillId="0" borderId="20" xfId="19" applyFont="1" applyBorder="1" applyAlignment="1">
      <alignment horizontal="center" vertical="center"/>
    </xf>
    <xf numFmtId="0" fontId="4" fillId="0" borderId="27" xfId="1" applyFont="1" applyBorder="1" applyAlignment="1">
      <alignment horizontal="center"/>
    </xf>
    <xf numFmtId="0" fontId="5" fillId="0" borderId="22" xfId="1" applyFont="1" applyBorder="1" applyAlignment="1">
      <alignment horizontal="center"/>
    </xf>
    <xf numFmtId="0" fontId="45" fillId="0" borderId="21" xfId="1" applyFont="1" applyBorder="1" applyAlignment="1">
      <alignment horizontal="center" vertical="top"/>
    </xf>
    <xf numFmtId="49" fontId="47" fillId="0" borderId="28" xfId="1" applyNumberFormat="1" applyFont="1" applyBorder="1" applyAlignment="1">
      <alignment horizontal="left" vertical="top"/>
    </xf>
    <xf numFmtId="49" fontId="47" fillId="0" borderId="27" xfId="1" applyNumberFormat="1" applyFont="1" applyBorder="1" applyAlignment="1">
      <alignment horizontal="left" vertical="top"/>
    </xf>
    <xf numFmtId="49" fontId="47" fillId="0" borderId="27" xfId="1" applyNumberFormat="1" applyFont="1" applyBorder="1" applyAlignment="1">
      <alignment horizontal="center" vertical="top"/>
    </xf>
    <xf numFmtId="164" fontId="47" fillId="0" borderId="27" xfId="1" applyNumberFormat="1" applyFont="1" applyBorder="1" applyAlignment="1">
      <alignment horizontal="center" vertical="top"/>
    </xf>
    <xf numFmtId="49" fontId="4" fillId="0" borderId="27" xfId="1" applyNumberFormat="1" applyFont="1" applyBorder="1" applyAlignment="1">
      <alignment horizontal="center" vertical="top"/>
    </xf>
    <xf numFmtId="0" fontId="4" fillId="0" borderId="29" xfId="1" applyFont="1" applyBorder="1" applyAlignment="1">
      <alignment horizontal="center"/>
    </xf>
    <xf numFmtId="0" fontId="5" fillId="0" borderId="21" xfId="1" applyFont="1" applyBorder="1" applyAlignment="1">
      <alignment horizontal="center"/>
    </xf>
    <xf numFmtId="0" fontId="5" fillId="0" borderId="0" xfId="1" applyFont="1" applyAlignment="1">
      <alignment horizontal="center"/>
    </xf>
    <xf numFmtId="49" fontId="4" fillId="0" borderId="27" xfId="1" applyNumberFormat="1" applyFont="1" applyBorder="1" applyAlignment="1">
      <alignment horizontal="center"/>
    </xf>
    <xf numFmtId="49" fontId="47" fillId="0" borderId="28" xfId="1" applyNumberFormat="1" applyFont="1" applyBorder="1" applyAlignment="1">
      <alignment horizontal="center" vertical="top"/>
    </xf>
    <xf numFmtId="164" fontId="47" fillId="0" borderId="28" xfId="1" applyNumberFormat="1" applyFont="1" applyBorder="1" applyAlignment="1">
      <alignment horizontal="center" vertical="top"/>
    </xf>
    <xf numFmtId="0" fontId="4" fillId="0" borderId="28" xfId="1" applyFont="1" applyBorder="1" applyAlignment="1">
      <alignment horizontal="center"/>
    </xf>
    <xf numFmtId="49" fontId="47" fillId="0" borderId="29" xfId="1" applyNumberFormat="1" applyFont="1" applyBorder="1" applyAlignment="1">
      <alignment horizontal="center" vertical="top"/>
    </xf>
    <xf numFmtId="49" fontId="47" fillId="0" borderId="0" xfId="1" applyNumberFormat="1" applyFont="1" applyAlignment="1">
      <alignment horizontal="center" vertical="top"/>
    </xf>
    <xf numFmtId="49" fontId="47" fillId="0" borderId="28" xfId="1" quotePrefix="1" applyNumberFormat="1" applyFont="1" applyBorder="1" applyAlignment="1">
      <alignment horizontal="center" vertical="top"/>
    </xf>
    <xf numFmtId="0" fontId="4" fillId="0" borderId="22" xfId="1" applyFont="1" applyBorder="1"/>
    <xf numFmtId="49" fontId="47" fillId="0" borderId="22" xfId="1" applyNumberFormat="1" applyFont="1" applyBorder="1" applyAlignment="1">
      <alignment horizontal="left" vertical="top"/>
    </xf>
    <xf numFmtId="0" fontId="4" fillId="0" borderId="21" xfId="1" applyFont="1" applyBorder="1"/>
    <xf numFmtId="0" fontId="4" fillId="0" borderId="0" xfId="1" applyFont="1"/>
    <xf numFmtId="0" fontId="4" fillId="0" borderId="30" xfId="1" applyFont="1" applyBorder="1" applyAlignment="1">
      <alignment horizontal="center"/>
    </xf>
    <xf numFmtId="0" fontId="4" fillId="0" borderId="31" xfId="1" applyFont="1" applyBorder="1" applyAlignment="1">
      <alignment horizontal="center"/>
    </xf>
    <xf numFmtId="49" fontId="47" fillId="0" borderId="22" xfId="1" applyNumberFormat="1" applyFont="1" applyBorder="1" applyAlignment="1">
      <alignment horizontal="center" vertical="top"/>
    </xf>
    <xf numFmtId="49" fontId="47" fillId="0" borderId="31" xfId="1" applyNumberFormat="1" applyFont="1" applyBorder="1" applyAlignment="1">
      <alignment horizontal="left" vertical="top"/>
    </xf>
    <xf numFmtId="49" fontId="47" fillId="0" borderId="31" xfId="1" applyNumberFormat="1" applyFont="1" applyBorder="1" applyAlignment="1">
      <alignment horizontal="center" vertical="top"/>
    </xf>
    <xf numFmtId="164" fontId="47" fillId="0" borderId="31" xfId="1" applyNumberFormat="1" applyFont="1" applyBorder="1" applyAlignment="1">
      <alignment horizontal="center" vertical="top"/>
    </xf>
    <xf numFmtId="49" fontId="4" fillId="0" borderId="31" xfId="1" applyNumberFormat="1" applyFont="1" applyBorder="1" applyAlignment="1">
      <alignment horizontal="center"/>
    </xf>
    <xf numFmtId="0" fontId="4" fillId="0" borderId="32" xfId="1" applyFont="1" applyBorder="1" applyAlignment="1">
      <alignment horizontal="center"/>
    </xf>
    <xf numFmtId="0" fontId="4" fillId="0" borderId="22" xfId="1" applyFont="1" applyBorder="1" applyAlignment="1">
      <alignment horizontal="center"/>
    </xf>
    <xf numFmtId="49" fontId="47" fillId="0" borderId="33" xfId="1" applyNumberFormat="1" applyFont="1" applyBorder="1" applyAlignment="1">
      <alignment horizontal="left" vertical="top"/>
    </xf>
    <xf numFmtId="0" fontId="4" fillId="0" borderId="34" xfId="1" applyFont="1" applyBorder="1"/>
    <xf numFmtId="0" fontId="4" fillId="0" borderId="34" xfId="1" applyFont="1" applyBorder="1" applyAlignment="1">
      <alignment horizontal="center"/>
    </xf>
    <xf numFmtId="49" fontId="46" fillId="0" borderId="19" xfId="1" applyNumberFormat="1" applyFont="1" applyBorder="1" applyAlignment="1">
      <alignment horizontal="left" vertical="center"/>
    </xf>
    <xf numFmtId="0" fontId="4" fillId="0" borderId="0" xfId="1" applyFont="1" applyAlignment="1">
      <alignment horizontal="center"/>
    </xf>
    <xf numFmtId="0" fontId="4" fillId="0" borderId="35" xfId="1" applyFont="1" applyBorder="1" applyAlignment="1">
      <alignment horizontal="center"/>
    </xf>
    <xf numFmtId="49" fontId="47" fillId="0" borderId="35" xfId="1" applyNumberFormat="1" applyFont="1" applyBorder="1" applyAlignment="1">
      <alignment horizontal="left" vertical="top"/>
    </xf>
    <xf numFmtId="49" fontId="47" fillId="0" borderId="35" xfId="1" applyNumberFormat="1" applyFont="1" applyBorder="1" applyAlignment="1">
      <alignment horizontal="center" vertical="top"/>
    </xf>
    <xf numFmtId="164" fontId="47" fillId="0" borderId="35" xfId="1" applyNumberFormat="1" applyFont="1" applyBorder="1" applyAlignment="1">
      <alignment horizontal="center" vertical="top"/>
    </xf>
    <xf numFmtId="49" fontId="4" fillId="0" borderId="35" xfId="1" applyNumberFormat="1" applyFont="1" applyBorder="1" applyAlignment="1">
      <alignment horizontal="center" vertical="top"/>
    </xf>
    <xf numFmtId="0" fontId="4" fillId="0" borderId="23" xfId="1" applyFont="1" applyBorder="1" applyAlignment="1">
      <alignment horizontal="center"/>
    </xf>
    <xf numFmtId="49" fontId="47" fillId="0" borderId="26" xfId="1" applyNumberFormat="1" applyFont="1" applyBorder="1" applyAlignment="1">
      <alignment horizontal="left" vertical="top"/>
    </xf>
    <xf numFmtId="49" fontId="47" fillId="0" borderId="26" xfId="1" applyNumberFormat="1" applyFont="1" applyBorder="1" applyAlignment="1">
      <alignment horizontal="center" vertical="top"/>
    </xf>
    <xf numFmtId="164" fontId="47" fillId="0" borderId="26" xfId="1" applyNumberFormat="1" applyFont="1" applyBorder="1" applyAlignment="1">
      <alignment horizontal="center" vertical="top"/>
    </xf>
    <xf numFmtId="49" fontId="4" fillId="0" borderId="31" xfId="1" applyNumberFormat="1" applyFont="1" applyBorder="1" applyAlignment="1">
      <alignment horizontal="center" vertical="top"/>
    </xf>
    <xf numFmtId="0" fontId="4" fillId="0" borderId="20" xfId="1" applyFont="1" applyBorder="1"/>
    <xf numFmtId="0" fontId="4" fillId="0" borderId="20" xfId="1" applyFont="1" applyBorder="1" applyAlignment="1">
      <alignment horizontal="center"/>
    </xf>
    <xf numFmtId="0" fontId="4" fillId="0" borderId="36" xfId="1" applyFont="1" applyBorder="1" applyAlignment="1">
      <alignment horizontal="center"/>
    </xf>
    <xf numFmtId="49" fontId="46" fillId="0" borderId="22" xfId="1" applyNumberFormat="1" applyFont="1" applyBorder="1" applyAlignment="1">
      <alignment horizontal="left" vertical="center"/>
    </xf>
    <xf numFmtId="164" fontId="47" fillId="0" borderId="28" xfId="1" quotePrefix="1" applyNumberFormat="1" applyFont="1" applyBorder="1" applyAlignment="1">
      <alignment horizontal="center" vertical="top"/>
    </xf>
    <xf numFmtId="0" fontId="47" fillId="0" borderId="28" xfId="1" applyFont="1" applyBorder="1" applyAlignment="1">
      <alignment horizontal="left" vertical="top"/>
    </xf>
    <xf numFmtId="49" fontId="47" fillId="0" borderId="21" xfId="1" applyNumberFormat="1" applyFont="1" applyBorder="1" applyAlignment="1">
      <alignment horizontal="left" vertical="top"/>
    </xf>
    <xf numFmtId="0" fontId="4" fillId="0" borderId="37" xfId="1" applyFont="1" applyBorder="1" applyAlignment="1">
      <alignment horizontal="center"/>
    </xf>
    <xf numFmtId="49" fontId="46" fillId="0" borderId="21" xfId="1" applyNumberFormat="1" applyFont="1" applyBorder="1" applyAlignment="1">
      <alignment horizontal="left" vertical="center"/>
    </xf>
    <xf numFmtId="49" fontId="4" fillId="0" borderId="28" xfId="1" applyNumberFormat="1" applyFont="1" applyBorder="1" applyAlignment="1">
      <alignment horizontal="center"/>
    </xf>
    <xf numFmtId="49" fontId="47" fillId="0" borderId="33" xfId="1" applyNumberFormat="1" applyFont="1" applyBorder="1" applyAlignment="1">
      <alignment horizontal="left" vertical="center"/>
    </xf>
    <xf numFmtId="0" fontId="4" fillId="0" borderId="34" xfId="1" applyFont="1" applyBorder="1" applyAlignment="1">
      <alignment vertical="center"/>
    </xf>
    <xf numFmtId="0" fontId="4" fillId="0" borderId="34" xfId="1" applyFont="1" applyBorder="1" applyAlignment="1">
      <alignment horizontal="center" vertical="center"/>
    </xf>
    <xf numFmtId="0" fontId="4" fillId="0" borderId="37" xfId="1" applyFont="1" applyBorder="1" applyAlignment="1">
      <alignment horizontal="center" vertical="center"/>
    </xf>
    <xf numFmtId="49" fontId="47" fillId="0" borderId="35" xfId="1" applyNumberFormat="1" applyFont="1" applyBorder="1" applyAlignment="1">
      <alignment horizontal="left" vertical="center"/>
    </xf>
    <xf numFmtId="49" fontId="47" fillId="0" borderId="35" xfId="1" applyNumberFormat="1" applyFont="1" applyBorder="1" applyAlignment="1">
      <alignment horizontal="center" vertical="center"/>
    </xf>
    <xf numFmtId="164" fontId="47" fillId="0" borderId="35" xfId="1" applyNumberFormat="1" applyFont="1" applyBorder="1" applyAlignment="1">
      <alignment horizontal="center" vertical="center"/>
    </xf>
    <xf numFmtId="0" fontId="4" fillId="0" borderId="35" xfId="1" applyFont="1" applyBorder="1" applyAlignment="1">
      <alignment horizontal="center" vertical="center"/>
    </xf>
    <xf numFmtId="49" fontId="47" fillId="0" borderId="27" xfId="1" applyNumberFormat="1" applyFont="1" applyBorder="1" applyAlignment="1">
      <alignment horizontal="left" vertical="center"/>
    </xf>
    <xf numFmtId="49" fontId="47" fillId="0" borderId="27" xfId="1" applyNumberFormat="1" applyFont="1" applyBorder="1" applyAlignment="1">
      <alignment horizontal="center" vertical="center"/>
    </xf>
    <xf numFmtId="164" fontId="47" fillId="0" borderId="27" xfId="1" applyNumberFormat="1" applyFont="1" applyBorder="1" applyAlignment="1">
      <alignment horizontal="center" vertical="center"/>
    </xf>
    <xf numFmtId="0" fontId="4" fillId="0" borderId="28" xfId="1" applyFont="1" applyBorder="1" applyAlignment="1">
      <alignment horizontal="center" vertical="center"/>
    </xf>
    <xf numFmtId="49" fontId="47" fillId="0" borderId="28" xfId="1" applyNumberFormat="1" applyFont="1" applyBorder="1" applyAlignment="1">
      <alignment horizontal="center" vertical="center"/>
    </xf>
    <xf numFmtId="0" fontId="4" fillId="0" borderId="27" xfId="1" applyFont="1" applyBorder="1" applyAlignment="1">
      <alignment horizontal="center" vertical="center"/>
    </xf>
    <xf numFmtId="49" fontId="47" fillId="0" borderId="27" xfId="1" quotePrefix="1" applyNumberFormat="1" applyFont="1" applyBorder="1" applyAlignment="1">
      <alignment horizontal="center" vertical="center"/>
    </xf>
    <xf numFmtId="16" fontId="4" fillId="0" borderId="27" xfId="1" quotePrefix="1" applyNumberFormat="1" applyFont="1" applyBorder="1" applyAlignment="1">
      <alignment horizontal="left" vertical="center"/>
    </xf>
    <xf numFmtId="0" fontId="4" fillId="0" borderId="27" xfId="1" quotePrefix="1" applyFont="1" applyBorder="1" applyAlignment="1">
      <alignment horizontal="center" vertical="center"/>
    </xf>
    <xf numFmtId="164" fontId="4" fillId="0" borderId="27" xfId="1" applyNumberFormat="1" applyFont="1" applyBorder="1" applyAlignment="1">
      <alignment horizontal="center" vertical="center"/>
    </xf>
    <xf numFmtId="49" fontId="47" fillId="0" borderId="31" xfId="1" applyNumberFormat="1" applyFont="1" applyBorder="1" applyAlignment="1">
      <alignment horizontal="left" vertical="center"/>
    </xf>
    <xf numFmtId="0" fontId="4" fillId="0" borderId="31" xfId="1" quotePrefix="1" applyFont="1" applyBorder="1" applyAlignment="1">
      <alignment horizontal="left" vertical="center"/>
    </xf>
    <xf numFmtId="0" fontId="4" fillId="0" borderId="31" xfId="1" quotePrefix="1" applyFont="1" applyBorder="1" applyAlignment="1">
      <alignment horizontal="center" vertical="center"/>
    </xf>
    <xf numFmtId="164" fontId="4" fillId="0" borderId="31" xfId="1" applyNumberFormat="1" applyFont="1" applyBorder="1" applyAlignment="1">
      <alignment horizontal="center" vertical="center"/>
    </xf>
    <xf numFmtId="0" fontId="4" fillId="0" borderId="31" xfId="1" applyFont="1" applyBorder="1" applyAlignment="1">
      <alignment horizontal="center" vertical="center"/>
    </xf>
    <xf numFmtId="49" fontId="47" fillId="0" borderId="31" xfId="1" applyNumberFormat="1" applyFont="1" applyBorder="1" applyAlignment="1">
      <alignment horizontal="center" vertical="center"/>
    </xf>
    <xf numFmtId="0" fontId="4" fillId="0" borderId="26" xfId="1" applyFont="1" applyBorder="1" applyAlignment="1">
      <alignment horizontal="center" vertical="center"/>
    </xf>
    <xf numFmtId="49" fontId="47" fillId="0" borderId="26" xfId="1" applyNumberFormat="1" applyFont="1" applyBorder="1" applyAlignment="1">
      <alignment horizontal="center" vertical="center"/>
    </xf>
    <xf numFmtId="0" fontId="4" fillId="0" borderId="24" xfId="1" applyFont="1" applyBorder="1" applyAlignment="1">
      <alignment horizontal="center"/>
    </xf>
    <xf numFmtId="49" fontId="47" fillId="0" borderId="24" xfId="1" applyNumberFormat="1" applyFont="1" applyBorder="1" applyAlignment="1">
      <alignment horizontal="left" vertical="top"/>
    </xf>
    <xf numFmtId="49" fontId="47" fillId="0" borderId="24" xfId="1" applyNumberFormat="1" applyFont="1" applyBorder="1" applyAlignment="1">
      <alignment horizontal="center" vertical="top"/>
    </xf>
    <xf numFmtId="164" fontId="47" fillId="0" borderId="24" xfId="1" applyNumberFormat="1" applyFont="1" applyBorder="1" applyAlignment="1">
      <alignment horizontal="center" vertical="top"/>
    </xf>
    <xf numFmtId="49" fontId="47" fillId="0" borderId="24" xfId="1" quotePrefix="1" applyNumberFormat="1" applyFont="1" applyBorder="1" applyAlignment="1">
      <alignment horizontal="center" vertical="top"/>
    </xf>
    <xf numFmtId="49" fontId="4" fillId="0" borderId="35" xfId="1" applyNumberFormat="1" applyFont="1" applyBorder="1" applyAlignment="1">
      <alignment horizontal="center"/>
    </xf>
    <xf numFmtId="49" fontId="47" fillId="0" borderId="27" xfId="1" quotePrefix="1" applyNumberFormat="1" applyFont="1" applyBorder="1" applyAlignment="1">
      <alignment horizontal="center" vertical="top"/>
    </xf>
    <xf numFmtId="164" fontId="4" fillId="0" borderId="27" xfId="1" applyNumberFormat="1" applyFont="1" applyBorder="1" applyAlignment="1">
      <alignment horizontal="center"/>
    </xf>
    <xf numFmtId="49" fontId="47" fillId="0" borderId="31" xfId="1" quotePrefix="1" applyNumberFormat="1" applyFont="1" applyBorder="1" applyAlignment="1">
      <alignment horizontal="left" vertical="top"/>
    </xf>
    <xf numFmtId="0" fontId="4" fillId="0" borderId="23" xfId="1" applyFont="1" applyBorder="1"/>
    <xf numFmtId="0" fontId="4" fillId="0" borderId="37" xfId="1" applyFont="1" applyBorder="1"/>
    <xf numFmtId="49" fontId="4" fillId="0" borderId="21" xfId="1" applyNumberFormat="1" applyFont="1" applyBorder="1" applyAlignment="1">
      <alignment vertical="top"/>
    </xf>
    <xf numFmtId="49" fontId="5" fillId="0" borderId="0" xfId="1" applyNumberFormat="1" applyFont="1" applyAlignment="1">
      <alignment vertical="top"/>
    </xf>
    <xf numFmtId="49" fontId="4" fillId="0" borderId="0" xfId="1" applyNumberFormat="1" applyFont="1" applyAlignment="1">
      <alignment horizontal="center" vertical="top"/>
    </xf>
    <xf numFmtId="164" fontId="4" fillId="0" borderId="0" xfId="1" applyNumberFormat="1" applyFont="1" applyAlignment="1">
      <alignment horizontal="center" vertical="top"/>
    </xf>
    <xf numFmtId="49" fontId="4" fillId="0" borderId="0" xfId="1" applyNumberFormat="1" applyFont="1" applyAlignment="1">
      <alignment vertical="top"/>
    </xf>
    <xf numFmtId="49" fontId="47" fillId="0" borderId="21" xfId="1" applyNumberFormat="1" applyFont="1" applyBorder="1" applyAlignment="1">
      <alignment vertical="top"/>
    </xf>
    <xf numFmtId="49" fontId="47" fillId="0" borderId="0" xfId="1" applyNumberFormat="1" applyFont="1" applyAlignment="1">
      <alignment vertical="top"/>
    </xf>
    <xf numFmtId="164" fontId="47" fillId="0" borderId="0" xfId="1" applyNumberFormat="1" applyFont="1" applyAlignment="1">
      <alignment horizontal="center" vertical="top"/>
    </xf>
    <xf numFmtId="0" fontId="4" fillId="0" borderId="26" xfId="1" applyFont="1" applyBorder="1"/>
    <xf numFmtId="0" fontId="4" fillId="0" borderId="33" xfId="1" applyFont="1" applyBorder="1"/>
    <xf numFmtId="0" fontId="4" fillId="0" borderId="34" xfId="1" applyFont="1" applyBorder="1" applyAlignment="1">
      <alignment horizontal="left"/>
    </xf>
    <xf numFmtId="164" fontId="4" fillId="0" borderId="34" xfId="1" applyNumberFormat="1" applyFont="1" applyBorder="1" applyAlignment="1">
      <alignment horizontal="center"/>
    </xf>
    <xf numFmtId="0" fontId="4" fillId="0" borderId="0" xfId="1" applyFont="1" applyAlignment="1">
      <alignment horizontal="left"/>
    </xf>
    <xf numFmtId="164" fontId="4" fillId="0" borderId="0" xfId="1" applyNumberFormat="1" applyFont="1" applyAlignment="1">
      <alignment horizontal="center"/>
    </xf>
    <xf numFmtId="0" fontId="5" fillId="0" borderId="38" xfId="9" applyFont="1" applyBorder="1" applyAlignment="1">
      <alignment horizontal="center"/>
    </xf>
    <xf numFmtId="0" fontId="5" fillId="0" borderId="39" xfId="9" applyFont="1" applyBorder="1" applyAlignment="1">
      <alignment horizontal="center"/>
    </xf>
    <xf numFmtId="0" fontId="5" fillId="0" borderId="39" xfId="9" applyFont="1" applyBorder="1"/>
    <xf numFmtId="0" fontId="5" fillId="0" borderId="40" xfId="9" applyFont="1" applyBorder="1"/>
    <xf numFmtId="0" fontId="4" fillId="0" borderId="0" xfId="9"/>
    <xf numFmtId="0" fontId="4" fillId="0" borderId="1" xfId="9" applyBorder="1" applyAlignment="1">
      <alignment horizontal="center"/>
    </xf>
    <xf numFmtId="14" fontId="4" fillId="0" borderId="1" xfId="9" applyNumberFormat="1" applyBorder="1" applyAlignment="1">
      <alignment horizontal="center"/>
    </xf>
    <xf numFmtId="0" fontId="4" fillId="0" borderId="1" xfId="9" applyBorder="1"/>
    <xf numFmtId="0" fontId="0" fillId="0" borderId="9" xfId="0" applyBorder="1"/>
    <xf numFmtId="0" fontId="2" fillId="0" borderId="42" xfId="0" applyFont="1" applyBorder="1"/>
    <xf numFmtId="0" fontId="0" fillId="0" borderId="46" xfId="0" applyBorder="1"/>
    <xf numFmtId="0" fontId="0" fillId="0" borderId="47" xfId="0" applyBorder="1"/>
    <xf numFmtId="0" fontId="0" fillId="5" borderId="45" xfId="0" applyFill="1" applyBorder="1" applyAlignment="1">
      <alignment horizontal="center" vertical="center"/>
    </xf>
    <xf numFmtId="0" fontId="0" fillId="5" borderId="46" xfId="0" applyFill="1" applyBorder="1" applyAlignment="1">
      <alignment horizontal="center" vertical="center"/>
    </xf>
    <xf numFmtId="0" fontId="0" fillId="0" borderId="46" xfId="0" applyBorder="1" applyAlignment="1">
      <alignment horizontal="center" vertical="center"/>
    </xf>
    <xf numFmtId="0" fontId="0" fillId="0" borderId="5" xfId="0" applyBorder="1"/>
    <xf numFmtId="0" fontId="0" fillId="0" borderId="5" xfId="0" applyBorder="1" applyAlignment="1">
      <alignment horizontal="center"/>
    </xf>
    <xf numFmtId="0" fontId="0" fillId="0" borderId="16" xfId="0" applyBorder="1"/>
    <xf numFmtId="0" fontId="0" fillId="0" borderId="18" xfId="0" applyBorder="1"/>
    <xf numFmtId="0" fontId="2" fillId="5" borderId="45" xfId="0" applyFont="1" applyFill="1" applyBorder="1"/>
    <xf numFmtId="0" fontId="2" fillId="5" borderId="46" xfId="0" applyFont="1" applyFill="1" applyBorder="1"/>
    <xf numFmtId="0" fontId="29" fillId="28" borderId="1" xfId="1" applyFont="1" applyFill="1" applyBorder="1"/>
    <xf numFmtId="167" fontId="4" fillId="28" borderId="1" xfId="24" applyNumberFormat="1" applyFont="1" applyFill="1" applyBorder="1" applyAlignment="1">
      <alignment horizontal="center"/>
    </xf>
    <xf numFmtId="0" fontId="4" fillId="28" borderId="1" xfId="1" applyFont="1" applyFill="1" applyBorder="1" applyAlignment="1">
      <alignment horizontal="center"/>
    </xf>
    <xf numFmtId="0" fontId="4" fillId="28" borderId="1" xfId="24" applyFont="1" applyFill="1" applyBorder="1" applyAlignment="1">
      <alignment horizontal="center"/>
    </xf>
    <xf numFmtId="2" fontId="18" fillId="28" borderId="1" xfId="24" applyNumberFormat="1" applyFont="1" applyFill="1" applyBorder="1" applyAlignment="1">
      <alignment horizontal="center"/>
    </xf>
    <xf numFmtId="49" fontId="4" fillId="28" borderId="1" xfId="1" applyNumberFormat="1" applyFont="1" applyFill="1" applyBorder="1" applyAlignment="1">
      <alignment horizontal="center" vertical="center"/>
    </xf>
    <xf numFmtId="0" fontId="4" fillId="28" borderId="1" xfId="1" applyFont="1" applyFill="1" applyBorder="1"/>
    <xf numFmtId="0" fontId="23" fillId="28" borderId="1" xfId="1" applyFont="1" applyFill="1" applyBorder="1"/>
    <xf numFmtId="0" fontId="23" fillId="28" borderId="1" xfId="1" applyFont="1" applyFill="1" applyBorder="1" applyAlignment="1">
      <alignment horizontal="left"/>
    </xf>
    <xf numFmtId="0" fontId="23" fillId="28" borderId="1" xfId="1" applyFont="1" applyFill="1" applyBorder="1" applyAlignment="1">
      <alignment horizontal="center"/>
    </xf>
    <xf numFmtId="0" fontId="29" fillId="0" borderId="3" xfId="1" applyFont="1" applyBorder="1"/>
    <xf numFmtId="167" fontId="4" fillId="0" borderId="3" xfId="24" applyNumberFormat="1" applyFont="1" applyBorder="1" applyAlignment="1">
      <alignment horizontal="center"/>
    </xf>
    <xf numFmtId="0" fontId="4" fillId="0" borderId="3" xfId="1" applyFont="1" applyBorder="1" applyAlignment="1">
      <alignment horizontal="center"/>
    </xf>
    <xf numFmtId="0" fontId="4" fillId="0" borderId="3" xfId="24" applyFont="1" applyBorder="1" applyAlignment="1">
      <alignment horizontal="center"/>
    </xf>
    <xf numFmtId="2" fontId="4" fillId="0" borderId="3" xfId="24" applyNumberFormat="1" applyFont="1" applyBorder="1" applyAlignment="1">
      <alignment horizontal="center"/>
    </xf>
    <xf numFmtId="49" fontId="4" fillId="0" borderId="3" xfId="1" applyNumberFormat="1" applyFont="1" applyBorder="1" applyAlignment="1">
      <alignment horizontal="center" vertical="center"/>
    </xf>
    <xf numFmtId="0" fontId="23" fillId="0" borderId="3" xfId="1" applyFont="1" applyBorder="1"/>
    <xf numFmtId="0" fontId="23" fillId="0" borderId="3" xfId="1" applyFont="1" applyBorder="1" applyAlignment="1">
      <alignment horizontal="left"/>
    </xf>
    <xf numFmtId="0" fontId="23" fillId="0" borderId="3" xfId="1" applyFont="1" applyBorder="1" applyAlignment="1">
      <alignment horizontal="center"/>
    </xf>
    <xf numFmtId="0" fontId="29" fillId="28" borderId="2" xfId="1" applyFont="1" applyFill="1" applyBorder="1"/>
    <xf numFmtId="167" fontId="4" fillId="28" borderId="2" xfId="24" applyNumberFormat="1" applyFont="1" applyFill="1" applyBorder="1" applyAlignment="1">
      <alignment horizontal="center"/>
    </xf>
    <xf numFmtId="0" fontId="4" fillId="28" borderId="2" xfId="1" applyFont="1" applyFill="1" applyBorder="1" applyAlignment="1">
      <alignment horizontal="center"/>
    </xf>
    <xf numFmtId="0" fontId="4" fillId="28" borderId="2" xfId="24" applyFont="1" applyFill="1" applyBorder="1" applyAlignment="1">
      <alignment horizontal="center"/>
    </xf>
    <xf numFmtId="2" fontId="18" fillId="28" borderId="2" xfId="24" applyNumberFormat="1" applyFont="1" applyFill="1" applyBorder="1" applyAlignment="1">
      <alignment horizontal="center"/>
    </xf>
    <xf numFmtId="49" fontId="4" fillId="28" borderId="2" xfId="1" applyNumberFormat="1" applyFont="1" applyFill="1" applyBorder="1" applyAlignment="1">
      <alignment horizontal="center" vertical="center"/>
    </xf>
    <xf numFmtId="0" fontId="4" fillId="28" borderId="2" xfId="1" applyFont="1" applyFill="1" applyBorder="1"/>
    <xf numFmtId="0" fontId="23" fillId="28" borderId="2" xfId="1" applyFont="1" applyFill="1" applyBorder="1"/>
    <xf numFmtId="0" fontId="23" fillId="28" borderId="2" xfId="1" applyFont="1" applyFill="1" applyBorder="1" applyAlignment="1">
      <alignment horizontal="left"/>
    </xf>
    <xf numFmtId="0" fontId="23" fillId="28" borderId="2" xfId="1" applyFont="1" applyFill="1" applyBorder="1" applyAlignment="1">
      <alignment horizontal="center"/>
    </xf>
    <xf numFmtId="167" fontId="4" fillId="0" borderId="49" xfId="24" applyNumberFormat="1" applyFont="1" applyBorder="1" applyAlignment="1">
      <alignment horizontal="center"/>
    </xf>
    <xf numFmtId="0" fontId="4" fillId="0" borderId="49" xfId="1" applyFont="1" applyBorder="1" applyAlignment="1">
      <alignment horizontal="center"/>
    </xf>
    <xf numFmtId="0" fontId="4" fillId="0" borderId="49" xfId="24" applyFont="1" applyBorder="1" applyAlignment="1">
      <alignment horizontal="center"/>
    </xf>
    <xf numFmtId="0" fontId="29" fillId="0" borderId="52" xfId="1" applyFont="1" applyBorder="1"/>
    <xf numFmtId="167" fontId="4" fillId="0" borderId="53" xfId="24" applyNumberFormat="1" applyFont="1" applyBorder="1" applyAlignment="1">
      <alignment horizontal="center"/>
    </xf>
    <xf numFmtId="0" fontId="4" fillId="0" borderId="53" xfId="1" applyFont="1" applyBorder="1" applyAlignment="1">
      <alignment horizontal="center"/>
    </xf>
    <xf numFmtId="0" fontId="4" fillId="0" borderId="53" xfId="24" applyFont="1" applyBorder="1" applyAlignment="1">
      <alignment horizontal="center"/>
    </xf>
    <xf numFmtId="2" fontId="4" fillId="0" borderId="49" xfId="24" applyNumberFormat="1" applyFont="1" applyBorder="1" applyAlignment="1">
      <alignment horizontal="center"/>
    </xf>
    <xf numFmtId="2" fontId="4" fillId="0" borderId="53" xfId="24" applyNumberFormat="1" applyFont="1" applyBorder="1" applyAlignment="1">
      <alignment horizontal="center"/>
    </xf>
    <xf numFmtId="0" fontId="23" fillId="0" borderId="53" xfId="1" applyFont="1" applyBorder="1"/>
    <xf numFmtId="0" fontId="23" fillId="0" borderId="49" xfId="1" applyFont="1" applyBorder="1" applyAlignment="1">
      <alignment horizontal="left"/>
    </xf>
    <xf numFmtId="0" fontId="23" fillId="0" borderId="53" xfId="1" applyFont="1" applyBorder="1" applyAlignment="1">
      <alignment horizontal="left"/>
    </xf>
    <xf numFmtId="0" fontId="23" fillId="0" borderId="49" xfId="1" applyFont="1" applyBorder="1"/>
    <xf numFmtId="0" fontId="23" fillId="0" borderId="49" xfId="1" applyFont="1" applyBorder="1" applyAlignment="1">
      <alignment horizontal="center"/>
    </xf>
    <xf numFmtId="0" fontId="23" fillId="0" borderId="53" xfId="1" applyFont="1" applyBorder="1" applyAlignment="1">
      <alignment horizontal="center"/>
    </xf>
    <xf numFmtId="0" fontId="29" fillId="0" borderId="49" xfId="1" applyFont="1" applyBorder="1"/>
    <xf numFmtId="0" fontId="23" fillId="0" borderId="50" xfId="1" applyFont="1" applyBorder="1"/>
    <xf numFmtId="0" fontId="23" fillId="0" borderId="51" xfId="1" applyFont="1" applyBorder="1"/>
    <xf numFmtId="0" fontId="23" fillId="0" borderId="54" xfId="1" applyFont="1" applyBorder="1"/>
    <xf numFmtId="0" fontId="36" fillId="0" borderId="1" xfId="1" applyFont="1" applyBorder="1"/>
    <xf numFmtId="0" fontId="29" fillId="0" borderId="38" xfId="1" applyFont="1" applyBorder="1"/>
    <xf numFmtId="0" fontId="29" fillId="0" borderId="55" xfId="1" applyFont="1" applyBorder="1"/>
    <xf numFmtId="49" fontId="4" fillId="0" borderId="49" xfId="1" applyNumberFormat="1" applyFont="1" applyBorder="1" applyAlignment="1">
      <alignment horizontal="center" vertical="center"/>
    </xf>
    <xf numFmtId="0" fontId="36" fillId="0" borderId="53" xfId="1" applyFont="1" applyBorder="1"/>
    <xf numFmtId="49" fontId="48" fillId="0" borderId="1" xfId="1" applyNumberFormat="1" applyFont="1" applyBorder="1" applyAlignment="1">
      <alignment horizontal="center" vertical="center"/>
    </xf>
    <xf numFmtId="49" fontId="48" fillId="0" borderId="53" xfId="1" applyNumberFormat="1" applyFont="1" applyBorder="1" applyAlignment="1">
      <alignment horizontal="center" vertical="center"/>
    </xf>
    <xf numFmtId="0" fontId="40" fillId="4" borderId="1" xfId="1" applyFont="1" applyFill="1" applyBorder="1" applyAlignment="1">
      <alignment horizontal="center"/>
    </xf>
    <xf numFmtId="0" fontId="26" fillId="13" borderId="1" xfId="1" applyFont="1" applyFill="1" applyBorder="1" applyAlignment="1">
      <alignment horizontal="center"/>
    </xf>
    <xf numFmtId="0" fontId="28" fillId="13" borderId="1" xfId="1" applyFont="1" applyFill="1" applyBorder="1" applyAlignment="1">
      <alignment horizontal="center"/>
    </xf>
    <xf numFmtId="0" fontId="49" fillId="12" borderId="1" xfId="1" applyFont="1" applyFill="1" applyBorder="1" applyAlignment="1">
      <alignment horizontal="center"/>
    </xf>
    <xf numFmtId="0" fontId="50" fillId="12" borderId="1" xfId="1" applyFont="1" applyFill="1" applyBorder="1" applyAlignment="1">
      <alignment horizontal="center"/>
    </xf>
    <xf numFmtId="0" fontId="28" fillId="12" borderId="1" xfId="1" applyFont="1" applyFill="1" applyBorder="1" applyAlignment="1">
      <alignment horizontal="center"/>
    </xf>
    <xf numFmtId="0" fontId="28" fillId="0" borderId="1" xfId="1" applyFont="1" applyBorder="1"/>
    <xf numFmtId="0" fontId="1" fillId="27" borderId="1" xfId="20" applyFill="1" applyBorder="1"/>
    <xf numFmtId="0" fontId="53" fillId="19" borderId="1" xfId="9" applyFont="1" applyFill="1" applyBorder="1" applyAlignment="1">
      <alignment horizontal="center"/>
    </xf>
    <xf numFmtId="0" fontId="53" fillId="19" borderId="1" xfId="9" applyFont="1" applyFill="1" applyBorder="1" applyAlignment="1">
      <alignment horizontal="center" vertical="center"/>
    </xf>
    <xf numFmtId="0" fontId="53" fillId="19" borderId="1" xfId="1" applyFont="1" applyFill="1" applyBorder="1" applyAlignment="1">
      <alignment horizontal="center"/>
    </xf>
    <xf numFmtId="0" fontId="54" fillId="19" borderId="1" xfId="1" applyFont="1" applyFill="1" applyBorder="1" applyAlignment="1">
      <alignment horizontal="center"/>
    </xf>
    <xf numFmtId="0" fontId="55" fillId="19" borderId="1" xfId="1" applyFont="1" applyFill="1" applyBorder="1" applyAlignment="1">
      <alignment horizontal="center"/>
    </xf>
    <xf numFmtId="0" fontId="50" fillId="19" borderId="1" xfId="1" applyFont="1" applyFill="1" applyBorder="1" applyAlignment="1">
      <alignment horizontal="center"/>
    </xf>
    <xf numFmtId="1" fontId="50" fillId="19" borderId="1" xfId="20" applyNumberFormat="1" applyFont="1" applyFill="1" applyBorder="1" applyAlignment="1">
      <alignment horizontal="center"/>
    </xf>
    <xf numFmtId="0" fontId="56" fillId="19" borderId="1" xfId="1" applyFont="1" applyFill="1" applyBorder="1" applyAlignment="1">
      <alignment horizontal="center" vertical="center" wrapText="1"/>
    </xf>
    <xf numFmtId="0" fontId="54" fillId="19" borderId="1" xfId="1" applyFont="1" applyFill="1" applyBorder="1"/>
    <xf numFmtId="168" fontId="50" fillId="27" borderId="1" xfId="20" applyNumberFormat="1" applyFont="1" applyFill="1" applyBorder="1"/>
    <xf numFmtId="0" fontId="59" fillId="12" borderId="1" xfId="1" applyFont="1" applyFill="1" applyBorder="1" applyAlignment="1">
      <alignment horizontal="center"/>
    </xf>
    <xf numFmtId="0" fontId="59" fillId="13" borderId="1" xfId="1" applyFont="1" applyFill="1" applyBorder="1" applyAlignment="1">
      <alignment horizontal="center"/>
    </xf>
    <xf numFmtId="0" fontId="3" fillId="30" borderId="0" xfId="1" applyFill="1"/>
    <xf numFmtId="0" fontId="26" fillId="31" borderId="1" xfId="9" applyFont="1" applyFill="1" applyBorder="1" applyAlignment="1">
      <alignment horizontal="center"/>
    </xf>
    <xf numFmtId="0" fontId="26" fillId="31" borderId="1" xfId="9" applyFont="1" applyFill="1" applyBorder="1" applyAlignment="1">
      <alignment horizontal="center" vertical="center"/>
    </xf>
    <xf numFmtId="0" fontId="26" fillId="31" borderId="1" xfId="1" applyFont="1" applyFill="1" applyBorder="1" applyAlignment="1">
      <alignment horizontal="center"/>
    </xf>
    <xf numFmtId="0" fontId="49" fillId="31" borderId="1" xfId="1" applyFont="1" applyFill="1" applyBorder="1" applyAlignment="1">
      <alignment horizontal="center"/>
    </xf>
    <xf numFmtId="0" fontId="51" fillId="31" borderId="1" xfId="1" applyFont="1" applyFill="1" applyBorder="1" applyAlignment="1">
      <alignment horizontal="center"/>
    </xf>
    <xf numFmtId="2" fontId="26" fillId="32" borderId="1" xfId="20" applyNumberFormat="1" applyFont="1" applyFill="1" applyBorder="1"/>
    <xf numFmtId="1" fontId="26" fillId="32" borderId="1" xfId="20" applyNumberFormat="1" applyFont="1" applyFill="1" applyBorder="1" applyAlignment="1">
      <alignment horizontal="center"/>
    </xf>
    <xf numFmtId="0" fontId="58" fillId="33" borderId="1" xfId="1" applyFont="1" applyFill="1" applyBorder="1" applyAlignment="1">
      <alignment horizontal="center"/>
    </xf>
    <xf numFmtId="0" fontId="3" fillId="1" borderId="1" xfId="1" applyFill="1" applyBorder="1" applyAlignment="1">
      <alignment horizontal="center"/>
    </xf>
    <xf numFmtId="0" fontId="3" fillId="1" borderId="1" xfId="1" applyFill="1" applyBorder="1" applyAlignment="1">
      <alignment horizontal="center" vertical="center" wrapText="1"/>
    </xf>
    <xf numFmtId="0" fontId="1" fillId="34" borderId="1" xfId="20" applyFill="1" applyBorder="1"/>
    <xf numFmtId="0" fontId="28" fillId="1" borderId="1" xfId="1" applyFont="1" applyFill="1" applyBorder="1"/>
    <xf numFmtId="0" fontId="26" fillId="35" borderId="1" xfId="9" applyFont="1" applyFill="1" applyBorder="1" applyAlignment="1">
      <alignment horizontal="center"/>
    </xf>
    <xf numFmtId="0" fontId="57" fillId="35" borderId="1" xfId="9" applyFont="1" applyFill="1" applyBorder="1" applyAlignment="1">
      <alignment horizontal="center" vertical="center"/>
    </xf>
    <xf numFmtId="0" fontId="26" fillId="35" borderId="1" xfId="1" applyFont="1" applyFill="1" applyBorder="1" applyAlignment="1">
      <alignment horizontal="center"/>
    </xf>
    <xf numFmtId="0" fontId="28" fillId="35" borderId="1" xfId="1" applyFont="1" applyFill="1" applyBorder="1" applyAlignment="1">
      <alignment horizontal="center"/>
    </xf>
    <xf numFmtId="0" fontId="49" fillId="35" borderId="1" xfId="1" applyFont="1" applyFill="1" applyBorder="1" applyAlignment="1">
      <alignment horizontal="center"/>
    </xf>
    <xf numFmtId="0" fontId="51" fillId="35" borderId="1" xfId="1" applyFont="1" applyFill="1" applyBorder="1" applyAlignment="1">
      <alignment horizontal="center"/>
    </xf>
    <xf numFmtId="0" fontId="57" fillId="31" borderId="1" xfId="9" applyFont="1" applyFill="1" applyBorder="1" applyAlignment="1">
      <alignment horizontal="center" vertical="center"/>
    </xf>
    <xf numFmtId="0" fontId="28" fillId="31" borderId="1" xfId="1" applyFont="1" applyFill="1" applyBorder="1" applyAlignment="1">
      <alignment horizontal="center"/>
    </xf>
    <xf numFmtId="0" fontId="25" fillId="35" borderId="1" xfId="1" applyFont="1" applyFill="1" applyBorder="1" applyAlignment="1">
      <alignment horizontal="center"/>
    </xf>
    <xf numFmtId="0" fontId="58" fillId="35" borderId="1" xfId="1" applyFont="1" applyFill="1" applyBorder="1" applyAlignment="1">
      <alignment horizontal="center"/>
    </xf>
    <xf numFmtId="0" fontId="58" fillId="31" borderId="1" xfId="1" applyFont="1" applyFill="1" applyBorder="1" applyAlignment="1">
      <alignment horizontal="center"/>
    </xf>
    <xf numFmtId="0" fontId="52" fillId="33" borderId="1" xfId="1" applyFont="1" applyFill="1" applyBorder="1" applyAlignment="1">
      <alignment horizontal="center"/>
    </xf>
    <xf numFmtId="0" fontId="3" fillId="1" borderId="1" xfId="1" applyFill="1" applyBorder="1"/>
    <xf numFmtId="0" fontId="59" fillId="31" borderId="1" xfId="1" applyFont="1" applyFill="1" applyBorder="1" applyAlignment="1">
      <alignment horizontal="center"/>
    </xf>
    <xf numFmtId="0" fontId="50" fillId="35" borderId="1" xfId="1" applyFont="1" applyFill="1" applyBorder="1" applyAlignment="1">
      <alignment horizontal="center"/>
    </xf>
    <xf numFmtId="0" fontId="59" fillId="35" borderId="1" xfId="1" applyFont="1" applyFill="1" applyBorder="1" applyAlignment="1">
      <alignment horizontal="center"/>
    </xf>
    <xf numFmtId="0" fontId="14" fillId="31" borderId="1" xfId="1" applyFont="1" applyFill="1" applyBorder="1" applyAlignment="1">
      <alignment horizontal="center"/>
    </xf>
    <xf numFmtId="0" fontId="60" fillId="33" borderId="1" xfId="1" applyFont="1" applyFill="1" applyBorder="1" applyAlignment="1">
      <alignment horizontal="center"/>
    </xf>
    <xf numFmtId="0" fontId="24" fillId="18" borderId="1" xfId="20" applyFont="1" applyFill="1" applyBorder="1" applyAlignment="1">
      <alignment horizontal="center" wrapText="1"/>
    </xf>
    <xf numFmtId="0" fontId="24" fillId="26" borderId="1" xfId="20" applyFont="1" applyFill="1" applyBorder="1" applyAlignment="1">
      <alignment horizontal="center" wrapText="1"/>
    </xf>
    <xf numFmtId="49" fontId="33" fillId="18" borderId="1" xfId="20" applyNumberFormat="1" applyFont="1" applyFill="1" applyBorder="1" applyAlignment="1">
      <alignment horizontal="center"/>
    </xf>
    <xf numFmtId="49" fontId="1" fillId="18" borderId="1" xfId="20" applyNumberFormat="1" applyFill="1" applyBorder="1" applyAlignment="1">
      <alignment horizontal="center"/>
    </xf>
    <xf numFmtId="49" fontId="2" fillId="18" borderId="1" xfId="20" applyNumberFormat="1" applyFont="1" applyFill="1" applyBorder="1" applyAlignment="1">
      <alignment horizontal="center"/>
    </xf>
    <xf numFmtId="0" fontId="1" fillId="0" borderId="1" xfId="20" applyBorder="1" applyAlignment="1">
      <alignment horizontal="center"/>
    </xf>
    <xf numFmtId="1" fontId="61" fillId="0" borderId="1" xfId="1" applyNumberFormat="1" applyFont="1" applyBorder="1" applyAlignment="1">
      <alignment horizontal="center" vertical="center"/>
    </xf>
    <xf numFmtId="0" fontId="31" fillId="18" borderId="1" xfId="20" applyFont="1" applyFill="1" applyBorder="1" applyAlignment="1">
      <alignment horizontal="center"/>
    </xf>
    <xf numFmtId="0" fontId="62" fillId="0" borderId="1" xfId="20" applyFont="1" applyBorder="1" applyAlignment="1">
      <alignment horizontal="center"/>
    </xf>
    <xf numFmtId="0" fontId="62" fillId="9" borderId="1" xfId="20" applyFont="1" applyFill="1" applyBorder="1" applyAlignment="1">
      <alignment horizontal="center"/>
    </xf>
    <xf numFmtId="0" fontId="63" fillId="18" borderId="1" xfId="20" applyFont="1" applyFill="1" applyBorder="1" applyAlignment="1">
      <alignment horizontal="center"/>
    </xf>
    <xf numFmtId="0" fontId="63" fillId="0" borderId="1" xfId="20" applyFont="1" applyBorder="1" applyAlignment="1">
      <alignment horizontal="center"/>
    </xf>
    <xf numFmtId="0" fontId="64" fillId="5" borderId="1" xfId="20" applyFont="1" applyFill="1" applyBorder="1" applyAlignment="1">
      <alignment horizontal="center"/>
    </xf>
    <xf numFmtId="0" fontId="2" fillId="0" borderId="1" xfId="20" applyFont="1" applyBorder="1" applyAlignment="1">
      <alignment horizontal="center"/>
    </xf>
    <xf numFmtId="1" fontId="65" fillId="21" borderId="1" xfId="20" applyNumberFormat="1" applyFont="1" applyFill="1" applyBorder="1" applyAlignment="1">
      <alignment horizontal="center"/>
    </xf>
    <xf numFmtId="0" fontId="65" fillId="21" borderId="1" xfId="1" applyFont="1" applyFill="1" applyBorder="1" applyAlignment="1">
      <alignment horizontal="center"/>
    </xf>
    <xf numFmtId="0" fontId="66" fillId="21" borderId="1" xfId="20" applyFont="1" applyFill="1" applyBorder="1" applyAlignment="1">
      <alignment horizontal="center"/>
    </xf>
    <xf numFmtId="0" fontId="67" fillId="21" borderId="1" xfId="20" applyFont="1" applyFill="1" applyBorder="1" applyAlignment="1">
      <alignment horizontal="center"/>
    </xf>
    <xf numFmtId="0" fontId="68" fillId="21" borderId="1" xfId="20" applyFont="1" applyFill="1" applyBorder="1" applyAlignment="1">
      <alignment horizontal="center"/>
    </xf>
    <xf numFmtId="0" fontId="69" fillId="21" borderId="1" xfId="20" applyFont="1" applyFill="1" applyBorder="1" applyAlignment="1">
      <alignment horizontal="center"/>
    </xf>
    <xf numFmtId="0" fontId="63" fillId="5" borderId="1" xfId="20" applyFont="1" applyFill="1" applyBorder="1" applyAlignment="1">
      <alignment horizontal="center"/>
    </xf>
    <xf numFmtId="1" fontId="61" fillId="9" borderId="1" xfId="1" applyNumberFormat="1" applyFont="1" applyFill="1" applyBorder="1" applyAlignment="1">
      <alignment horizontal="center" vertical="center"/>
    </xf>
    <xf numFmtId="0" fontId="63" fillId="9" borderId="1" xfId="20" applyFont="1" applyFill="1" applyBorder="1" applyAlignment="1">
      <alignment horizontal="center"/>
    </xf>
    <xf numFmtId="0" fontId="32" fillId="0" borderId="1" xfId="20" applyFont="1" applyBorder="1" applyAlignment="1">
      <alignment horizontal="center" wrapText="1"/>
    </xf>
    <xf numFmtId="0" fontId="33" fillId="0" borderId="2" xfId="20" applyFont="1" applyBorder="1" applyAlignment="1">
      <alignment horizontal="center"/>
    </xf>
    <xf numFmtId="0" fontId="34" fillId="0" borderId="1" xfId="20" applyFont="1" applyBorder="1" applyAlignment="1">
      <alignment horizontal="center"/>
    </xf>
    <xf numFmtId="2" fontId="65" fillId="0" borderId="1" xfId="20" applyNumberFormat="1" applyFont="1" applyBorder="1"/>
    <xf numFmtId="0" fontId="33" fillId="0" borderId="1" xfId="20" applyFont="1" applyBorder="1" applyAlignment="1">
      <alignment horizontal="center"/>
    </xf>
    <xf numFmtId="0" fontId="33" fillId="10" borderId="2" xfId="20" applyFont="1" applyFill="1" applyBorder="1" applyAlignment="1">
      <alignment horizontal="center"/>
    </xf>
    <xf numFmtId="0" fontId="1" fillId="10" borderId="1" xfId="20" applyFill="1" applyBorder="1" applyAlignment="1">
      <alignment horizontal="center"/>
    </xf>
    <xf numFmtId="0" fontId="59" fillId="0" borderId="1" xfId="1" applyFont="1" applyBorder="1"/>
    <xf numFmtId="0" fontId="0" fillId="5" borderId="45" xfId="0" applyFill="1" applyBorder="1" applyAlignment="1">
      <alignment horizontal="center"/>
    </xf>
    <xf numFmtId="0" fontId="0" fillId="5" borderId="46" xfId="0" applyFill="1" applyBorder="1" applyAlignment="1">
      <alignment horizontal="center"/>
    </xf>
    <xf numFmtId="0" fontId="0" fillId="0" borderId="46" xfId="0" applyBorder="1" applyAlignment="1">
      <alignment horizontal="center"/>
    </xf>
    <xf numFmtId="0" fontId="0" fillId="0" borderId="47" xfId="0" applyBorder="1" applyAlignment="1">
      <alignment horizontal="center"/>
    </xf>
    <xf numFmtId="0" fontId="33" fillId="25" borderId="1" xfId="0" applyFont="1" applyFill="1" applyBorder="1" applyAlignment="1">
      <alignment horizontal="center"/>
    </xf>
    <xf numFmtId="0" fontId="33" fillId="25" borderId="1" xfId="0" applyFont="1" applyFill="1" applyBorder="1"/>
    <xf numFmtId="0" fontId="33" fillId="23" borderId="1" xfId="0" applyFont="1" applyFill="1" applyBorder="1"/>
    <xf numFmtId="0" fontId="33" fillId="23" borderId="1" xfId="0" applyFont="1" applyFill="1" applyBorder="1" applyAlignment="1">
      <alignment horizontal="center"/>
    </xf>
    <xf numFmtId="0" fontId="33" fillId="29" borderId="1" xfId="0" applyFont="1" applyFill="1" applyBorder="1"/>
    <xf numFmtId="0" fontId="33" fillId="29" borderId="1" xfId="0" applyFont="1" applyFill="1" applyBorder="1" applyAlignment="1">
      <alignment horizontal="center"/>
    </xf>
    <xf numFmtId="0" fontId="33" fillId="19" borderId="1" xfId="0" applyFont="1" applyFill="1" applyBorder="1"/>
    <xf numFmtId="0" fontId="33" fillId="19" borderId="1" xfId="0" applyFont="1" applyFill="1" applyBorder="1" applyAlignment="1">
      <alignment horizontal="center"/>
    </xf>
    <xf numFmtId="0" fontId="33" fillId="36" borderId="1" xfId="0" applyFont="1" applyFill="1" applyBorder="1"/>
    <xf numFmtId="0" fontId="33" fillId="36" borderId="1" xfId="0" applyFont="1" applyFill="1" applyBorder="1" applyAlignment="1">
      <alignment horizontal="center"/>
    </xf>
    <xf numFmtId="0" fontId="33" fillId="8" borderId="1" xfId="0" applyFont="1" applyFill="1" applyBorder="1"/>
    <xf numFmtId="0" fontId="33" fillId="8" borderId="1" xfId="0" applyFont="1" applyFill="1" applyBorder="1" applyAlignment="1">
      <alignment horizontal="center"/>
    </xf>
    <xf numFmtId="0" fontId="33" fillId="24" borderId="1" xfId="0" applyFont="1" applyFill="1" applyBorder="1"/>
    <xf numFmtId="0" fontId="33" fillId="24" borderId="1" xfId="0" applyFont="1" applyFill="1" applyBorder="1" applyAlignment="1">
      <alignment horizontal="center"/>
    </xf>
    <xf numFmtId="0" fontId="33" fillId="15" borderId="1" xfId="0" applyFont="1" applyFill="1" applyBorder="1"/>
    <xf numFmtId="0" fontId="33" fillId="15" borderId="1" xfId="0" applyFont="1" applyFill="1" applyBorder="1" applyAlignment="1">
      <alignment horizontal="center"/>
    </xf>
    <xf numFmtId="0" fontId="25" fillId="0" borderId="1" xfId="9" applyFont="1" applyBorder="1" applyAlignment="1">
      <alignment horizontal="center"/>
    </xf>
    <xf numFmtId="0" fontId="25" fillId="0" borderId="1" xfId="9" applyFont="1" applyBorder="1" applyAlignment="1">
      <alignment horizontal="center" vertical="center"/>
    </xf>
    <xf numFmtId="0" fontId="25" fillId="0" borderId="1" xfId="1" applyFont="1" applyBorder="1" applyAlignment="1">
      <alignment horizontal="center"/>
    </xf>
    <xf numFmtId="0" fontId="14" fillId="0" borderId="1" xfId="1" applyFont="1" applyBorder="1" applyAlignment="1">
      <alignment horizontal="center"/>
    </xf>
    <xf numFmtId="2" fontId="25" fillId="0" borderId="1" xfId="20" applyNumberFormat="1" applyFont="1" applyBorder="1"/>
    <xf numFmtId="1" fontId="25" fillId="0" borderId="1" xfId="20" applyNumberFormat="1" applyFont="1" applyBorder="1" applyAlignment="1">
      <alignment horizontal="center"/>
    </xf>
    <xf numFmtId="0" fontId="73" fillId="0" borderId="1" xfId="1" applyFont="1" applyBorder="1" applyAlignment="1">
      <alignment horizontal="center" vertical="center" wrapText="1"/>
    </xf>
    <xf numFmtId="0" fontId="14" fillId="0" borderId="1" xfId="1" applyFont="1" applyBorder="1"/>
    <xf numFmtId="0" fontId="34" fillId="0" borderId="1" xfId="20" applyFont="1" applyBorder="1"/>
    <xf numFmtId="166" fontId="25" fillId="37" borderId="1" xfId="9" applyNumberFormat="1" applyFont="1" applyFill="1" applyBorder="1" applyAlignment="1">
      <alignment horizontal="center"/>
    </xf>
    <xf numFmtId="0" fontId="25" fillId="37" borderId="1" xfId="9" applyFont="1" applyFill="1" applyBorder="1" applyAlignment="1">
      <alignment horizontal="center"/>
    </xf>
    <xf numFmtId="0" fontId="25" fillId="37" borderId="1" xfId="9" applyFont="1" applyFill="1" applyBorder="1" applyAlignment="1">
      <alignment horizontal="center" vertical="center"/>
    </xf>
    <xf numFmtId="0" fontId="25" fillId="37" borderId="1" xfId="1" applyFont="1" applyFill="1" applyBorder="1" applyAlignment="1">
      <alignment horizontal="center"/>
    </xf>
    <xf numFmtId="0" fontId="14" fillId="37" borderId="1" xfId="1" applyFont="1" applyFill="1" applyBorder="1" applyAlignment="1">
      <alignment horizontal="center"/>
    </xf>
    <xf numFmtId="2" fontId="25" fillId="37" borderId="1" xfId="20" applyNumberFormat="1" applyFont="1" applyFill="1" applyBorder="1"/>
    <xf numFmtId="1" fontId="25" fillId="37" borderId="1" xfId="20" applyNumberFormat="1" applyFont="1" applyFill="1" applyBorder="1" applyAlignment="1">
      <alignment horizontal="center"/>
    </xf>
    <xf numFmtId="166" fontId="25" fillId="37" borderId="1" xfId="20" applyNumberFormat="1" applyFont="1" applyFill="1" applyBorder="1" applyAlignment="1">
      <alignment horizontal="center"/>
    </xf>
    <xf numFmtId="0" fontId="17" fillId="37" borderId="1" xfId="1" applyFont="1" applyFill="1" applyBorder="1" applyAlignment="1">
      <alignment horizontal="center" vertical="center" wrapText="1"/>
    </xf>
    <xf numFmtId="0" fontId="14" fillId="37" borderId="1" xfId="1" applyFont="1" applyFill="1" applyBorder="1"/>
    <xf numFmtId="0" fontId="33" fillId="37" borderId="1" xfId="20" applyFont="1" applyFill="1" applyBorder="1"/>
    <xf numFmtId="166" fontId="14" fillId="37" borderId="1" xfId="1" applyNumberFormat="1" applyFont="1" applyFill="1" applyBorder="1" applyAlignment="1">
      <alignment horizontal="center"/>
    </xf>
    <xf numFmtId="0" fontId="17" fillId="37" borderId="1" xfId="1" applyFont="1" applyFill="1" applyBorder="1"/>
    <xf numFmtId="0" fontId="4" fillId="0" borderId="0" xfId="25" applyAlignment="1">
      <alignment horizontal="center"/>
    </xf>
    <xf numFmtId="0" fontId="4" fillId="0" borderId="0" xfId="25"/>
    <xf numFmtId="0" fontId="4" fillId="0" borderId="1" xfId="25" applyBorder="1"/>
    <xf numFmtId="0" fontId="4" fillId="0" borderId="1" xfId="25" applyBorder="1" applyAlignment="1">
      <alignment horizontal="left"/>
    </xf>
    <xf numFmtId="0" fontId="5" fillId="0" borderId="1" xfId="25" quotePrefix="1" applyFont="1" applyBorder="1"/>
    <xf numFmtId="0" fontId="4" fillId="0" borderId="1" xfId="26" applyBorder="1"/>
    <xf numFmtId="168" fontId="4" fillId="0" borderId="1" xfId="26" applyNumberFormat="1" applyBorder="1" applyAlignment="1">
      <alignment horizontal="left"/>
    </xf>
    <xf numFmtId="168" fontId="4" fillId="0" borderId="1" xfId="25" applyNumberFormat="1" applyBorder="1" applyAlignment="1">
      <alignment horizontal="left"/>
    </xf>
    <xf numFmtId="0" fontId="4" fillId="0" borderId="1" xfId="25" applyBorder="1" applyAlignment="1">
      <alignment horizontal="center"/>
    </xf>
    <xf numFmtId="0" fontId="0" fillId="0" borderId="48" xfId="0" applyBorder="1"/>
    <xf numFmtId="0" fontId="0" fillId="0" borderId="48" xfId="0" applyBorder="1" applyAlignment="1">
      <alignment horizontal="center" vertical="center"/>
    </xf>
    <xf numFmtId="0" fontId="0" fillId="0" borderId="48" xfId="0" applyBorder="1" applyAlignment="1">
      <alignment horizontal="center"/>
    </xf>
    <xf numFmtId="0" fontId="17" fillId="0" borderId="1" xfId="1" applyFont="1" applyBorder="1"/>
    <xf numFmtId="0" fontId="17" fillId="0" borderId="1" xfId="1" applyFont="1" applyBorder="1" applyAlignment="1">
      <alignment horizontal="center"/>
    </xf>
    <xf numFmtId="164" fontId="17" fillId="0" borderId="1" xfId="1" applyNumberFormat="1" applyFont="1" applyBorder="1" applyAlignment="1">
      <alignment horizontal="center"/>
    </xf>
    <xf numFmtId="0" fontId="73" fillId="0" borderId="1" xfId="1" applyFont="1" applyBorder="1"/>
    <xf numFmtId="0" fontId="73" fillId="0" borderId="1" xfId="1" applyFont="1" applyBorder="1" applyAlignment="1">
      <alignment horizontal="center"/>
    </xf>
    <xf numFmtId="0" fontId="17" fillId="0" borderId="41" xfId="1" applyFont="1" applyBorder="1"/>
    <xf numFmtId="0" fontId="17" fillId="0" borderId="41" xfId="1" applyFont="1" applyBorder="1" applyAlignment="1">
      <alignment horizontal="center"/>
    </xf>
    <xf numFmtId="0" fontId="17" fillId="0" borderId="2" xfId="1" applyFont="1" applyBorder="1" applyAlignment="1">
      <alignment horizontal="center"/>
    </xf>
    <xf numFmtId="0" fontId="33" fillId="0" borderId="0" xfId="0" applyFont="1"/>
    <xf numFmtId="0" fontId="17" fillId="0" borderId="0" xfId="1" applyFont="1" applyAlignment="1">
      <alignment horizontal="center"/>
    </xf>
    <xf numFmtId="0" fontId="17" fillId="0" borderId="0" xfId="1" applyFont="1"/>
    <xf numFmtId="0" fontId="33" fillId="0" borderId="1" xfId="0" applyFont="1" applyBorder="1"/>
    <xf numFmtId="0" fontId="33" fillId="0" borderId="1" xfId="0" applyFont="1" applyBorder="1" applyAlignment="1">
      <alignment horizontal="center"/>
    </xf>
    <xf numFmtId="0" fontId="74" fillId="0" borderId="0" xfId="0" applyFont="1" applyAlignment="1">
      <alignment horizontal="center"/>
    </xf>
    <xf numFmtId="0" fontId="74" fillId="0" borderId="0" xfId="0" applyFont="1"/>
    <xf numFmtId="0" fontId="74" fillId="0" borderId="1" xfId="0" applyFont="1" applyBorder="1"/>
    <xf numFmtId="0" fontId="74" fillId="0" borderId="1" xfId="0" applyFont="1" applyBorder="1" applyAlignment="1">
      <alignment horizontal="center"/>
    </xf>
    <xf numFmtId="0" fontId="33" fillId="0" borderId="0" xfId="0" applyFont="1" applyAlignment="1">
      <alignment horizontal="center"/>
    </xf>
    <xf numFmtId="0" fontId="17" fillId="0" borderId="3" xfId="1" applyFont="1" applyBorder="1"/>
    <xf numFmtId="169" fontId="33" fillId="0" borderId="0" xfId="0" applyNumberFormat="1" applyFont="1"/>
    <xf numFmtId="169" fontId="17" fillId="0" borderId="0" xfId="1" applyNumberFormat="1" applyFont="1"/>
    <xf numFmtId="164" fontId="17" fillId="0" borderId="0" xfId="1" applyNumberFormat="1" applyFont="1" applyAlignment="1">
      <alignment horizontal="center"/>
    </xf>
    <xf numFmtId="164" fontId="33" fillId="0" borderId="0" xfId="0" applyNumberFormat="1" applyFont="1"/>
    <xf numFmtId="0" fontId="33" fillId="0" borderId="0" xfId="0" applyFont="1" applyAlignment="1">
      <alignment horizontal="center" vertical="center"/>
    </xf>
    <xf numFmtId="164" fontId="33" fillId="0" borderId="0" xfId="0" applyNumberFormat="1" applyFont="1" applyAlignment="1">
      <alignment horizontal="center" vertical="center"/>
    </xf>
    <xf numFmtId="0" fontId="33" fillId="0" borderId="0" xfId="0" applyFont="1" applyAlignment="1">
      <alignment horizontal="left"/>
    </xf>
    <xf numFmtId="169" fontId="33" fillId="0" borderId="0" xfId="0" applyNumberFormat="1" applyFont="1" applyAlignment="1">
      <alignment horizontal="center"/>
    </xf>
    <xf numFmtId="0" fontId="34" fillId="29" borderId="1" xfId="0" applyFont="1" applyFill="1" applyBorder="1"/>
    <xf numFmtId="164" fontId="73" fillId="29" borderId="1" xfId="1" applyNumberFormat="1" applyFont="1" applyFill="1" applyBorder="1" applyAlignment="1">
      <alignment horizontal="center"/>
    </xf>
    <xf numFmtId="0" fontId="3" fillId="0" borderId="1" xfId="1" applyBorder="1"/>
    <xf numFmtId="0" fontId="3" fillId="0" borderId="9" xfId="1" applyBorder="1"/>
    <xf numFmtId="0" fontId="17" fillId="0" borderId="9" xfId="1" applyFont="1" applyBorder="1"/>
    <xf numFmtId="0" fontId="17" fillId="4" borderId="1" xfId="1" applyFont="1" applyFill="1" applyBorder="1" applyAlignment="1">
      <alignment horizontal="center"/>
    </xf>
    <xf numFmtId="172" fontId="17" fillId="0" borderId="1" xfId="1" applyNumberFormat="1" applyFont="1" applyBorder="1" applyAlignment="1">
      <alignment horizontal="center"/>
    </xf>
    <xf numFmtId="171" fontId="17" fillId="0" borderId="1" xfId="27" applyNumberFormat="1" applyFont="1" applyBorder="1" applyAlignment="1">
      <alignment horizontal="right"/>
    </xf>
    <xf numFmtId="169" fontId="17" fillId="0" borderId="1" xfId="1" applyNumberFormat="1" applyFont="1" applyBorder="1" applyAlignment="1">
      <alignment horizontal="center"/>
    </xf>
    <xf numFmtId="0" fontId="73" fillId="0" borderId="56" xfId="1" applyFont="1" applyBorder="1"/>
    <xf numFmtId="0" fontId="73" fillId="0" borderId="49" xfId="1" applyFont="1" applyBorder="1" applyAlignment="1">
      <alignment horizontal="center"/>
    </xf>
    <xf numFmtId="0" fontId="73" fillId="0" borderId="49" xfId="1" applyFont="1" applyBorder="1"/>
    <xf numFmtId="0" fontId="73" fillId="0" borderId="50" xfId="1" applyFont="1" applyBorder="1" applyAlignment="1">
      <alignment horizontal="center"/>
    </xf>
    <xf numFmtId="0" fontId="17" fillId="0" borderId="59" xfId="1" applyFont="1" applyBorder="1"/>
    <xf numFmtId="0" fontId="17" fillId="0" borderId="51" xfId="1" applyFont="1" applyBorder="1" applyAlignment="1">
      <alignment horizontal="center"/>
    </xf>
    <xf numFmtId="0" fontId="17" fillId="0" borderId="60" xfId="1" applyFont="1" applyBorder="1" applyAlignment="1">
      <alignment horizontal="center"/>
    </xf>
    <xf numFmtId="0" fontId="33" fillId="0" borderId="60" xfId="0" applyFont="1" applyBorder="1"/>
    <xf numFmtId="164" fontId="17" fillId="0" borderId="0" xfId="1" applyNumberFormat="1" applyFont="1"/>
    <xf numFmtId="0" fontId="33" fillId="0" borderId="61" xfId="0" applyFont="1" applyBorder="1"/>
    <xf numFmtId="0" fontId="73" fillId="0" borderId="59" xfId="1" applyFont="1" applyBorder="1"/>
    <xf numFmtId="0" fontId="33" fillId="0" borderId="59" xfId="0" applyFont="1" applyBorder="1"/>
    <xf numFmtId="170" fontId="33" fillId="0" borderId="0" xfId="0" applyNumberFormat="1" applyFont="1"/>
    <xf numFmtId="173" fontId="33" fillId="0" borderId="0" xfId="0" applyNumberFormat="1" applyFont="1"/>
    <xf numFmtId="43" fontId="33" fillId="0" borderId="0" xfId="0" applyNumberFormat="1" applyFont="1"/>
    <xf numFmtId="0" fontId="17" fillId="0" borderId="52" xfId="1" applyFont="1" applyBorder="1"/>
    <xf numFmtId="0" fontId="17" fillId="0" borderId="14" xfId="1" applyFont="1" applyBorder="1"/>
    <xf numFmtId="0" fontId="33" fillId="0" borderId="14" xfId="0" applyFont="1" applyBorder="1"/>
    <xf numFmtId="0" fontId="33" fillId="0" borderId="8" xfId="0" applyFont="1" applyBorder="1"/>
    <xf numFmtId="0" fontId="0" fillId="0" borderId="0" xfId="0" applyAlignment="1">
      <alignment horizontal="left"/>
    </xf>
    <xf numFmtId="0" fontId="17" fillId="0" borderId="53" xfId="1" applyFont="1" applyBorder="1" applyAlignment="1">
      <alignment horizontal="center"/>
    </xf>
    <xf numFmtId="0" fontId="4" fillId="0" borderId="4" xfId="18" applyBorder="1"/>
    <xf numFmtId="0" fontId="19" fillId="0" borderId="0" xfId="14" applyAlignment="1">
      <alignment wrapText="1"/>
    </xf>
    <xf numFmtId="0" fontId="19" fillId="0" borderId="0" xfId="14"/>
    <xf numFmtId="168" fontId="19" fillId="0" borderId="46" xfId="18" applyNumberFormat="1" applyFont="1" applyBorder="1" applyAlignment="1">
      <alignment horizontal="center"/>
    </xf>
    <xf numFmtId="168" fontId="19" fillId="0" borderId="45" xfId="18" applyNumberFormat="1" applyFont="1" applyBorder="1" applyAlignment="1">
      <alignment horizontal="center"/>
    </xf>
    <xf numFmtId="0" fontId="92" fillId="0" borderId="5" xfId="18" applyFont="1" applyBorder="1" applyAlignment="1">
      <alignment horizontal="center"/>
    </xf>
    <xf numFmtId="168" fontId="19" fillId="0" borderId="71" xfId="18" applyNumberFormat="1" applyFont="1" applyBorder="1" applyAlignment="1">
      <alignment horizontal="center"/>
    </xf>
    <xf numFmtId="0" fontId="4" fillId="0" borderId="0" xfId="18"/>
    <xf numFmtId="0" fontId="4" fillId="0" borderId="0" xfId="18" applyAlignment="1">
      <alignment horizontal="center" vertical="center" wrapText="1"/>
    </xf>
    <xf numFmtId="168" fontId="19" fillId="0" borderId="47" xfId="18" applyNumberFormat="1" applyFont="1" applyBorder="1" applyAlignment="1">
      <alignment horizontal="center"/>
    </xf>
    <xf numFmtId="0" fontId="4" fillId="0" borderId="73" xfId="16" applyBorder="1" applyProtection="1">
      <protection locked="0"/>
    </xf>
    <xf numFmtId="0" fontId="19" fillId="0" borderId="4" xfId="18" applyFont="1" applyBorder="1" applyAlignment="1">
      <alignment horizontal="center"/>
    </xf>
    <xf numFmtId="0" fontId="19" fillId="0" borderId="0" xfId="18" applyFont="1" applyAlignment="1">
      <alignment horizontal="left"/>
    </xf>
    <xf numFmtId="0" fontId="92" fillId="0" borderId="18" xfId="18" applyFont="1" applyBorder="1" applyAlignment="1">
      <alignment horizontal="center"/>
    </xf>
    <xf numFmtId="0" fontId="4" fillId="0" borderId="57" xfId="16" applyBorder="1" applyProtection="1">
      <protection locked="0"/>
    </xf>
    <xf numFmtId="0" fontId="4" fillId="0" borderId="46" xfId="16" applyBorder="1" applyProtection="1">
      <protection locked="0"/>
    </xf>
    <xf numFmtId="0" fontId="4" fillId="0" borderId="4" xfId="16" applyBorder="1" applyProtection="1">
      <protection locked="0"/>
    </xf>
    <xf numFmtId="0" fontId="4" fillId="0" borderId="45" xfId="16" applyBorder="1" applyProtection="1">
      <protection locked="0"/>
    </xf>
    <xf numFmtId="0" fontId="92" fillId="0" borderId="0" xfId="14" applyFont="1" applyAlignment="1">
      <alignment horizontal="left" vertical="center" wrapText="1"/>
    </xf>
    <xf numFmtId="0" fontId="4" fillId="0" borderId="17" xfId="18" applyBorder="1" applyAlignment="1">
      <alignment horizontal="center" vertical="center" textRotation="90" wrapText="1"/>
    </xf>
    <xf numFmtId="168" fontId="19" fillId="0" borderId="73" xfId="18" applyNumberFormat="1" applyFont="1" applyBorder="1" applyAlignment="1">
      <alignment horizontal="center"/>
    </xf>
    <xf numFmtId="168" fontId="19" fillId="0" borderId="74" xfId="18" applyNumberFormat="1" applyFont="1" applyBorder="1" applyAlignment="1">
      <alignment horizontal="center"/>
    </xf>
    <xf numFmtId="0" fontId="92" fillId="0" borderId="17" xfId="18" applyFont="1" applyBorder="1" applyAlignment="1">
      <alignment horizontal="center"/>
    </xf>
    <xf numFmtId="0" fontId="4" fillId="0" borderId="4" xfId="18" applyBorder="1" applyAlignment="1">
      <alignment horizontal="center" vertical="center" textRotation="90" wrapText="1"/>
    </xf>
    <xf numFmtId="0" fontId="4" fillId="0" borderId="0" xfId="18" applyAlignment="1">
      <alignment horizontal="center" vertical="center" textRotation="90" wrapText="1"/>
    </xf>
    <xf numFmtId="168" fontId="19" fillId="0" borderId="57" xfId="18" applyNumberFormat="1" applyFont="1" applyBorder="1" applyAlignment="1">
      <alignment horizontal="center"/>
    </xf>
    <xf numFmtId="0" fontId="4" fillId="0" borderId="76" xfId="16" applyBorder="1" applyProtection="1">
      <protection locked="0"/>
    </xf>
    <xf numFmtId="0" fontId="4" fillId="0" borderId="14" xfId="16" applyBorder="1" applyProtection="1">
      <protection locked="0"/>
    </xf>
    <xf numFmtId="0" fontId="19" fillId="0" borderId="14" xfId="18" applyFont="1" applyBorder="1" applyAlignment="1">
      <alignment horizontal="center"/>
    </xf>
    <xf numFmtId="168" fontId="19" fillId="0" borderId="1" xfId="18" applyNumberFormat="1" applyFont="1" applyBorder="1" applyAlignment="1">
      <alignment horizontal="center"/>
    </xf>
    <xf numFmtId="168" fontId="19" fillId="0" borderId="49" xfId="18" applyNumberFormat="1" applyFont="1" applyBorder="1" applyAlignment="1">
      <alignment horizontal="center"/>
    </xf>
    <xf numFmtId="168" fontId="19" fillId="0" borderId="50" xfId="18" applyNumberFormat="1" applyFont="1" applyBorder="1" applyAlignment="1">
      <alignment horizontal="center"/>
    </xf>
    <xf numFmtId="168" fontId="19" fillId="0" borderId="51" xfId="18" applyNumberFormat="1" applyFont="1" applyBorder="1" applyAlignment="1">
      <alignment horizontal="center"/>
    </xf>
    <xf numFmtId="168" fontId="19" fillId="0" borderId="53" xfId="18" applyNumberFormat="1" applyFont="1" applyBorder="1" applyAlignment="1">
      <alignment horizontal="center"/>
    </xf>
    <xf numFmtId="168" fontId="19" fillId="0" borderId="54" xfId="18" applyNumberFormat="1" applyFont="1" applyBorder="1" applyAlignment="1">
      <alignment horizontal="center"/>
    </xf>
    <xf numFmtId="0" fontId="92" fillId="0" borderId="7" xfId="18" applyFont="1" applyBorder="1" applyAlignment="1">
      <alignment horizontal="center"/>
    </xf>
    <xf numFmtId="0" fontId="92" fillId="0" borderId="6" xfId="18" applyFont="1" applyBorder="1" applyAlignment="1">
      <alignment horizontal="center"/>
    </xf>
    <xf numFmtId="0" fontId="4" fillId="0" borderId="56" xfId="16" applyBorder="1" applyProtection="1">
      <protection locked="0"/>
    </xf>
    <xf numFmtId="0" fontId="4" fillId="0" borderId="59" xfId="16" applyBorder="1" applyProtection="1">
      <protection locked="0"/>
    </xf>
    <xf numFmtId="0" fontId="4" fillId="0" borderId="52" xfId="16" applyBorder="1" applyProtection="1">
      <protection locked="0"/>
    </xf>
    <xf numFmtId="174" fontId="19" fillId="7" borderId="49" xfId="18" applyNumberFormat="1" applyFont="1" applyFill="1" applyBorder="1" applyAlignment="1">
      <alignment horizontal="center"/>
    </xf>
    <xf numFmtId="174" fontId="19" fillId="7" borderId="1" xfId="18" applyNumberFormat="1" applyFont="1" applyFill="1" applyBorder="1" applyAlignment="1">
      <alignment horizontal="center"/>
    </xf>
    <xf numFmtId="174" fontId="19" fillId="7" borderId="53" xfId="18" applyNumberFormat="1" applyFont="1" applyFill="1" applyBorder="1" applyAlignment="1">
      <alignment horizontal="center"/>
    </xf>
    <xf numFmtId="174" fontId="19" fillId="7" borderId="59" xfId="18" applyNumberFormat="1" applyFont="1" applyFill="1" applyBorder="1" applyAlignment="1">
      <alignment horizontal="center"/>
    </xf>
    <xf numFmtId="174" fontId="19" fillId="7" borderId="56" xfId="18" applyNumberFormat="1" applyFont="1" applyFill="1" applyBorder="1" applyAlignment="1">
      <alignment horizontal="center"/>
    </xf>
    <xf numFmtId="174" fontId="19" fillId="7" borderId="52" xfId="18" applyNumberFormat="1" applyFont="1" applyFill="1" applyBorder="1" applyAlignment="1">
      <alignment horizontal="center"/>
    </xf>
    <xf numFmtId="168" fontId="19" fillId="0" borderId="3" xfId="18" applyNumberFormat="1" applyFont="1" applyBorder="1" applyAlignment="1">
      <alignment horizontal="center"/>
    </xf>
    <xf numFmtId="168" fontId="19" fillId="0" borderId="77" xfId="18" applyNumberFormat="1" applyFont="1" applyBorder="1" applyAlignment="1">
      <alignment horizontal="center"/>
    </xf>
    <xf numFmtId="0" fontId="92" fillId="0" borderId="0" xfId="18" applyFont="1" applyAlignment="1">
      <alignment horizontal="center" vertical="center" textRotation="90" wrapText="1"/>
    </xf>
    <xf numFmtId="0" fontId="19" fillId="7" borderId="6" xfId="18" applyFont="1" applyFill="1" applyBorder="1" applyAlignment="1">
      <alignment horizontal="left"/>
    </xf>
    <xf numFmtId="0" fontId="4" fillId="7" borderId="60" xfId="18" applyFill="1" applyBorder="1"/>
    <xf numFmtId="0" fontId="19" fillId="7" borderId="60" xfId="18" applyFont="1" applyFill="1" applyBorder="1" applyAlignment="1">
      <alignment horizontal="left"/>
    </xf>
    <xf numFmtId="0" fontId="92" fillId="0" borderId="7" xfId="18" applyFont="1" applyBorder="1" applyAlignment="1">
      <alignment vertical="center" textRotation="90" wrapText="1"/>
    </xf>
    <xf numFmtId="0" fontId="4" fillId="14" borderId="7" xfId="18" applyFill="1" applyBorder="1"/>
    <xf numFmtId="0" fontId="4" fillId="14" borderId="72" xfId="18" applyFill="1" applyBorder="1"/>
    <xf numFmtId="0" fontId="4" fillId="14" borderId="75" xfId="18" applyFill="1" applyBorder="1"/>
    <xf numFmtId="0" fontId="4" fillId="0" borderId="13" xfId="16" applyBorder="1" applyProtection="1">
      <protection locked="0"/>
    </xf>
    <xf numFmtId="168" fontId="19" fillId="0" borderId="39" xfId="18" applyNumberFormat="1" applyFont="1" applyBorder="1" applyAlignment="1">
      <alignment horizontal="center"/>
    </xf>
    <xf numFmtId="168" fontId="19" fillId="0" borderId="40" xfId="18" applyNumberFormat="1" applyFont="1" applyBorder="1" applyAlignment="1">
      <alignment horizontal="center"/>
    </xf>
    <xf numFmtId="174" fontId="19" fillId="14" borderId="56" xfId="18" applyNumberFormat="1" applyFont="1" applyFill="1" applyBorder="1" applyAlignment="1">
      <alignment horizontal="center"/>
    </xf>
    <xf numFmtId="174" fontId="19" fillId="14" borderId="59" xfId="18" applyNumberFormat="1" applyFont="1" applyFill="1" applyBorder="1" applyAlignment="1">
      <alignment horizontal="center"/>
    </xf>
    <xf numFmtId="174" fontId="19" fillId="14" borderId="52" xfId="18" applyNumberFormat="1" applyFont="1" applyFill="1" applyBorder="1" applyAlignment="1">
      <alignment horizontal="center"/>
    </xf>
    <xf numFmtId="174" fontId="19" fillId="14" borderId="38" xfId="18" applyNumberFormat="1" applyFont="1" applyFill="1" applyBorder="1" applyAlignment="1">
      <alignment horizontal="center"/>
    </xf>
    <xf numFmtId="174" fontId="19" fillId="14" borderId="55" xfId="18" applyNumberFormat="1" applyFont="1" applyFill="1" applyBorder="1" applyAlignment="1">
      <alignment horizontal="center"/>
    </xf>
    <xf numFmtId="0" fontId="0" fillId="0" borderId="47" xfId="0" applyBorder="1" applyAlignment="1">
      <alignment horizontal="center" vertical="center"/>
    </xf>
    <xf numFmtId="0" fontId="0" fillId="0" borderId="45" xfId="0" applyBorder="1"/>
    <xf numFmtId="0" fontId="0" fillId="0" borderId="45" xfId="0" applyBorder="1" applyAlignment="1">
      <alignment horizontal="center" vertical="center"/>
    </xf>
    <xf numFmtId="0" fontId="0" fillId="0" borderId="45" xfId="0" applyBorder="1" applyAlignment="1">
      <alignment horizontal="center"/>
    </xf>
    <xf numFmtId="0" fontId="2" fillId="0" borderId="7" xfId="0" applyFont="1" applyBorder="1"/>
    <xf numFmtId="0" fontId="2" fillId="0" borderId="7" xfId="0" applyFont="1" applyBorder="1" applyAlignment="1">
      <alignment horizontal="center"/>
    </xf>
    <xf numFmtId="0" fontId="21" fillId="0" borderId="1" xfId="1" applyFont="1" applyBorder="1"/>
    <xf numFmtId="0" fontId="21" fillId="0" borderId="1" xfId="1" applyFont="1" applyBorder="1" applyAlignment="1">
      <alignment horizontal="center"/>
    </xf>
    <xf numFmtId="0" fontId="21" fillId="8" borderId="1" xfId="1" applyFont="1" applyFill="1" applyBorder="1" applyAlignment="1">
      <alignment horizontal="center"/>
    </xf>
    <xf numFmtId="0" fontId="3" fillId="4" borderId="1" xfId="1" applyFill="1" applyBorder="1" applyAlignment="1">
      <alignment horizontal="center"/>
    </xf>
    <xf numFmtId="0" fontId="21" fillId="8" borderId="78" xfId="1" applyFont="1" applyFill="1" applyBorder="1" applyAlignment="1">
      <alignment horizontal="center"/>
    </xf>
    <xf numFmtId="0" fontId="3" fillId="4" borderId="11" xfId="1" applyFill="1" applyBorder="1" applyAlignment="1">
      <alignment horizontal="center"/>
    </xf>
    <xf numFmtId="0" fontId="21" fillId="4" borderId="11" xfId="1" applyFont="1" applyFill="1" applyBorder="1" applyAlignment="1">
      <alignment horizontal="center"/>
    </xf>
    <xf numFmtId="0" fontId="33" fillId="4" borderId="1" xfId="0" applyFont="1" applyFill="1" applyBorder="1" applyAlignment="1">
      <alignment horizontal="center"/>
    </xf>
    <xf numFmtId="0" fontId="4" fillId="4" borderId="1" xfId="9" applyFill="1" applyBorder="1" applyAlignment="1">
      <alignment horizontal="center"/>
    </xf>
    <xf numFmtId="14" fontId="4" fillId="4" borderId="1" xfId="9" applyNumberFormat="1" applyFill="1" applyBorder="1" applyAlignment="1">
      <alignment horizontal="center"/>
    </xf>
    <xf numFmtId="0" fontId="4" fillId="4" borderId="1" xfId="9" applyFill="1" applyBorder="1"/>
    <xf numFmtId="0" fontId="34" fillId="0" borderId="0" xfId="0" applyFont="1"/>
    <xf numFmtId="0" fontId="2" fillId="4" borderId="46" xfId="0" applyFont="1" applyFill="1" applyBorder="1"/>
    <xf numFmtId="0" fontId="0" fillId="4" borderId="46" xfId="0" applyFill="1" applyBorder="1" applyAlignment="1">
      <alignment horizontal="center" vertical="center"/>
    </xf>
    <xf numFmtId="0" fontId="0" fillId="4" borderId="46" xfId="0" applyFill="1" applyBorder="1" applyAlignment="1">
      <alignment horizontal="center"/>
    </xf>
    <xf numFmtId="0" fontId="2" fillId="4" borderId="47" xfId="0" applyFont="1" applyFill="1" applyBorder="1"/>
    <xf numFmtId="0" fontId="0" fillId="4" borderId="47" xfId="0" applyFill="1" applyBorder="1" applyAlignment="1">
      <alignment horizontal="center" vertical="center"/>
    </xf>
    <xf numFmtId="0" fontId="0" fillId="4" borderId="47" xfId="0" applyFill="1" applyBorder="1" applyAlignment="1">
      <alignment horizontal="center"/>
    </xf>
    <xf numFmtId="0" fontId="2" fillId="0" borderId="43" xfId="0" applyFont="1" applyBorder="1" applyAlignment="1">
      <alignment horizontal="center"/>
    </xf>
    <xf numFmtId="0" fontId="2" fillId="0" borderId="44" xfId="0" applyFont="1" applyBorder="1" applyAlignment="1">
      <alignment horizontal="center"/>
    </xf>
    <xf numFmtId="0" fontId="94" fillId="0" borderId="1" xfId="0" applyFont="1" applyBorder="1" applyAlignment="1">
      <alignment horizontal="center"/>
    </xf>
    <xf numFmtId="0" fontId="21" fillId="0" borderId="1" xfId="1" applyFont="1" applyBorder="1" applyAlignment="1">
      <alignment horizontal="center"/>
    </xf>
    <xf numFmtId="0" fontId="21" fillId="8" borderId="1" xfId="1" applyFont="1" applyFill="1" applyBorder="1" applyAlignment="1">
      <alignment horizontal="center"/>
    </xf>
    <xf numFmtId="0" fontId="73" fillId="29" borderId="1" xfId="1" applyFont="1" applyFill="1" applyBorder="1" applyAlignment="1">
      <alignment horizontal="center"/>
    </xf>
    <xf numFmtId="0" fontId="73" fillId="29" borderId="57" xfId="1" applyFont="1" applyFill="1" applyBorder="1" applyAlignment="1">
      <alignment horizontal="center"/>
    </xf>
    <xf numFmtId="0" fontId="73" fillId="29" borderId="15" xfId="1" applyFont="1" applyFill="1" applyBorder="1" applyAlignment="1">
      <alignment horizontal="center"/>
    </xf>
    <xf numFmtId="0" fontId="73" fillId="29" borderId="58" xfId="1" applyFont="1" applyFill="1" applyBorder="1" applyAlignment="1">
      <alignment horizontal="center"/>
    </xf>
    <xf numFmtId="0" fontId="73" fillId="29" borderId="9" xfId="1" applyFont="1" applyFill="1" applyBorder="1" applyAlignment="1">
      <alignment horizontal="center"/>
    </xf>
    <xf numFmtId="0" fontId="17" fillId="0" borderId="3" xfId="1" applyFont="1" applyBorder="1" applyAlignment="1">
      <alignment horizontal="center" wrapText="1"/>
    </xf>
    <xf numFmtId="0" fontId="17" fillId="0" borderId="2" xfId="1" applyFont="1" applyBorder="1" applyAlignment="1">
      <alignment horizontal="center" wrapText="1"/>
    </xf>
    <xf numFmtId="0" fontId="17" fillId="0" borderId="1" xfId="1" applyFont="1" applyBorder="1" applyAlignment="1">
      <alignment horizontal="center"/>
    </xf>
    <xf numFmtId="0" fontId="17" fillId="0" borderId="1" xfId="1" applyFont="1" applyBorder="1" applyAlignment="1">
      <alignment horizontal="center" wrapText="1"/>
    </xf>
    <xf numFmtId="0" fontId="73" fillId="29" borderId="11" xfId="1" applyFont="1" applyFill="1" applyBorder="1" applyAlignment="1">
      <alignment horizontal="center"/>
    </xf>
    <xf numFmtId="0" fontId="70" fillId="0" borderId="1" xfId="20" applyFont="1" applyBorder="1" applyAlignment="1">
      <alignment horizontal="center" vertical="center"/>
    </xf>
    <xf numFmtId="0" fontId="71" fillId="18" borderId="0" xfId="20" applyFont="1" applyFill="1" applyAlignment="1">
      <alignment horizontal="center" vertical="center"/>
    </xf>
    <xf numFmtId="0" fontId="3" fillId="0" borderId="11" xfId="1" applyBorder="1" applyAlignment="1">
      <alignment horizontal="center" vertical="top" wrapText="1"/>
    </xf>
    <xf numFmtId="0" fontId="3" fillId="0" borderId="15" xfId="1" applyBorder="1" applyAlignment="1">
      <alignment horizontal="center" vertical="top" wrapText="1"/>
    </xf>
    <xf numFmtId="0" fontId="3" fillId="0" borderId="9" xfId="1" applyBorder="1" applyAlignment="1">
      <alignment horizontal="center" vertical="top" wrapText="1"/>
    </xf>
    <xf numFmtId="0" fontId="3" fillId="0" borderId="1" xfId="1" applyBorder="1" applyAlignment="1">
      <alignment horizontal="center" vertical="center" wrapText="1"/>
    </xf>
    <xf numFmtId="0" fontId="5" fillId="0" borderId="12" xfId="24" applyFont="1" applyBorder="1" applyAlignment="1">
      <alignment horizontal="left"/>
    </xf>
    <xf numFmtId="0" fontId="5" fillId="0" borderId="4" xfId="24" applyFont="1" applyBorder="1" applyAlignment="1">
      <alignment horizontal="left"/>
    </xf>
    <xf numFmtId="0" fontId="5" fillId="0" borderId="5" xfId="24" applyFont="1" applyBorder="1" applyAlignment="1">
      <alignment horizontal="left"/>
    </xf>
    <xf numFmtId="0" fontId="7" fillId="0" borderId="12" xfId="8" applyFill="1" applyBorder="1" applyAlignment="1" applyProtection="1">
      <alignment horizontal="left" vertical="center" wrapText="1"/>
    </xf>
    <xf numFmtId="0" fontId="7" fillId="0" borderId="4" xfId="8" applyFill="1" applyBorder="1" applyAlignment="1" applyProtection="1">
      <alignment horizontal="left" vertical="center" wrapText="1"/>
    </xf>
    <xf numFmtId="0" fontId="7" fillId="0" borderId="13" xfId="8" applyFill="1" applyBorder="1" applyAlignment="1" applyProtection="1">
      <alignment horizontal="left" vertical="center" wrapText="1"/>
    </xf>
    <xf numFmtId="0" fontId="7" fillId="0" borderId="14" xfId="8" applyFill="1" applyBorder="1" applyAlignment="1" applyProtection="1">
      <alignment horizontal="left" vertical="center" wrapText="1"/>
    </xf>
    <xf numFmtId="0" fontId="93" fillId="0" borderId="12" xfId="18" applyFont="1" applyBorder="1" applyAlignment="1">
      <alignment horizontal="center" vertical="center" wrapText="1"/>
    </xf>
    <xf numFmtId="0" fontId="4" fillId="0" borderId="4" xfId="18" applyBorder="1"/>
    <xf numFmtId="0" fontId="4" fillId="0" borderId="6" xfId="18" applyBorder="1"/>
    <xf numFmtId="0" fontId="4" fillId="0" borderId="13" xfId="18" applyBorder="1"/>
    <xf numFmtId="0" fontId="4" fillId="0" borderId="14" xfId="18" applyBorder="1"/>
    <xf numFmtId="0" fontId="4" fillId="0" borderId="8" xfId="18" applyBorder="1"/>
    <xf numFmtId="0" fontId="92" fillId="0" borderId="7" xfId="18" applyFont="1" applyBorder="1" applyAlignment="1">
      <alignment horizontal="center" vertical="center" textRotation="90" wrapText="1"/>
    </xf>
    <xf numFmtId="0" fontId="4" fillId="0" borderId="72" xfId="18" applyBorder="1" applyAlignment="1">
      <alignment horizontal="center" vertical="center" wrapText="1"/>
    </xf>
    <xf numFmtId="0" fontId="4" fillId="0" borderId="75" xfId="18" applyBorder="1" applyAlignment="1">
      <alignment horizontal="center" vertical="center" wrapText="1"/>
    </xf>
    <xf numFmtId="0" fontId="19" fillId="0" borderId="72" xfId="14" applyBorder="1" applyAlignment="1">
      <alignment horizontal="center" vertical="center" wrapText="1"/>
    </xf>
    <xf numFmtId="0" fontId="19" fillId="0" borderId="75" xfId="14" applyBorder="1" applyAlignment="1">
      <alignment horizontal="center" vertical="center" wrapText="1"/>
    </xf>
    <xf numFmtId="0" fontId="92" fillId="0" borderId="72" xfId="18" applyFont="1" applyBorder="1" applyAlignment="1">
      <alignment horizontal="center" vertical="center" textRotation="90" wrapText="1"/>
    </xf>
    <xf numFmtId="0" fontId="92" fillId="0" borderId="75" xfId="18" applyFont="1" applyBorder="1" applyAlignment="1">
      <alignment horizontal="center" vertical="center" textRotation="90" wrapText="1"/>
    </xf>
    <xf numFmtId="0" fontId="5" fillId="7" borderId="23" xfId="18" applyFont="1" applyFill="1" applyBorder="1" applyAlignment="1">
      <alignment horizontal="center" vertical="center" wrapText="1"/>
    </xf>
    <xf numFmtId="0" fontId="5" fillId="7" borderId="22" xfId="18" applyFont="1" applyFill="1" applyBorder="1" applyAlignment="1">
      <alignment horizontal="center" vertical="center" wrapText="1"/>
    </xf>
    <xf numFmtId="0" fontId="5" fillId="14" borderId="22" xfId="18" applyFont="1" applyFill="1" applyBorder="1" applyAlignment="1">
      <alignment horizontal="center" vertical="center" wrapText="1"/>
    </xf>
    <xf numFmtId="0" fontId="5" fillId="14" borderId="26" xfId="18" applyFont="1" applyFill="1" applyBorder="1" applyAlignment="1">
      <alignment horizontal="center" vertical="center" wrapText="1"/>
    </xf>
    <xf numFmtId="0" fontId="4" fillId="0" borderId="0" xfId="18" applyAlignment="1">
      <alignment wrapText="1"/>
    </xf>
    <xf numFmtId="0" fontId="19" fillId="0" borderId="0" xfId="14" applyAlignment="1">
      <alignment wrapText="1"/>
    </xf>
    <xf numFmtId="0" fontId="4" fillId="22" borderId="0" xfId="25" applyFill="1" applyAlignment="1">
      <alignment horizontal="center"/>
    </xf>
    <xf numFmtId="0" fontId="4" fillId="0" borderId="11" xfId="25" applyBorder="1" applyAlignment="1">
      <alignment horizontal="center"/>
    </xf>
    <xf numFmtId="0" fontId="4" fillId="0" borderId="15" xfId="25" applyBorder="1" applyAlignment="1">
      <alignment horizontal="center"/>
    </xf>
    <xf numFmtId="0" fontId="4" fillId="0" borderId="9" xfId="25" applyBorder="1" applyAlignment="1">
      <alignment horizontal="center"/>
    </xf>
    <xf numFmtId="0" fontId="5" fillId="0" borderId="16" xfId="24" applyFont="1" applyBorder="1" applyAlignment="1">
      <alignment horizontal="left"/>
    </xf>
    <xf numFmtId="0" fontId="5" fillId="0" borderId="17" xfId="24" applyFont="1" applyBorder="1" applyAlignment="1">
      <alignment horizontal="left"/>
    </xf>
    <xf numFmtId="0" fontId="5" fillId="0" borderId="18" xfId="24" applyFont="1" applyBorder="1" applyAlignment="1">
      <alignment horizontal="left"/>
    </xf>
    <xf numFmtId="0" fontId="7" fillId="0" borderId="6" xfId="8" applyFill="1" applyBorder="1" applyAlignment="1" applyProtection="1">
      <alignment horizontal="left" vertical="center" wrapText="1"/>
    </xf>
    <xf numFmtId="0" fontId="7" fillId="0" borderId="8" xfId="8" applyFill="1" applyBorder="1" applyAlignment="1" applyProtection="1">
      <alignment horizontal="left" vertical="center" wrapText="1"/>
    </xf>
    <xf numFmtId="165" fontId="5" fillId="0" borderId="16" xfId="24" applyNumberFormat="1" applyFont="1" applyBorder="1" applyAlignment="1">
      <alignment horizontal="left"/>
    </xf>
    <xf numFmtId="165" fontId="5" fillId="0" borderId="17" xfId="24" applyNumberFormat="1" applyFont="1" applyBorder="1" applyAlignment="1">
      <alignment horizontal="left"/>
    </xf>
    <xf numFmtId="165" fontId="5" fillId="0" borderId="18" xfId="24" applyNumberFormat="1" applyFont="1" applyBorder="1" applyAlignment="1">
      <alignment horizontal="left"/>
    </xf>
    <xf numFmtId="0" fontId="5" fillId="0" borderId="16" xfId="24" applyFont="1" applyBorder="1" applyAlignment="1">
      <alignment horizontal="left" wrapText="1"/>
    </xf>
  </cellXfs>
  <cellStyles count="73">
    <cellStyle name="20% - Accent1 2" xfId="2" xr:uid="{19F6EB91-F1CA-4E60-8697-5EB0E0F64D21}"/>
    <cellStyle name="20% - Accent1 3" xfId="28" xr:uid="{20A93C30-725E-4982-B0EB-8289ACB60056}"/>
    <cellStyle name="20% - Accent2 2" xfId="29" xr:uid="{3DE9619D-0E1F-4C17-93C0-CA8CABEAB0CB}"/>
    <cellStyle name="20% - Accent3 2" xfId="30" xr:uid="{3EDB9189-8104-46A6-B36F-738575506C4B}"/>
    <cellStyle name="20% - Accent4 2" xfId="31" xr:uid="{D1DA8B00-B1FC-43C3-A5EC-513D45170C2E}"/>
    <cellStyle name="20% - Accent5 2" xfId="32" xr:uid="{6F3D1726-D22B-424E-87C0-CC5C869CCB03}"/>
    <cellStyle name="20% - Accent6 2" xfId="33" xr:uid="{C6E588FE-059C-4D25-AE00-CC44B4330E91}"/>
    <cellStyle name="40% - Accent1 2" xfId="3" xr:uid="{3696D882-3EA2-4D64-8FD0-D556493B007D}"/>
    <cellStyle name="40% - Accent1 3" xfId="34" xr:uid="{B87D0A14-DA6B-4B5A-8D4A-5A4413074C7B}"/>
    <cellStyle name="40% - Accent2 2" xfId="35" xr:uid="{E5DEF566-898A-4635-89B9-6C7FE1C3F0A3}"/>
    <cellStyle name="40% - Accent3 2" xfId="36" xr:uid="{C65FDFD5-15BC-40B9-ABDB-0DCF75FA752B}"/>
    <cellStyle name="40% - Accent4 2" xfId="37" xr:uid="{4D16998D-2EAE-41C5-8139-489C41B1AEED}"/>
    <cellStyle name="40% - Accent5 2" xfId="38" xr:uid="{1C778EEB-A087-4873-B653-E48D8C6D4A57}"/>
    <cellStyle name="40% - Accent6 2" xfId="39" xr:uid="{6B7C92D2-DCB3-4ED9-9FDF-D77A3606D8CF}"/>
    <cellStyle name="60% - Accent1 2" xfId="40" xr:uid="{564B91C3-7261-4DD2-B375-A65CD63C8940}"/>
    <cellStyle name="60% - Accent2 2" xfId="41" xr:uid="{02867C29-A3DF-4DEF-A087-B80713DAF688}"/>
    <cellStyle name="60% - Accent3 2" xfId="42" xr:uid="{F8F1548B-23C6-49FD-84D9-3E1C76B95D7B}"/>
    <cellStyle name="60% - Accent4 2" xfId="43" xr:uid="{D00C569A-FB1E-4EE1-A271-97F32731A365}"/>
    <cellStyle name="60% - Accent5 2" xfId="44" xr:uid="{678F8FB2-A0E3-4BDB-9597-643F44D02518}"/>
    <cellStyle name="60% - Accent6 2" xfId="45" xr:uid="{7FFADCAA-9647-43B3-AB67-AADC3B021DE7}"/>
    <cellStyle name="Accent1 2" xfId="46" xr:uid="{88536361-3E50-4705-823F-EFC56C94EA97}"/>
    <cellStyle name="Accent2 2" xfId="47" xr:uid="{8E397DF0-49F7-4D0D-9650-2686E7496305}"/>
    <cellStyle name="Accent3 2" xfId="48" xr:uid="{788F111B-DD96-4F77-9812-135D8BF4E432}"/>
    <cellStyle name="Accent4 2" xfId="49" xr:uid="{933C163A-FDB3-4876-A387-2A2C7612ECDD}"/>
    <cellStyle name="Accent5 2" xfId="50" xr:uid="{79FE31E1-50AA-41DA-AB79-C76A7EF0AC6B}"/>
    <cellStyle name="Accent6 2" xfId="51" xr:uid="{A78606A6-F3C4-4D48-B5F6-8B8396144F31}"/>
    <cellStyle name="Bad 2" xfId="52" xr:uid="{0EAE162D-8C1F-4CE8-AAF7-BFC3CAEC8EEF}"/>
    <cellStyle name="Calculation 2" xfId="53" xr:uid="{866AD9EB-B583-4A62-A955-47C27B072B12}"/>
    <cellStyle name="Check Cell 2" xfId="54" xr:uid="{E4B42866-CB54-4EC1-A030-74517A1498DC}"/>
    <cellStyle name="Comma" xfId="27" builtinId="3"/>
    <cellStyle name="Comma 2" xfId="4" xr:uid="{1E1F1FDF-AA74-4C3F-B9FC-D53CF3B9E697}"/>
    <cellStyle name="Comma 2 2" xfId="5" xr:uid="{F85CC027-CD6E-4F72-82CC-26EA9DEE8D9F}"/>
    <cellStyle name="Comma 3" xfId="6" xr:uid="{C781F887-4B6A-48A3-8E3B-676623C10B90}"/>
    <cellStyle name="Comma 3 2" xfId="7" xr:uid="{F7F2B42A-8A66-4548-999A-14B54C777198}"/>
    <cellStyle name="Explanatory Text 2" xfId="55" xr:uid="{B5C503F8-1FC4-474D-A266-39DFB951C5FB}"/>
    <cellStyle name="Good 2" xfId="56" xr:uid="{2044A091-25F8-4BAF-8549-2609D335F527}"/>
    <cellStyle name="Heading 1 2" xfId="57" xr:uid="{E2D1BF45-32FD-4E42-9A32-5BA9417800D9}"/>
    <cellStyle name="Heading 2 2" xfId="58" xr:uid="{8D1A8B3C-D73B-4381-BC1D-7A7BD98C2F1C}"/>
    <cellStyle name="Heading 3 2" xfId="59" xr:uid="{FEDE1176-75A0-42A2-82A3-25C1ADB90347}"/>
    <cellStyle name="Heading 4 2" xfId="60" xr:uid="{318F0D8A-807E-4572-8EEC-10561EF8F9A7}"/>
    <cellStyle name="Hyperlink 2" xfId="8" xr:uid="{49C3E526-FDAA-4930-9CEA-D6DFEC039B9D}"/>
    <cellStyle name="Hyperlink 3" xfId="61" xr:uid="{60997745-0ECC-4FF5-8D8B-DD7D63850179}"/>
    <cellStyle name="Input 2" xfId="62" xr:uid="{AD47A379-6FE5-430C-A50B-D443A5CE9EB5}"/>
    <cellStyle name="Linked Cell 2" xfId="63" xr:uid="{224C3ED8-056C-4B8B-93E4-3C1F955C829B}"/>
    <cellStyle name="Neutral 2" xfId="64" xr:uid="{C5EB6C6B-CD05-45C5-ABA6-741B4BFEEAB9}"/>
    <cellStyle name="Normal" xfId="0" builtinId="0"/>
    <cellStyle name="Normal 10" xfId="25" xr:uid="{A51FD576-1EF9-4562-BA7C-65084260128A}"/>
    <cellStyle name="Normal 2" xfId="9" xr:uid="{CA52626A-1D54-42DB-AEB4-6D580598291D}"/>
    <cellStyle name="Normal 2 2" xfId="10" xr:uid="{94D2D00C-24F8-4E27-A4D8-17FFAC948D50}"/>
    <cellStyle name="Normal 2 3" xfId="11" xr:uid="{C30A1C6D-7B33-453D-B76B-528430E12ACA}"/>
    <cellStyle name="Normal 2 4" xfId="12" xr:uid="{65085483-208E-4D9A-8726-158B787D34C2}"/>
    <cellStyle name="Normal 2 5" xfId="13" xr:uid="{7B81CC96-4B8A-4C9C-B658-859AA0ABCEE6}"/>
    <cellStyle name="Normal 2 6" xfId="14" xr:uid="{77EFC685-AAF2-45C9-9AB9-F29F6D70755E}"/>
    <cellStyle name="Normal 2 7" xfId="15" xr:uid="{FAAC7757-6AF6-43D4-AA06-6849DEF1E857}"/>
    <cellStyle name="Normal 3" xfId="16" xr:uid="{D2112DC0-CF5C-4406-B417-C3BCDFE00E83}"/>
    <cellStyle name="Normal 3 2" xfId="17" xr:uid="{B084EC07-9F47-4930-AABD-406D8E66F6D7}"/>
    <cellStyle name="Normal 4" xfId="18" xr:uid="{1D7B9529-357C-4984-9F4E-7F4A8822BCAE}"/>
    <cellStyle name="Normal 4 2" xfId="19" xr:uid="{0A14EFB7-AB69-43BD-B645-6C27CC8F3CA4}"/>
    <cellStyle name="Normal 4 2 2" xfId="65" xr:uid="{6303C6B4-973D-41B5-9AEA-7D0A3B405AA8}"/>
    <cellStyle name="Normal 5" xfId="20" xr:uid="{78BDD80F-691A-4CCD-90AC-4DA27B8DA7DF}"/>
    <cellStyle name="Normal 5 2" xfId="66" xr:uid="{584FA242-9AC8-482B-933D-B7294CB7D6A7}"/>
    <cellStyle name="Normal 6" xfId="21" xr:uid="{5318380B-E3EA-433F-AD56-82D80E4376C3}"/>
    <cellStyle name="Normal 6 2" xfId="67" xr:uid="{FB9146C5-7993-4A77-A378-793D15D8E6DF}"/>
    <cellStyle name="Normal 7" xfId="22" xr:uid="{D0E63853-DCD1-45F3-9AE1-9AFD0BACEEBC}"/>
    <cellStyle name="Normal 8" xfId="23" xr:uid="{FCD0E46B-5256-49D0-935D-4198E834B00E}"/>
    <cellStyle name="Normal 9" xfId="1" xr:uid="{C3900208-9263-490F-BC66-6D7DF16FEFD8}"/>
    <cellStyle name="Normal_138-001-001" xfId="26" xr:uid="{5B2FDB42-9800-4913-A48E-0B68A0D438C9}"/>
    <cellStyle name="Normal_EDITINDXlinked" xfId="24" xr:uid="{29B51159-F6B0-49D8-B9C6-44731E98C936}"/>
    <cellStyle name="Note 2" xfId="68" xr:uid="{D83744A9-B76E-48F1-9291-43877743DA89}"/>
    <cellStyle name="Output 2" xfId="69" xr:uid="{F0F57665-9958-4D10-9E9E-85F643476852}"/>
    <cellStyle name="Title 2" xfId="70" xr:uid="{2B4B975C-BF2D-46F0-8014-B80A29F65AD6}"/>
    <cellStyle name="Total 2" xfId="71" xr:uid="{16129F79-E051-4A2F-AF19-2235BFEE01C3}"/>
    <cellStyle name="Warning Text 2" xfId="72" xr:uid="{7A53605F-05CF-4D6F-B769-DE5103BC718E}"/>
  </cellStyles>
  <dxfs count="6">
    <dxf>
      <font>
        <color rgb="FF9C0006"/>
      </font>
      <fill>
        <patternFill>
          <bgColor rgb="FFFFC7CE"/>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7"/>
        </patternFill>
      </fill>
    </dxf>
  </dxfs>
  <tableStyles count="0" defaultTableStyle="TableStyleMedium2" defaultPivotStyle="PivotStyleLight16"/>
  <colors>
    <mruColors>
      <color rgb="FFFFFF99"/>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11</xdr:col>
      <xdr:colOff>121920</xdr:colOff>
      <xdr:row>32</xdr:row>
      <xdr:rowOff>53340</xdr:rowOff>
    </xdr:from>
    <xdr:to>
      <xdr:col>16</xdr:col>
      <xdr:colOff>83820</xdr:colOff>
      <xdr:row>39</xdr:row>
      <xdr:rowOff>91440</xdr:rowOff>
    </xdr:to>
    <xdr:grpSp>
      <xdr:nvGrpSpPr>
        <xdr:cNvPr id="2" name="Group 29">
          <a:extLst>
            <a:ext uri="{FF2B5EF4-FFF2-40B4-BE49-F238E27FC236}">
              <a16:creationId xmlns:a16="http://schemas.microsoft.com/office/drawing/2014/main" id="{81214EB1-D168-4F55-8C92-A7B7710B5A7B}"/>
            </a:ext>
          </a:extLst>
        </xdr:cNvPr>
        <xdr:cNvGrpSpPr>
          <a:grpSpLocks/>
        </xdr:cNvGrpSpPr>
      </xdr:nvGrpSpPr>
      <xdr:grpSpPr bwMode="auto">
        <a:xfrm>
          <a:off x="5274945" y="6568440"/>
          <a:ext cx="2695575" cy="1304925"/>
          <a:chOff x="6273800" y="5196882"/>
          <a:chExt cx="2396671" cy="1324191"/>
        </a:xfrm>
      </xdr:grpSpPr>
      <xdr:pic>
        <xdr:nvPicPr>
          <xdr:cNvPr id="3" name="Picture 1">
            <a:extLst>
              <a:ext uri="{FF2B5EF4-FFF2-40B4-BE49-F238E27FC236}">
                <a16:creationId xmlns:a16="http://schemas.microsoft.com/office/drawing/2014/main" id="{2D6B154B-1A45-E1F3-75E9-E1695E8D67B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73900" y="5196882"/>
            <a:ext cx="1596571" cy="13241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xnSp macro="">
        <xdr:nvCxnSpPr>
          <xdr:cNvPr id="4" name="Straight Connector 3">
            <a:extLst>
              <a:ext uri="{FF2B5EF4-FFF2-40B4-BE49-F238E27FC236}">
                <a16:creationId xmlns:a16="http://schemas.microsoft.com/office/drawing/2014/main" id="{8CA97E94-14D4-0D6A-9B28-EE2000BC1BF3}"/>
              </a:ext>
            </a:extLst>
          </xdr:cNvPr>
          <xdr:cNvCxnSpPr/>
        </xdr:nvCxnSpPr>
        <xdr:spPr>
          <a:xfrm flipH="1">
            <a:off x="6531070" y="5548979"/>
            <a:ext cx="541621"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5" name="Straight Connector 4">
            <a:extLst>
              <a:ext uri="{FF2B5EF4-FFF2-40B4-BE49-F238E27FC236}">
                <a16:creationId xmlns:a16="http://schemas.microsoft.com/office/drawing/2014/main" id="{380B814A-9C29-1373-A4AF-5BE00DF3E2EB}"/>
              </a:ext>
            </a:extLst>
          </xdr:cNvPr>
          <xdr:cNvCxnSpPr/>
        </xdr:nvCxnSpPr>
        <xdr:spPr>
          <a:xfrm flipH="1">
            <a:off x="6531070" y="6413913"/>
            <a:ext cx="1069701" cy="15309"/>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6" name="Straight Connector 5">
            <a:extLst>
              <a:ext uri="{FF2B5EF4-FFF2-40B4-BE49-F238E27FC236}">
                <a16:creationId xmlns:a16="http://schemas.microsoft.com/office/drawing/2014/main" id="{FDA88038-AE5E-3635-9346-8F7B83BA5C02}"/>
              </a:ext>
            </a:extLst>
          </xdr:cNvPr>
          <xdr:cNvCxnSpPr/>
        </xdr:nvCxnSpPr>
        <xdr:spPr>
          <a:xfrm flipH="1">
            <a:off x="7072690" y="6283790"/>
            <a:ext cx="27081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7" name="Straight Arrow Connector 6">
            <a:extLst>
              <a:ext uri="{FF2B5EF4-FFF2-40B4-BE49-F238E27FC236}">
                <a16:creationId xmlns:a16="http://schemas.microsoft.com/office/drawing/2014/main" id="{D2E2D286-6B08-9757-844A-F5927D09EAC7}"/>
              </a:ext>
            </a:extLst>
          </xdr:cNvPr>
          <xdr:cNvCxnSpPr/>
        </xdr:nvCxnSpPr>
        <xdr:spPr>
          <a:xfrm>
            <a:off x="6531070" y="5548979"/>
            <a:ext cx="0" cy="880243"/>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 name="Straight Arrow Connector 7">
            <a:extLst>
              <a:ext uri="{FF2B5EF4-FFF2-40B4-BE49-F238E27FC236}">
                <a16:creationId xmlns:a16="http://schemas.microsoft.com/office/drawing/2014/main" id="{753D866A-D8A3-B71D-46BC-DC974271A1BC}"/>
              </a:ext>
            </a:extLst>
          </xdr:cNvPr>
          <xdr:cNvCxnSpPr/>
        </xdr:nvCxnSpPr>
        <xdr:spPr>
          <a:xfrm>
            <a:off x="7343501" y="5579596"/>
            <a:ext cx="0" cy="69654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extBox 8">
            <a:extLst>
              <a:ext uri="{FF2B5EF4-FFF2-40B4-BE49-F238E27FC236}">
                <a16:creationId xmlns:a16="http://schemas.microsoft.com/office/drawing/2014/main" id="{A224502C-C33E-C7B6-DC04-BBA4F832215D}"/>
              </a:ext>
            </a:extLst>
          </xdr:cNvPr>
          <xdr:cNvSpPr txBox="1"/>
        </xdr:nvSpPr>
        <xdr:spPr>
          <a:xfrm>
            <a:off x="7072690" y="5801570"/>
            <a:ext cx="270810" cy="244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a:t>
            </a:r>
          </a:p>
        </xdr:txBody>
      </xdr:sp>
      <xdr:sp macro="" textlink="">
        <xdr:nvSpPr>
          <xdr:cNvPr id="10" name="TextBox 9">
            <a:extLst>
              <a:ext uri="{FF2B5EF4-FFF2-40B4-BE49-F238E27FC236}">
                <a16:creationId xmlns:a16="http://schemas.microsoft.com/office/drawing/2014/main" id="{247143C0-9ACF-9911-2FA5-C42E7A3798D7}"/>
              </a:ext>
            </a:extLst>
          </xdr:cNvPr>
          <xdr:cNvSpPr txBox="1"/>
        </xdr:nvSpPr>
        <xdr:spPr>
          <a:xfrm>
            <a:off x="6273800" y="5809225"/>
            <a:ext cx="534850" cy="237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2.5"</a:t>
            </a:r>
          </a:p>
        </xdr:txBody>
      </xdr:sp>
      <xdr:cxnSp macro="">
        <xdr:nvCxnSpPr>
          <xdr:cNvPr id="11" name="Straight Arrow Connector 10">
            <a:extLst>
              <a:ext uri="{FF2B5EF4-FFF2-40B4-BE49-F238E27FC236}">
                <a16:creationId xmlns:a16="http://schemas.microsoft.com/office/drawing/2014/main" id="{C198A838-8E7A-5631-AAEE-16106626E0BE}"/>
              </a:ext>
            </a:extLst>
          </xdr:cNvPr>
          <xdr:cNvCxnSpPr/>
        </xdr:nvCxnSpPr>
        <xdr:spPr>
          <a:xfrm>
            <a:off x="7072690" y="5602559"/>
            <a:ext cx="0" cy="826663"/>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2" name="TextBox 11">
            <a:extLst>
              <a:ext uri="{FF2B5EF4-FFF2-40B4-BE49-F238E27FC236}">
                <a16:creationId xmlns:a16="http://schemas.microsoft.com/office/drawing/2014/main" id="{C288A79A-DBAB-8A0D-42AD-392DC1E0FCBC}"/>
              </a:ext>
            </a:extLst>
          </xdr:cNvPr>
          <xdr:cNvSpPr txBox="1"/>
        </xdr:nvSpPr>
        <xdr:spPr>
          <a:xfrm>
            <a:off x="6531070" y="6023545"/>
            <a:ext cx="541621" cy="229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2.38"</a:t>
            </a:r>
          </a:p>
        </xdr:txBody>
      </xdr:sp>
      <xdr:cxnSp macro="">
        <xdr:nvCxnSpPr>
          <xdr:cNvPr id="13" name="Straight Connector 12">
            <a:extLst>
              <a:ext uri="{FF2B5EF4-FFF2-40B4-BE49-F238E27FC236}">
                <a16:creationId xmlns:a16="http://schemas.microsoft.com/office/drawing/2014/main" id="{5C9145EA-B27A-3772-58A4-5FCEFF1F4752}"/>
              </a:ext>
            </a:extLst>
          </xdr:cNvPr>
          <xdr:cNvCxnSpPr/>
        </xdr:nvCxnSpPr>
        <xdr:spPr>
          <a:xfrm flipH="1">
            <a:off x="7072690" y="5610213"/>
            <a:ext cx="0" cy="0"/>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194310</xdr:colOff>
      <xdr:row>25</xdr:row>
      <xdr:rowOff>28575</xdr:rowOff>
    </xdr:from>
    <xdr:to>
      <xdr:col>8</xdr:col>
      <xdr:colOff>63675</xdr:colOff>
      <xdr:row>29</xdr:row>
      <xdr:rowOff>146718</xdr:rowOff>
    </xdr:to>
    <xdr:sp macro="" textlink="">
      <xdr:nvSpPr>
        <xdr:cNvPr id="14" name="TextBox 13">
          <a:extLst>
            <a:ext uri="{FF2B5EF4-FFF2-40B4-BE49-F238E27FC236}">
              <a16:creationId xmlns:a16="http://schemas.microsoft.com/office/drawing/2014/main" id="{8E31FBA1-1FA7-4BA2-8568-F8C117EF7AFA}"/>
            </a:ext>
          </a:extLst>
        </xdr:cNvPr>
        <xdr:cNvSpPr txBox="1"/>
      </xdr:nvSpPr>
      <xdr:spPr>
        <a:xfrm>
          <a:off x="194310" y="4867275"/>
          <a:ext cx="3519345" cy="857283"/>
        </a:xfrm>
        <a:prstGeom prst="rect">
          <a:avLst/>
        </a:prstGeom>
        <a:solidFill>
          <a:schemeClr val="accent2">
            <a:lumMod val="20000"/>
            <a:lumOff val="80000"/>
          </a:schemeClr>
        </a:solidFill>
        <a:ln w="28575" cmpd="sng">
          <a:solidFill>
            <a:srgbClr val="0070C0"/>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800" b="1" i="0" u="none" strike="noStrike" kern="0" cap="none" spc="0" normalizeH="0" baseline="0" noProof="0">
              <a:ln>
                <a:noFill/>
              </a:ln>
              <a:solidFill>
                <a:schemeClr val="accent2">
                  <a:lumMod val="75000"/>
                </a:schemeClr>
              </a:solidFill>
              <a:effectLst/>
              <a:uLnTx/>
              <a:uFillTx/>
              <a:latin typeface="Calibri" panose="020F0502020204030204"/>
              <a:ea typeface="+mn-ea"/>
              <a:cs typeface="+mn-cs"/>
            </a:rPr>
            <a:t>Ziehle Abegg (ZA) fans - </a:t>
          </a:r>
          <a:r>
            <a:rPr kumimoji="0" lang="en-US" sz="1800" b="0" i="0" u="none" strike="noStrike" kern="0" cap="none" spc="0" normalizeH="0" baseline="0" noProof="0">
              <a:ln>
                <a:noFill/>
              </a:ln>
              <a:solidFill>
                <a:schemeClr val="accent2">
                  <a:lumMod val="75000"/>
                </a:schemeClr>
              </a:solidFill>
              <a:effectLst/>
              <a:uLnTx/>
              <a:uFillTx/>
              <a:latin typeface="Calibri" panose="020F0502020204030204"/>
              <a:ea typeface="+mn-ea"/>
              <a:cs typeface="+mn-cs"/>
            </a:rPr>
            <a:t>SQ only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chemeClr val="accent2">
                <a:lumMod val="75000"/>
              </a:schemeClr>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1" i="0" u="none" strike="noStrike" kern="0" cap="none" spc="0" normalizeH="0" baseline="0" noProof="0">
              <a:ln>
                <a:noFill/>
              </a:ln>
              <a:solidFill>
                <a:schemeClr val="accent2">
                  <a:lumMod val="75000"/>
                </a:schemeClr>
              </a:solidFill>
              <a:effectLst/>
              <a:uLnTx/>
              <a:uFillTx/>
              <a:latin typeface="Calibri" panose="020F0502020204030204"/>
              <a:ea typeface="+mn-ea"/>
              <a:cs typeface="+mn-cs"/>
            </a:rPr>
            <a:t>FANSIZES</a:t>
          </a:r>
          <a:r>
            <a:rPr kumimoji="0" lang="en-US" sz="1400" b="0" i="0" u="none" strike="noStrike" kern="0" cap="none" spc="0" normalizeH="0" baseline="0" noProof="0">
              <a:ln>
                <a:noFill/>
              </a:ln>
              <a:solidFill>
                <a:schemeClr val="accent2">
                  <a:lumMod val="75000"/>
                </a:schemeClr>
              </a:solidFill>
              <a:effectLst/>
              <a:uLnTx/>
              <a:uFillTx/>
              <a:latin typeface="Calibri" panose="020F0502020204030204"/>
              <a:ea typeface="+mn-ea"/>
              <a:cs typeface="+mn-cs"/>
            </a:rPr>
            <a:t>: 25, 31, 35, 40, 45, 56 &amp; 63</a:t>
          </a:r>
          <a:endParaRPr kumimoji="0" lang="en-US" sz="1800" b="1" i="0" u="none" strike="noStrike" kern="0" cap="none" spc="0" normalizeH="0" baseline="0" noProof="0">
            <a:ln>
              <a:noFill/>
            </a:ln>
            <a:solidFill>
              <a:schemeClr val="accent2">
                <a:lumMod val="75000"/>
              </a:schemeClr>
            </a:solidFill>
            <a:effectLst/>
            <a:uLnTx/>
            <a:uFillTx/>
            <a:latin typeface="Calibri" panose="020F0502020204030204"/>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33</xdr:col>
      <xdr:colOff>243840</xdr:colOff>
      <xdr:row>64</xdr:row>
      <xdr:rowOff>190500</xdr:rowOff>
    </xdr:from>
    <xdr:to>
      <xdr:col>36</xdr:col>
      <xdr:colOff>312420</xdr:colOff>
      <xdr:row>75</xdr:row>
      <xdr:rowOff>152400</xdr:rowOff>
    </xdr:to>
    <xdr:pic>
      <xdr:nvPicPr>
        <xdr:cNvPr id="2" name="Picture 1">
          <a:extLst>
            <a:ext uri="{FF2B5EF4-FFF2-40B4-BE49-F238E27FC236}">
              <a16:creationId xmlns:a16="http://schemas.microsoft.com/office/drawing/2014/main" id="{DE606F0B-05F8-47C6-AB10-7F42C64682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932640" y="13350240"/>
          <a:ext cx="2446020" cy="2476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33</xdr:col>
      <xdr:colOff>480060</xdr:colOff>
      <xdr:row>45</xdr:row>
      <xdr:rowOff>83820</xdr:rowOff>
    </xdr:from>
    <xdr:to>
      <xdr:col>36</xdr:col>
      <xdr:colOff>251460</xdr:colOff>
      <xdr:row>54</xdr:row>
      <xdr:rowOff>198120</xdr:rowOff>
    </xdr:to>
    <xdr:pic>
      <xdr:nvPicPr>
        <xdr:cNvPr id="3" name="Picture 2">
          <a:extLst>
            <a:ext uri="{FF2B5EF4-FFF2-40B4-BE49-F238E27FC236}">
              <a16:creationId xmlns:a16="http://schemas.microsoft.com/office/drawing/2014/main" id="{D848AB8E-F081-4A6F-B728-649C4AE5C75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168860" y="9357360"/>
          <a:ext cx="2148840" cy="217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45720</xdr:colOff>
      <xdr:row>99</xdr:row>
      <xdr:rowOff>83820</xdr:rowOff>
    </xdr:from>
    <xdr:to>
      <xdr:col>37</xdr:col>
      <xdr:colOff>144780</xdr:colOff>
      <xdr:row>110</xdr:row>
      <xdr:rowOff>60960</xdr:rowOff>
    </xdr:to>
    <xdr:pic>
      <xdr:nvPicPr>
        <xdr:cNvPr id="4" name="Picture 1">
          <a:extLst>
            <a:ext uri="{FF2B5EF4-FFF2-40B4-BE49-F238E27FC236}">
              <a16:creationId xmlns:a16="http://schemas.microsoft.com/office/drawing/2014/main" id="{5761F109-B5C6-45E7-B253-6D655D54DF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527000" y="21244560"/>
          <a:ext cx="2476500" cy="2491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33</xdr:col>
      <xdr:colOff>579120</xdr:colOff>
      <xdr:row>80</xdr:row>
      <xdr:rowOff>7620</xdr:rowOff>
    </xdr:from>
    <xdr:to>
      <xdr:col>36</xdr:col>
      <xdr:colOff>358140</xdr:colOff>
      <xdr:row>89</xdr:row>
      <xdr:rowOff>137160</xdr:rowOff>
    </xdr:to>
    <xdr:pic>
      <xdr:nvPicPr>
        <xdr:cNvPr id="5" name="Picture 2">
          <a:extLst>
            <a:ext uri="{FF2B5EF4-FFF2-40B4-BE49-F238E27FC236}">
              <a16:creationId xmlns:a16="http://schemas.microsoft.com/office/drawing/2014/main" id="{84E2FE11-64A9-4642-A01D-E353B21D930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267920" y="16824960"/>
          <a:ext cx="2156460" cy="2186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26</xdr:col>
      <xdr:colOff>36285</xdr:colOff>
      <xdr:row>1</xdr:row>
      <xdr:rowOff>265792</xdr:rowOff>
    </xdr:from>
    <xdr:to>
      <xdr:col>26</xdr:col>
      <xdr:colOff>1024990</xdr:colOff>
      <xdr:row>1</xdr:row>
      <xdr:rowOff>743857</xdr:rowOff>
    </xdr:to>
    <xdr:sp macro="" textlink="">
      <xdr:nvSpPr>
        <xdr:cNvPr id="6" name="TextBox 5">
          <a:extLst>
            <a:ext uri="{FF2B5EF4-FFF2-40B4-BE49-F238E27FC236}">
              <a16:creationId xmlns:a16="http://schemas.microsoft.com/office/drawing/2014/main" id="{B50249B8-9433-4BD5-A1BC-FC7D7B4D6EFE}"/>
            </a:ext>
          </a:extLst>
        </xdr:cNvPr>
        <xdr:cNvSpPr txBox="1"/>
      </xdr:nvSpPr>
      <xdr:spPr>
        <a:xfrm>
          <a:off x="18149025" y="463912"/>
          <a:ext cx="988705" cy="4780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btm of inlet to btm conn</a:t>
          </a:r>
        </a:p>
      </xdr:txBody>
    </xdr:sp>
    <xdr:clientData/>
  </xdr:twoCellAnchor>
  <xdr:twoCellAnchor>
    <xdr:from>
      <xdr:col>27</xdr:col>
      <xdr:colOff>36285</xdr:colOff>
      <xdr:row>1</xdr:row>
      <xdr:rowOff>265792</xdr:rowOff>
    </xdr:from>
    <xdr:to>
      <xdr:col>27</xdr:col>
      <xdr:colOff>992156</xdr:colOff>
      <xdr:row>1</xdr:row>
      <xdr:rowOff>743857</xdr:rowOff>
    </xdr:to>
    <xdr:sp macro="" textlink="">
      <xdr:nvSpPr>
        <xdr:cNvPr id="7" name="TextBox 6">
          <a:extLst>
            <a:ext uri="{FF2B5EF4-FFF2-40B4-BE49-F238E27FC236}">
              <a16:creationId xmlns:a16="http://schemas.microsoft.com/office/drawing/2014/main" id="{E155F283-888F-494A-8B03-73634E8E0284}"/>
            </a:ext>
          </a:extLst>
        </xdr:cNvPr>
        <xdr:cNvSpPr txBox="1"/>
      </xdr:nvSpPr>
      <xdr:spPr>
        <a:xfrm>
          <a:off x="19192965" y="463912"/>
          <a:ext cx="955871" cy="4780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solidFill>
                <a:schemeClr val="dk1"/>
              </a:solidFill>
              <a:effectLst/>
              <a:latin typeface="+mn-lt"/>
              <a:ea typeface="+mn-ea"/>
              <a:cs typeface="+mn-cs"/>
            </a:rPr>
            <a:t>side of inlet to top conn</a:t>
          </a:r>
          <a:endParaRPr lang="en-US">
            <a:effectLst/>
          </a:endParaRPr>
        </a:p>
      </xdr:txBody>
    </xdr:sp>
    <xdr:clientData/>
  </xdr:twoCellAnchor>
  <xdr:twoCellAnchor>
    <xdr:from>
      <xdr:col>28</xdr:col>
      <xdr:colOff>47262</xdr:colOff>
      <xdr:row>1</xdr:row>
      <xdr:rowOff>265792</xdr:rowOff>
    </xdr:from>
    <xdr:to>
      <xdr:col>28</xdr:col>
      <xdr:colOff>1027729</xdr:colOff>
      <xdr:row>1</xdr:row>
      <xdr:rowOff>743857</xdr:rowOff>
    </xdr:to>
    <xdr:sp macro="" textlink="">
      <xdr:nvSpPr>
        <xdr:cNvPr id="8" name="TextBox 7">
          <a:extLst>
            <a:ext uri="{FF2B5EF4-FFF2-40B4-BE49-F238E27FC236}">
              <a16:creationId xmlns:a16="http://schemas.microsoft.com/office/drawing/2014/main" id="{35D6E485-3F61-411E-8729-B39715047B49}"/>
            </a:ext>
          </a:extLst>
        </xdr:cNvPr>
        <xdr:cNvSpPr txBox="1"/>
      </xdr:nvSpPr>
      <xdr:spPr>
        <a:xfrm>
          <a:off x="20247882" y="463912"/>
          <a:ext cx="980467" cy="4780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btm of inlet to top conn</a:t>
          </a:r>
        </a:p>
      </xdr:txBody>
    </xdr:sp>
    <xdr:clientData/>
  </xdr:twoCellAnchor>
  <xdr:twoCellAnchor>
    <xdr:from>
      <xdr:col>29</xdr:col>
      <xdr:colOff>56152</xdr:colOff>
      <xdr:row>1</xdr:row>
      <xdr:rowOff>265792</xdr:rowOff>
    </xdr:from>
    <xdr:to>
      <xdr:col>29</xdr:col>
      <xdr:colOff>1011475</xdr:colOff>
      <xdr:row>1</xdr:row>
      <xdr:rowOff>743857</xdr:rowOff>
    </xdr:to>
    <xdr:sp macro="" textlink="">
      <xdr:nvSpPr>
        <xdr:cNvPr id="9" name="TextBox 8">
          <a:extLst>
            <a:ext uri="{FF2B5EF4-FFF2-40B4-BE49-F238E27FC236}">
              <a16:creationId xmlns:a16="http://schemas.microsoft.com/office/drawing/2014/main" id="{6116A67F-CF16-43DF-9EC1-BDE25DC61113}"/>
            </a:ext>
          </a:extLst>
        </xdr:cNvPr>
        <xdr:cNvSpPr txBox="1"/>
      </xdr:nvSpPr>
      <xdr:spPr>
        <a:xfrm>
          <a:off x="21300712" y="463912"/>
          <a:ext cx="955323" cy="4780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side of inlet to btm conn</a:t>
          </a:r>
        </a:p>
      </xdr:txBody>
    </xdr:sp>
    <xdr:clientData/>
  </xdr:twoCellAnchor>
  <xdr:twoCellAnchor>
    <xdr:from>
      <xdr:col>34</xdr:col>
      <xdr:colOff>187860</xdr:colOff>
      <xdr:row>4</xdr:row>
      <xdr:rowOff>71476</xdr:rowOff>
    </xdr:from>
    <xdr:to>
      <xdr:col>39</xdr:col>
      <xdr:colOff>49135</xdr:colOff>
      <xdr:row>18</xdr:row>
      <xdr:rowOff>218706</xdr:rowOff>
    </xdr:to>
    <xdr:sp macro="" textlink="">
      <xdr:nvSpPr>
        <xdr:cNvPr id="10" name="TextBox 9">
          <a:extLst>
            <a:ext uri="{FF2B5EF4-FFF2-40B4-BE49-F238E27FC236}">
              <a16:creationId xmlns:a16="http://schemas.microsoft.com/office/drawing/2014/main" id="{BA6435D2-FDDF-4D6F-8BDB-F527E889756F}"/>
            </a:ext>
          </a:extLst>
        </xdr:cNvPr>
        <xdr:cNvSpPr txBox="1"/>
      </xdr:nvSpPr>
      <xdr:spPr>
        <a:xfrm>
          <a:off x="25148803" y="1573705"/>
          <a:ext cx="3518875" cy="3347630"/>
        </a:xfrm>
        <a:prstGeom prst="rect">
          <a:avLst/>
        </a:prstGeom>
        <a:solidFill>
          <a:schemeClr val="accent2">
            <a:lumMod val="20000"/>
            <a:lumOff val="80000"/>
          </a:schemeClr>
        </a:solidFill>
        <a:ln w="28575" cmpd="sng">
          <a:solidFill>
            <a:srgbClr val="0070C0"/>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800" b="1" i="0" u="none" strike="noStrike" kern="0" cap="none" spc="0" normalizeH="0" baseline="0" noProof="0">
              <a:ln>
                <a:noFill/>
              </a:ln>
              <a:solidFill>
                <a:schemeClr val="accent2">
                  <a:lumMod val="75000"/>
                </a:schemeClr>
              </a:solidFill>
              <a:effectLst/>
              <a:uLnTx/>
              <a:uFillTx/>
              <a:latin typeface="Calibri" panose="020F0502020204030204"/>
              <a:ea typeface="+mn-ea"/>
              <a:cs typeface="+mn-cs"/>
            </a:rPr>
            <a:t>Ziehle Abegg (ZA) fans - </a:t>
          </a:r>
          <a:r>
            <a:rPr kumimoji="0" lang="en-US" sz="1800" b="0" i="0" u="none" strike="noStrike" kern="0" cap="none" spc="0" normalizeH="0" baseline="0" noProof="0">
              <a:ln>
                <a:noFill/>
              </a:ln>
              <a:solidFill>
                <a:schemeClr val="accent2">
                  <a:lumMod val="75000"/>
                </a:schemeClr>
              </a:solidFill>
              <a:effectLst/>
              <a:uLnTx/>
              <a:uFillTx/>
              <a:latin typeface="Calibri" panose="020F0502020204030204"/>
              <a:ea typeface="+mn-ea"/>
              <a:cs typeface="+mn-cs"/>
            </a:rPr>
            <a:t>SQ only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chemeClr val="accent2">
                <a:lumMod val="75000"/>
              </a:schemeClr>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1" i="0" u="none" strike="noStrike" kern="0" cap="none" spc="0" normalizeH="0" baseline="0" noProof="0">
              <a:ln>
                <a:noFill/>
              </a:ln>
              <a:solidFill>
                <a:schemeClr val="accent2">
                  <a:lumMod val="75000"/>
                </a:schemeClr>
              </a:solidFill>
              <a:effectLst/>
              <a:uLnTx/>
              <a:uFillTx/>
              <a:latin typeface="Calibri" panose="020F0502020204030204"/>
              <a:ea typeface="+mn-ea"/>
              <a:cs typeface="+mn-cs"/>
            </a:rPr>
            <a:t>FANSIZES</a:t>
          </a:r>
          <a:r>
            <a:rPr kumimoji="0" lang="en-US" sz="1400" b="0" i="0" u="none" strike="noStrike" kern="0" cap="none" spc="0" normalizeH="0" baseline="0" noProof="0">
              <a:ln>
                <a:noFill/>
              </a:ln>
              <a:solidFill>
                <a:schemeClr val="accent2">
                  <a:lumMod val="75000"/>
                </a:schemeClr>
              </a:solidFill>
              <a:effectLst/>
              <a:uLnTx/>
              <a:uFillTx/>
              <a:latin typeface="Calibri" panose="020F0502020204030204"/>
              <a:ea typeface="+mn-ea"/>
              <a:cs typeface="+mn-cs"/>
            </a:rPr>
            <a:t>: 25, 31, 35, 40, 45, 56 &amp; 63</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400" b="0" i="0" u="none" strike="noStrike" kern="0" cap="none" spc="0" normalizeH="0" baseline="0" noProof="0">
            <a:ln>
              <a:noFill/>
            </a:ln>
            <a:solidFill>
              <a:schemeClr val="accent2">
                <a:lumMod val="75000"/>
              </a:schemeClr>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1" i="0" u="none" strike="noStrike" kern="0" cap="none" spc="0" normalizeH="0" baseline="0" noProof="0">
              <a:ln>
                <a:noFill/>
              </a:ln>
              <a:solidFill>
                <a:schemeClr val="accent2">
                  <a:lumMod val="75000"/>
                </a:schemeClr>
              </a:solidFill>
              <a:effectLst/>
              <a:uLnTx/>
              <a:uFillTx/>
              <a:latin typeface="Calibri" panose="020F0502020204030204"/>
              <a:ea typeface="+mn-ea"/>
              <a:cs typeface="+mn-cs"/>
            </a:rPr>
            <a:t>Always</a:t>
          </a:r>
          <a:r>
            <a:rPr kumimoji="0" lang="en-US" sz="1400" b="0" i="0" u="none" strike="noStrike" kern="0" cap="none" spc="0" normalizeH="0" baseline="0" noProof="0">
              <a:ln>
                <a:noFill/>
              </a:ln>
              <a:solidFill>
                <a:schemeClr val="accent2">
                  <a:lumMod val="75000"/>
                </a:schemeClr>
              </a:solidFill>
              <a:effectLst/>
              <a:uLnTx/>
              <a:uFillTx/>
              <a:latin typeface="Calibri" panose="020F0502020204030204"/>
              <a:ea typeface="+mn-ea"/>
              <a:cs typeface="+mn-cs"/>
            </a:rPr>
            <a:t> compare the </a:t>
          </a:r>
          <a:r>
            <a:rPr kumimoji="0" lang="en-US" sz="1400" b="1" i="0" u="none" strike="noStrike" kern="0" cap="none" spc="0" normalizeH="0" baseline="0" noProof="0">
              <a:ln>
                <a:noFill/>
              </a:ln>
              <a:solidFill>
                <a:schemeClr val="accent2">
                  <a:lumMod val="75000"/>
                </a:schemeClr>
              </a:solidFill>
              <a:effectLst/>
              <a:uLnTx/>
              <a:uFillTx/>
              <a:latin typeface="Calibri" panose="020F0502020204030204"/>
              <a:ea typeface="+mn-ea"/>
              <a:cs typeface="+mn-cs"/>
            </a:rPr>
            <a:t>ordered fan dimensions </a:t>
          </a:r>
          <a:r>
            <a:rPr kumimoji="0" lang="en-US" sz="1400" b="0" i="0" u="none" strike="noStrike" kern="0" cap="none" spc="0" normalizeH="0" baseline="0" noProof="0">
              <a:ln>
                <a:noFill/>
              </a:ln>
              <a:solidFill>
                <a:schemeClr val="accent2">
                  <a:lumMod val="75000"/>
                </a:schemeClr>
              </a:solidFill>
              <a:effectLst/>
              <a:uLnTx/>
              <a:uFillTx/>
              <a:latin typeface="Calibri" panose="020F0502020204030204"/>
              <a:ea typeface="+mn-ea"/>
              <a:cs typeface="+mn-cs"/>
            </a:rPr>
            <a:t>with the data in this calc sheet.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400" b="0" i="0" u="none" strike="noStrike" kern="0" cap="none" spc="0" normalizeH="0" baseline="0" noProof="0">
            <a:ln>
              <a:noFill/>
            </a:ln>
            <a:solidFill>
              <a:schemeClr val="accent2">
                <a:lumMod val="75000"/>
              </a:schemeClr>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chemeClr val="accent2">
                  <a:lumMod val="75000"/>
                </a:schemeClr>
              </a:solidFill>
              <a:effectLst/>
              <a:uLnTx/>
              <a:uFillTx/>
              <a:latin typeface="Calibri" panose="020F0502020204030204"/>
              <a:ea typeface="+mn-ea"/>
              <a:cs typeface="+mn-cs"/>
            </a:rPr>
            <a:t>Critical Data to check:</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1" i="0" u="none" strike="noStrike" kern="0" cap="none" spc="0" normalizeH="0" baseline="0" noProof="0">
              <a:ln>
                <a:noFill/>
              </a:ln>
              <a:solidFill>
                <a:schemeClr val="accent2">
                  <a:lumMod val="75000"/>
                </a:schemeClr>
              </a:solidFill>
              <a:effectLst/>
              <a:uLnTx/>
              <a:uFillTx/>
              <a:latin typeface="Calibri" panose="020F0502020204030204"/>
              <a:ea typeface="+mn-ea"/>
              <a:cs typeface="+mn-cs"/>
            </a:rPr>
            <a:t>FAN_A</a:t>
          </a:r>
        </a:p>
        <a:p>
          <a:pPr marL="0" marR="0" lvl="0" indent="0" defTabSz="914400" eaLnBrk="1" fontAlgn="auto" latinLnBrk="0" hangingPunct="1">
            <a:lnSpc>
              <a:spcPct val="100000"/>
            </a:lnSpc>
            <a:spcBef>
              <a:spcPts val="0"/>
            </a:spcBef>
            <a:spcAft>
              <a:spcPts val="0"/>
            </a:spcAft>
            <a:buClrTx/>
            <a:buSzTx/>
            <a:buFontTx/>
            <a:buNone/>
            <a:tabLst/>
            <a:defRPr/>
          </a:pPr>
          <a:r>
            <a:rPr lang="en-US" sz="1400" b="1" i="0" baseline="0">
              <a:solidFill>
                <a:schemeClr val="accent2">
                  <a:lumMod val="75000"/>
                </a:schemeClr>
              </a:solidFill>
              <a:effectLst/>
              <a:latin typeface="+mn-lt"/>
              <a:ea typeface="+mn-ea"/>
              <a:cs typeface="+mn-cs"/>
            </a:rPr>
            <a:t>FAN_T</a:t>
          </a:r>
          <a:endParaRPr kumimoji="0" lang="en-US" sz="1800" b="1" i="0" u="none" strike="noStrike" kern="0" cap="none" spc="0" normalizeH="0" baseline="0" noProof="0">
            <a:ln>
              <a:noFill/>
            </a:ln>
            <a:solidFill>
              <a:schemeClr val="accent2">
                <a:lumMod val="75000"/>
              </a:schemeClr>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1" i="0" baseline="0">
              <a:solidFill>
                <a:schemeClr val="accent2">
                  <a:lumMod val="75000"/>
                </a:schemeClr>
              </a:solidFill>
              <a:effectLst/>
              <a:latin typeface="+mn-lt"/>
              <a:ea typeface="+mn-ea"/>
              <a:cs typeface="+mn-cs"/>
            </a:rPr>
            <a:t>FAN_F</a:t>
          </a:r>
        </a:p>
        <a:p>
          <a:pPr marL="0" marR="0" lvl="0" indent="0" defTabSz="914400" eaLnBrk="1" fontAlgn="auto" latinLnBrk="0" hangingPunct="1">
            <a:lnSpc>
              <a:spcPct val="100000"/>
            </a:lnSpc>
            <a:spcBef>
              <a:spcPts val="0"/>
            </a:spcBef>
            <a:spcAft>
              <a:spcPts val="0"/>
            </a:spcAft>
            <a:buClrTx/>
            <a:buSzTx/>
            <a:buFontTx/>
            <a:buNone/>
            <a:tabLst/>
            <a:defRPr/>
          </a:pPr>
          <a:r>
            <a:rPr lang="en-US" sz="1400" b="1" i="0" baseline="0">
              <a:solidFill>
                <a:schemeClr val="accent2">
                  <a:lumMod val="75000"/>
                </a:schemeClr>
              </a:solidFill>
              <a:effectLst/>
              <a:latin typeface="+mn-lt"/>
              <a:ea typeface="+mn-ea"/>
              <a:cs typeface="+mn-cs"/>
            </a:rPr>
            <a:t>FAN_G</a:t>
          </a:r>
          <a:endParaRPr kumimoji="0" lang="en-US" sz="1800" b="1" i="0" u="none" strike="noStrike" kern="0" cap="none" spc="0" normalizeH="0" baseline="0" noProof="0">
            <a:ln>
              <a:noFill/>
            </a:ln>
            <a:solidFill>
              <a:schemeClr val="accent2">
                <a:lumMod val="75000"/>
              </a:schemeClr>
            </a:solidFill>
            <a:effectLst/>
            <a:uLnTx/>
            <a:uFillTx/>
            <a:latin typeface="Calibri" panose="020F0502020204030204"/>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141662</xdr:colOff>
      <xdr:row>18</xdr:row>
      <xdr:rowOff>129020</xdr:rowOff>
    </xdr:from>
    <xdr:to>
      <xdr:col>26</xdr:col>
      <xdr:colOff>407616</xdr:colOff>
      <xdr:row>24</xdr:row>
      <xdr:rowOff>47193</xdr:rowOff>
    </xdr:to>
    <xdr:sp macro="" textlink="">
      <xdr:nvSpPr>
        <xdr:cNvPr id="3" name="TextBox 2">
          <a:extLst>
            <a:ext uri="{FF2B5EF4-FFF2-40B4-BE49-F238E27FC236}">
              <a16:creationId xmlns:a16="http://schemas.microsoft.com/office/drawing/2014/main" id="{5F0BBAD1-0F97-47E3-941C-9B0B63AEA294}"/>
            </a:ext>
          </a:extLst>
        </xdr:cNvPr>
        <xdr:cNvSpPr txBox="1"/>
      </xdr:nvSpPr>
      <xdr:spPr>
        <a:xfrm>
          <a:off x="21089735" y="2096365"/>
          <a:ext cx="3521772" cy="998828"/>
        </a:xfrm>
        <a:prstGeom prst="rect">
          <a:avLst/>
        </a:prstGeom>
        <a:solidFill>
          <a:schemeClr val="accent2">
            <a:lumMod val="20000"/>
            <a:lumOff val="80000"/>
          </a:schemeClr>
        </a:solidFill>
        <a:ln w="28575" cmpd="sng">
          <a:solidFill>
            <a:srgbClr val="0070C0"/>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800" b="1" i="0" u="none" strike="noStrike" kern="0" cap="none" spc="0" normalizeH="0" baseline="0" noProof="0">
              <a:ln>
                <a:noFill/>
              </a:ln>
              <a:solidFill>
                <a:schemeClr val="accent2">
                  <a:lumMod val="75000"/>
                </a:schemeClr>
              </a:solidFill>
              <a:effectLst/>
              <a:uLnTx/>
              <a:uFillTx/>
              <a:latin typeface="Calibri" panose="020F0502020204030204"/>
              <a:ea typeface="+mn-ea"/>
              <a:cs typeface="+mn-cs"/>
            </a:rPr>
            <a:t>Ziehle Abegg (ZA) fans - </a:t>
          </a:r>
          <a:r>
            <a:rPr kumimoji="0" lang="en-US" sz="1800" b="0" i="0" u="none" strike="noStrike" kern="0" cap="none" spc="0" normalizeH="0" baseline="0" noProof="0">
              <a:ln>
                <a:noFill/>
              </a:ln>
              <a:solidFill>
                <a:schemeClr val="accent2">
                  <a:lumMod val="75000"/>
                </a:schemeClr>
              </a:solidFill>
              <a:effectLst/>
              <a:uLnTx/>
              <a:uFillTx/>
              <a:latin typeface="Calibri" panose="020F0502020204030204"/>
              <a:ea typeface="+mn-ea"/>
              <a:cs typeface="+mn-cs"/>
            </a:rPr>
            <a:t>SQ only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chemeClr val="accent2">
                <a:lumMod val="75000"/>
              </a:schemeClr>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1" i="0" u="none" strike="noStrike" kern="0" cap="none" spc="0" normalizeH="0" baseline="0" noProof="0">
              <a:ln>
                <a:noFill/>
              </a:ln>
              <a:solidFill>
                <a:schemeClr val="accent2">
                  <a:lumMod val="75000"/>
                </a:schemeClr>
              </a:solidFill>
              <a:effectLst/>
              <a:uLnTx/>
              <a:uFillTx/>
              <a:latin typeface="Calibri" panose="020F0502020204030204"/>
              <a:ea typeface="+mn-ea"/>
              <a:cs typeface="+mn-cs"/>
            </a:rPr>
            <a:t>FANSIZES</a:t>
          </a:r>
          <a:r>
            <a:rPr kumimoji="0" lang="en-US" sz="1400" b="0" i="0" u="none" strike="noStrike" kern="0" cap="none" spc="0" normalizeH="0" baseline="0" noProof="0">
              <a:ln>
                <a:noFill/>
              </a:ln>
              <a:solidFill>
                <a:schemeClr val="accent2">
                  <a:lumMod val="75000"/>
                </a:schemeClr>
              </a:solidFill>
              <a:effectLst/>
              <a:uLnTx/>
              <a:uFillTx/>
              <a:latin typeface="Calibri" panose="020F0502020204030204"/>
              <a:ea typeface="+mn-ea"/>
              <a:cs typeface="+mn-cs"/>
            </a:rPr>
            <a:t>: 25, 31, 35, 40, 45, 56 &amp; 63</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983204</xdr:colOff>
      <xdr:row>0</xdr:row>
      <xdr:rowOff>5603</xdr:rowOff>
    </xdr:from>
    <xdr:to>
      <xdr:col>11</xdr:col>
      <xdr:colOff>479037</xdr:colOff>
      <xdr:row>7</xdr:row>
      <xdr:rowOff>95811</xdr:rowOff>
    </xdr:to>
    <xdr:sp macro="" textlink="">
      <xdr:nvSpPr>
        <xdr:cNvPr id="2" name="Text Box 1">
          <a:extLst>
            <a:ext uri="{FF2B5EF4-FFF2-40B4-BE49-F238E27FC236}">
              <a16:creationId xmlns:a16="http://schemas.microsoft.com/office/drawing/2014/main" id="{EE169E8F-4C17-4006-9BD8-57704EF1B0E2}"/>
            </a:ext>
          </a:extLst>
        </xdr:cNvPr>
        <xdr:cNvSpPr txBox="1">
          <a:spLocks noChangeArrowheads="1"/>
        </xdr:cNvSpPr>
      </xdr:nvSpPr>
      <xdr:spPr bwMode="auto">
        <a:xfrm>
          <a:off x="7658324" y="5603"/>
          <a:ext cx="5363233" cy="1263688"/>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Standard hole sizes used in the project.  Any special hole size needs to be listed below the special hole size heading.  Hole sizes used in models should be referenced back to the hole size chart on this tab.  Any changes to hole sizes must be done on the holes sizes tab.</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49526-C459-448B-9512-30BE4E5C6D6A}">
  <dimension ref="A1:D468"/>
  <sheetViews>
    <sheetView topLeftCell="A323" workbookViewId="0">
      <selection activeCell="C114" sqref="C114"/>
    </sheetView>
  </sheetViews>
  <sheetFormatPr defaultRowHeight="14.4" x14ac:dyDescent="0.3"/>
  <cols>
    <col min="1" max="1" width="30.6640625" customWidth="1"/>
    <col min="4" max="4" width="11.6640625" bestFit="1" customWidth="1"/>
  </cols>
  <sheetData>
    <row r="1" spans="1:4" x14ac:dyDescent="0.3">
      <c r="A1" s="81" t="s">
        <v>1</v>
      </c>
      <c r="B1" s="81" t="s">
        <v>2</v>
      </c>
      <c r="C1" s="81" t="s">
        <v>653</v>
      </c>
      <c r="D1" s="81" t="s">
        <v>654</v>
      </c>
    </row>
    <row r="2" spans="1:4" x14ac:dyDescent="0.3">
      <c r="A2" s="388" t="s">
        <v>1195</v>
      </c>
      <c r="B2" s="387">
        <f>'Excel Calc'!B4</f>
        <v>80</v>
      </c>
      <c r="C2" s="387" t="s">
        <v>656</v>
      </c>
      <c r="D2" s="388"/>
    </row>
    <row r="3" spans="1:4" x14ac:dyDescent="0.3">
      <c r="A3" s="388" t="s">
        <v>1196</v>
      </c>
      <c r="B3" s="387">
        <f>'Excel Calc'!B5</f>
        <v>160</v>
      </c>
      <c r="C3" s="387" t="s">
        <v>656</v>
      </c>
      <c r="D3" s="388"/>
    </row>
    <row r="4" spans="1:4" x14ac:dyDescent="0.3">
      <c r="A4" s="388" t="s">
        <v>1600</v>
      </c>
      <c r="B4" s="387">
        <f>'Excel Calc'!B6</f>
        <v>40</v>
      </c>
      <c r="C4" s="387" t="s">
        <v>656</v>
      </c>
      <c r="D4" s="388"/>
    </row>
    <row r="5" spans="1:4" x14ac:dyDescent="0.3">
      <c r="A5" s="388" t="s">
        <v>1601</v>
      </c>
      <c r="B5" s="387">
        <f>'Excel Calc'!B7</f>
        <v>80</v>
      </c>
      <c r="C5" s="387" t="s">
        <v>656</v>
      </c>
      <c r="D5" s="388"/>
    </row>
    <row r="6" spans="1:4" x14ac:dyDescent="0.3">
      <c r="A6" s="388" t="s">
        <v>1602</v>
      </c>
      <c r="B6" s="387">
        <f>'Excel Calc'!B8</f>
        <v>3.125E-2</v>
      </c>
      <c r="C6" s="387" t="s">
        <v>656</v>
      </c>
      <c r="D6" s="388"/>
    </row>
    <row r="7" spans="1:4" x14ac:dyDescent="0.3">
      <c r="A7" s="388" t="s">
        <v>1603</v>
      </c>
      <c r="B7" s="387">
        <f>'Excel Calc'!B9</f>
        <v>6.25E-2</v>
      </c>
      <c r="C7" s="387" t="s">
        <v>656</v>
      </c>
      <c r="D7" s="388"/>
    </row>
    <row r="8" spans="1:4" x14ac:dyDescent="0.3">
      <c r="A8" s="388" t="s">
        <v>1192</v>
      </c>
      <c r="B8" s="387">
        <f>'Excel Calc'!B11</f>
        <v>2.375</v>
      </c>
      <c r="C8" s="387" t="s">
        <v>656</v>
      </c>
      <c r="D8" s="388"/>
    </row>
    <row r="9" spans="1:4" x14ac:dyDescent="0.3">
      <c r="A9" s="388" t="s">
        <v>1199</v>
      </c>
      <c r="B9" s="387">
        <f>'Excel Calc'!B12</f>
        <v>2</v>
      </c>
      <c r="C9" s="387" t="s">
        <v>655</v>
      </c>
      <c r="D9" s="388"/>
    </row>
    <row r="10" spans="1:4" x14ac:dyDescent="0.3">
      <c r="A10" s="388" t="s">
        <v>1198</v>
      </c>
      <c r="B10" s="387">
        <f>'Excel Calc'!B13</f>
        <v>5</v>
      </c>
      <c r="C10" s="387" t="s">
        <v>655</v>
      </c>
      <c r="D10" s="388"/>
    </row>
    <row r="11" spans="1:4" x14ac:dyDescent="0.3">
      <c r="A11" s="388" t="s">
        <v>1594</v>
      </c>
      <c r="B11" s="387">
        <f>'Excel Calc'!B14</f>
        <v>42</v>
      </c>
      <c r="C11" s="387" t="s">
        <v>656</v>
      </c>
      <c r="D11" s="388"/>
    </row>
    <row r="12" spans="1:4" x14ac:dyDescent="0.3">
      <c r="A12" s="388" t="s">
        <v>1228</v>
      </c>
      <c r="B12" s="387">
        <f>'Excel Calc'!B15</f>
        <v>30.5</v>
      </c>
      <c r="C12" s="387" t="s">
        <v>656</v>
      </c>
      <c r="D12" s="388"/>
    </row>
    <row r="13" spans="1:4" x14ac:dyDescent="0.3">
      <c r="A13" s="388" t="s">
        <v>1593</v>
      </c>
      <c r="B13" s="387">
        <f>'Excel Calc'!B16</f>
        <v>10</v>
      </c>
      <c r="C13" s="387" t="s">
        <v>656</v>
      </c>
      <c r="D13" s="388"/>
    </row>
    <row r="14" spans="1:4" x14ac:dyDescent="0.3">
      <c r="A14" s="388" t="s">
        <v>1604</v>
      </c>
      <c r="B14" s="387">
        <f>'Excel Calc'!B17</f>
        <v>19</v>
      </c>
      <c r="C14" s="387" t="s">
        <v>656</v>
      </c>
      <c r="D14" s="388"/>
    </row>
    <row r="15" spans="1:4" x14ac:dyDescent="0.3">
      <c r="A15" s="388" t="s">
        <v>1605</v>
      </c>
      <c r="B15" s="387">
        <f>'Excel Calc'!B18</f>
        <v>19</v>
      </c>
      <c r="C15" s="387" t="s">
        <v>656</v>
      </c>
      <c r="D15" s="388"/>
    </row>
    <row r="16" spans="1:4" x14ac:dyDescent="0.3">
      <c r="A16" s="388" t="s">
        <v>1630</v>
      </c>
      <c r="B16" s="387">
        <f>'Excel Calc'!B19</f>
        <v>1</v>
      </c>
      <c r="C16" s="387" t="s">
        <v>655</v>
      </c>
      <c r="D16" s="388"/>
    </row>
    <row r="17" spans="1:4" x14ac:dyDescent="0.3">
      <c r="A17" s="388" t="s">
        <v>1657</v>
      </c>
      <c r="B17" s="387">
        <f>'Excel Calc'!B20</f>
        <v>1</v>
      </c>
      <c r="C17" s="387" t="s">
        <v>655</v>
      </c>
      <c r="D17" s="388"/>
    </row>
    <row r="18" spans="1:4" x14ac:dyDescent="0.3">
      <c r="A18" s="388" t="s">
        <v>1658</v>
      </c>
      <c r="B18" s="387">
        <f>'Excel Calc'!B21</f>
        <v>1</v>
      </c>
      <c r="C18" s="387" t="s">
        <v>655</v>
      </c>
      <c r="D18" s="388"/>
    </row>
    <row r="19" spans="1:4" x14ac:dyDescent="0.3">
      <c r="A19" s="388" t="s">
        <v>1629</v>
      </c>
      <c r="B19" s="387">
        <f>'Excel Calc'!B22</f>
        <v>1E-3</v>
      </c>
      <c r="C19" s="387" t="s">
        <v>655</v>
      </c>
      <c r="D19" s="388"/>
    </row>
    <row r="20" spans="1:4" x14ac:dyDescent="0.3">
      <c r="A20" s="389" t="s">
        <v>178</v>
      </c>
      <c r="B20" s="390">
        <f>'Excel Calc'!R5</f>
        <v>24.803000000000001</v>
      </c>
      <c r="C20" s="390" t="s">
        <v>656</v>
      </c>
      <c r="D20" s="389"/>
    </row>
    <row r="21" spans="1:4" x14ac:dyDescent="0.3">
      <c r="A21" s="389" t="s">
        <v>182</v>
      </c>
      <c r="B21" s="390">
        <f>'Excel Calc'!R6</f>
        <v>0.59099999999999997</v>
      </c>
      <c r="C21" s="390" t="s">
        <v>656</v>
      </c>
      <c r="D21" s="389"/>
    </row>
    <row r="22" spans="1:4" x14ac:dyDescent="0.3">
      <c r="A22" s="389" t="s">
        <v>183</v>
      </c>
      <c r="B22" s="390">
        <f>'Excel Calc'!R7</f>
        <v>0.12</v>
      </c>
      <c r="C22" s="390" t="s">
        <v>656</v>
      </c>
      <c r="D22" s="389"/>
    </row>
    <row r="23" spans="1:4" x14ac:dyDescent="0.3">
      <c r="A23" s="389" t="s">
        <v>188</v>
      </c>
      <c r="B23" s="390">
        <f>'Excel Calc'!R8</f>
        <v>0.43</v>
      </c>
      <c r="C23" s="390" t="s">
        <v>656</v>
      </c>
      <c r="D23" s="389"/>
    </row>
    <row r="24" spans="1:4" x14ac:dyDescent="0.3">
      <c r="A24" s="389" t="s">
        <v>187</v>
      </c>
      <c r="B24" s="390">
        <f>'Excel Calc'!R9</f>
        <v>11.417</v>
      </c>
      <c r="C24" s="390" t="s">
        <v>656</v>
      </c>
      <c r="D24" s="389"/>
    </row>
    <row r="25" spans="1:4" x14ac:dyDescent="0.3">
      <c r="A25" s="389" t="s">
        <v>185</v>
      </c>
      <c r="B25" s="390">
        <f>'Excel Calc'!R10</f>
        <v>3</v>
      </c>
      <c r="C25" s="390" t="s">
        <v>655</v>
      </c>
      <c r="D25" s="389"/>
    </row>
    <row r="26" spans="1:4" x14ac:dyDescent="0.3">
      <c r="A26" s="389" t="s">
        <v>186</v>
      </c>
      <c r="B26" s="390">
        <f>'Excel Calc'!R11</f>
        <v>11.417</v>
      </c>
      <c r="C26" s="390" t="s">
        <v>656</v>
      </c>
      <c r="D26" s="389"/>
    </row>
    <row r="27" spans="1:4" x14ac:dyDescent="0.3">
      <c r="A27" s="389" t="s">
        <v>190</v>
      </c>
      <c r="B27" s="390">
        <f>'Excel Calc'!R12</f>
        <v>3.173</v>
      </c>
      <c r="C27" s="390" t="s">
        <v>656</v>
      </c>
      <c r="D27" s="389"/>
    </row>
    <row r="28" spans="1:4" x14ac:dyDescent="0.3">
      <c r="A28" s="389" t="s">
        <v>192</v>
      </c>
      <c r="B28" s="390">
        <f>'Excel Calc'!R13</f>
        <v>3</v>
      </c>
      <c r="C28" s="390" t="s">
        <v>656</v>
      </c>
      <c r="D28" s="389"/>
    </row>
    <row r="29" spans="1:4" x14ac:dyDescent="0.3">
      <c r="A29" s="389" t="s">
        <v>191</v>
      </c>
      <c r="B29" s="390">
        <f>'Excel Calc'!R14</f>
        <v>1.89</v>
      </c>
      <c r="C29" s="390" t="s">
        <v>656</v>
      </c>
      <c r="D29" s="389"/>
    </row>
    <row r="30" spans="1:4" x14ac:dyDescent="0.3">
      <c r="A30" s="389" t="s">
        <v>598</v>
      </c>
      <c r="B30" s="390">
        <f>'Excel Calc'!R15</f>
        <v>17.008199999999999</v>
      </c>
      <c r="C30" s="390" t="s">
        <v>656</v>
      </c>
      <c r="D30" s="389"/>
    </row>
    <row r="31" spans="1:4" x14ac:dyDescent="0.3">
      <c r="A31" s="389" t="s">
        <v>599</v>
      </c>
      <c r="B31" s="390">
        <f>'Excel Calc'!R16</f>
        <v>60</v>
      </c>
      <c r="C31" s="390" t="s">
        <v>1197</v>
      </c>
      <c r="D31" s="389"/>
    </row>
    <row r="32" spans="1:4" x14ac:dyDescent="0.3">
      <c r="A32" s="389" t="s">
        <v>600</v>
      </c>
      <c r="B32" s="390">
        <f>'Excel Calc'!R17</f>
        <v>6</v>
      </c>
      <c r="C32" s="390" t="s">
        <v>655</v>
      </c>
      <c r="D32" s="389"/>
    </row>
    <row r="33" spans="1:4" x14ac:dyDescent="0.3">
      <c r="A33" s="389" t="s">
        <v>181</v>
      </c>
      <c r="B33" s="390">
        <f>'Excel Calc'!R23</f>
        <v>13.807</v>
      </c>
      <c r="C33" s="390" t="s">
        <v>656</v>
      </c>
      <c r="D33" s="389"/>
    </row>
    <row r="34" spans="1:4" x14ac:dyDescent="0.3">
      <c r="A34" s="389" t="s">
        <v>179</v>
      </c>
      <c r="B34" s="390">
        <f>'Excel Calc'!R24</f>
        <v>19.684999999999999</v>
      </c>
      <c r="C34" s="390" t="s">
        <v>656</v>
      </c>
      <c r="D34" s="389"/>
    </row>
    <row r="35" spans="1:4" x14ac:dyDescent="0.3">
      <c r="A35" s="389" t="s">
        <v>184</v>
      </c>
      <c r="B35" s="390">
        <f>'Excel Calc'!R25</f>
        <v>1.181</v>
      </c>
      <c r="C35" s="390" t="s">
        <v>656</v>
      </c>
      <c r="D35" s="389"/>
    </row>
    <row r="36" spans="1:4" x14ac:dyDescent="0.3">
      <c r="A36" s="389" t="s">
        <v>606</v>
      </c>
      <c r="B36" s="390">
        <f>'Excel Calc'!R26</f>
        <v>14.91</v>
      </c>
      <c r="C36" s="390" t="s">
        <v>656</v>
      </c>
      <c r="D36" s="389"/>
    </row>
    <row r="37" spans="1:4" x14ac:dyDescent="0.3">
      <c r="A37" s="389" t="s">
        <v>607</v>
      </c>
      <c r="B37" s="390">
        <f>'Excel Calc'!R27</f>
        <v>18.898</v>
      </c>
      <c r="C37" s="390" t="s">
        <v>656</v>
      </c>
      <c r="D37" s="389"/>
    </row>
    <row r="38" spans="1:4" x14ac:dyDescent="0.3">
      <c r="A38" s="389" t="s">
        <v>609</v>
      </c>
      <c r="B38" s="390">
        <f>'Excel Calc'!R29</f>
        <v>0.99399999999999999</v>
      </c>
      <c r="C38" s="390" t="s">
        <v>656</v>
      </c>
      <c r="D38" s="389"/>
    </row>
    <row r="39" spans="1:4" x14ac:dyDescent="0.3">
      <c r="A39" s="389" t="s">
        <v>610</v>
      </c>
      <c r="B39" s="390">
        <f>'Excel Calc'!R30</f>
        <v>11.927999999999999</v>
      </c>
      <c r="C39" s="390" t="s">
        <v>656</v>
      </c>
      <c r="D39" s="389"/>
    </row>
    <row r="40" spans="1:4" x14ac:dyDescent="0.3">
      <c r="A40" s="389" t="s">
        <v>612</v>
      </c>
      <c r="B40" s="390">
        <f>'Excel Calc'!R32</f>
        <v>2.1867999999999999</v>
      </c>
      <c r="C40" s="390" t="s">
        <v>656</v>
      </c>
      <c r="D40" s="389"/>
    </row>
    <row r="41" spans="1:4" x14ac:dyDescent="0.3">
      <c r="A41" s="389" t="s">
        <v>613</v>
      </c>
      <c r="B41" s="390">
        <f>'Excel Calc'!R33</f>
        <v>7.9000000000000001E-2</v>
      </c>
      <c r="C41" s="390" t="s">
        <v>656</v>
      </c>
      <c r="D41" s="389"/>
    </row>
    <row r="42" spans="1:4" x14ac:dyDescent="0.3">
      <c r="A42" s="389" t="s">
        <v>614</v>
      </c>
      <c r="B42" s="390">
        <f>'Excel Calc'!R34</f>
        <v>4.3735999999999997</v>
      </c>
      <c r="C42" s="390" t="s">
        <v>656</v>
      </c>
      <c r="D42" s="389"/>
    </row>
    <row r="43" spans="1:4" x14ac:dyDescent="0.3">
      <c r="A43" s="389" t="s">
        <v>615</v>
      </c>
      <c r="B43" s="390">
        <f>'Excel Calc'!R35</f>
        <v>4.97</v>
      </c>
      <c r="C43" s="390" t="s">
        <v>656</v>
      </c>
      <c r="D43" s="389"/>
    </row>
    <row r="44" spans="1:4" x14ac:dyDescent="0.3">
      <c r="A44" s="389" t="s">
        <v>616</v>
      </c>
      <c r="B44" s="390">
        <f>'Excel Calc'!R36</f>
        <v>0.27832000000000001</v>
      </c>
      <c r="C44" s="390" t="s">
        <v>656</v>
      </c>
      <c r="D44" s="389"/>
    </row>
    <row r="45" spans="1:4" x14ac:dyDescent="0.3">
      <c r="A45" s="389" t="s">
        <v>618</v>
      </c>
      <c r="B45" s="390">
        <f>'Excel Calc'!R38</f>
        <v>1.5904</v>
      </c>
      <c r="C45" s="390" t="s">
        <v>656</v>
      </c>
      <c r="D45" s="389"/>
    </row>
    <row r="46" spans="1:4" x14ac:dyDescent="0.3">
      <c r="A46" s="389" t="s">
        <v>620</v>
      </c>
      <c r="B46" s="390">
        <f>'Excel Calc'!R40</f>
        <v>12.3256</v>
      </c>
      <c r="C46" s="390" t="s">
        <v>656</v>
      </c>
      <c r="D46" s="389"/>
    </row>
    <row r="47" spans="1:4" x14ac:dyDescent="0.3">
      <c r="A47" s="389" t="s">
        <v>194</v>
      </c>
      <c r="B47" s="390">
        <f>'Excel Calc'!R53</f>
        <v>9.1999999999999993</v>
      </c>
      <c r="C47" s="390" t="s">
        <v>656</v>
      </c>
      <c r="D47" s="389"/>
    </row>
    <row r="48" spans="1:4" x14ac:dyDescent="0.3">
      <c r="A48" s="389" t="s">
        <v>633</v>
      </c>
      <c r="B48" s="390">
        <f>'Excel Calc'!R54</f>
        <v>9.3249999999999993</v>
      </c>
      <c r="C48" s="390" t="s">
        <v>656</v>
      </c>
      <c r="D48" s="389"/>
    </row>
    <row r="49" spans="1:4" x14ac:dyDescent="0.3">
      <c r="A49" s="389" t="s">
        <v>635</v>
      </c>
      <c r="B49" s="390">
        <f>'Excel Calc'!R56</f>
        <v>7.7531999999999996</v>
      </c>
      <c r="C49" s="390" t="s">
        <v>656</v>
      </c>
      <c r="D49" s="389"/>
    </row>
    <row r="50" spans="1:4" x14ac:dyDescent="0.3">
      <c r="A50" s="389" t="s">
        <v>636</v>
      </c>
      <c r="B50" s="390">
        <f>'Excel Calc'!R57</f>
        <v>0.76800000000000002</v>
      </c>
      <c r="C50" s="390" t="s">
        <v>656</v>
      </c>
      <c r="D50" s="389"/>
    </row>
    <row r="51" spans="1:4" x14ac:dyDescent="0.3">
      <c r="A51" s="389" t="s">
        <v>637</v>
      </c>
      <c r="B51" s="390">
        <f>'Excel Calc'!R58</f>
        <v>27.831999999999997</v>
      </c>
      <c r="C51" s="390" t="s">
        <v>1197</v>
      </c>
      <c r="D51" s="389"/>
    </row>
    <row r="52" spans="1:4" x14ac:dyDescent="0.3">
      <c r="A52" s="389" t="s">
        <v>638</v>
      </c>
      <c r="B52" s="390">
        <f>'Excel Calc'!R59</f>
        <v>10.934000000000001</v>
      </c>
      <c r="C52" s="390" t="s">
        <v>656</v>
      </c>
      <c r="D52" s="389"/>
    </row>
    <row r="53" spans="1:4" x14ac:dyDescent="0.3">
      <c r="A53" s="389" t="s">
        <v>639</v>
      </c>
      <c r="B53" s="390">
        <f>'Excel Calc'!R60</f>
        <v>18.090799999999998</v>
      </c>
      <c r="C53" s="390" t="s">
        <v>656</v>
      </c>
      <c r="D53" s="389"/>
    </row>
    <row r="54" spans="1:4" x14ac:dyDescent="0.3">
      <c r="A54" s="389" t="s">
        <v>180</v>
      </c>
      <c r="B54" s="390">
        <f>'Excel Calc'!R62</f>
        <v>17.128</v>
      </c>
      <c r="C54" s="390" t="s">
        <v>656</v>
      </c>
      <c r="D54" s="389"/>
    </row>
    <row r="55" spans="1:4" x14ac:dyDescent="0.3">
      <c r="A55" s="389" t="s">
        <v>189</v>
      </c>
      <c r="B55" s="390">
        <f>'Excel Calc'!R63</f>
        <v>0</v>
      </c>
      <c r="C55" s="390" t="s">
        <v>656</v>
      </c>
      <c r="D55" s="389"/>
    </row>
    <row r="56" spans="1:4" x14ac:dyDescent="0.3">
      <c r="A56" s="389" t="s">
        <v>193</v>
      </c>
      <c r="B56" s="390">
        <f>'Excel Calc'!R64</f>
        <v>0.64</v>
      </c>
      <c r="C56" s="390" t="s">
        <v>656</v>
      </c>
      <c r="D56" s="389"/>
    </row>
    <row r="57" spans="1:4" x14ac:dyDescent="0.3">
      <c r="A57" s="389" t="s">
        <v>641</v>
      </c>
      <c r="B57" s="390">
        <f>'Excel Calc'!R65</f>
        <v>0.48</v>
      </c>
      <c r="C57" s="390" t="s">
        <v>656</v>
      </c>
      <c r="D57" s="389"/>
    </row>
    <row r="58" spans="1:4" x14ac:dyDescent="0.3">
      <c r="A58" s="389" t="s">
        <v>642</v>
      </c>
      <c r="B58" s="390">
        <f>'Excel Calc'!R66</f>
        <v>0.24</v>
      </c>
      <c r="C58" s="390" t="s">
        <v>656</v>
      </c>
      <c r="D58" s="389"/>
    </row>
    <row r="59" spans="1:4" x14ac:dyDescent="0.3">
      <c r="A59" s="389" t="s">
        <v>643</v>
      </c>
      <c r="B59" s="390">
        <f>'Excel Calc'!R67</f>
        <v>0.64</v>
      </c>
      <c r="C59" s="390" t="s">
        <v>656</v>
      </c>
      <c r="D59" s="389"/>
    </row>
    <row r="60" spans="1:4" x14ac:dyDescent="0.3">
      <c r="A60" s="389" t="s">
        <v>644</v>
      </c>
      <c r="B60" s="390">
        <f>'Excel Calc'!R68</f>
        <v>2E-3</v>
      </c>
      <c r="C60" s="390" t="s">
        <v>656</v>
      </c>
      <c r="D60" s="389"/>
    </row>
    <row r="61" spans="1:4" x14ac:dyDescent="0.3">
      <c r="A61" s="389" t="s">
        <v>195</v>
      </c>
      <c r="B61" s="390">
        <f>'Excel Calc'!R69</f>
        <v>16.657</v>
      </c>
      <c r="C61" s="390" t="s">
        <v>656</v>
      </c>
      <c r="D61" s="389"/>
    </row>
    <row r="62" spans="1:4" x14ac:dyDescent="0.3">
      <c r="A62" s="389" t="s">
        <v>197</v>
      </c>
      <c r="B62" s="390">
        <f>'Excel Calc'!R70</f>
        <v>1</v>
      </c>
      <c r="C62" s="390" t="s">
        <v>656</v>
      </c>
      <c r="D62" s="389"/>
    </row>
    <row r="63" spans="1:4" x14ac:dyDescent="0.3">
      <c r="A63" s="389" t="s">
        <v>198</v>
      </c>
      <c r="B63" s="390">
        <f>'Excel Calc'!R71</f>
        <v>1</v>
      </c>
      <c r="C63" s="390" t="s">
        <v>656</v>
      </c>
      <c r="D63" s="389"/>
    </row>
    <row r="64" spans="1:4" x14ac:dyDescent="0.3">
      <c r="A64" s="389" t="s">
        <v>645</v>
      </c>
      <c r="B64" s="390">
        <f>'Excel Calc'!R72</f>
        <v>1</v>
      </c>
      <c r="C64" s="390" t="s">
        <v>656</v>
      </c>
      <c r="D64" s="389"/>
    </row>
    <row r="65" spans="1:4" x14ac:dyDescent="0.3">
      <c r="A65" s="389" t="s">
        <v>597</v>
      </c>
      <c r="B65" s="390">
        <f>'Excel Calc'!R4</f>
        <v>19.88</v>
      </c>
      <c r="C65" s="390" t="s">
        <v>656</v>
      </c>
      <c r="D65" s="389"/>
    </row>
    <row r="66" spans="1:4" x14ac:dyDescent="0.3">
      <c r="A66" s="389" t="s">
        <v>646</v>
      </c>
      <c r="B66" s="390">
        <f>'Excel Calc'!R73</f>
        <v>9.4169999999999998</v>
      </c>
      <c r="C66" s="390" t="s">
        <v>656</v>
      </c>
      <c r="D66" s="389"/>
    </row>
    <row r="67" spans="1:4" x14ac:dyDescent="0.3">
      <c r="A67" s="389" t="s">
        <v>647</v>
      </c>
      <c r="B67" s="390">
        <f>'Excel Calc'!R74</f>
        <v>0</v>
      </c>
      <c r="C67" s="390" t="s">
        <v>655</v>
      </c>
      <c r="D67" s="389"/>
    </row>
    <row r="68" spans="1:4" x14ac:dyDescent="0.3">
      <c r="A68" s="389" t="s">
        <v>648</v>
      </c>
      <c r="B68" s="390">
        <f>'Excel Calc'!R75</f>
        <v>0.9845000000000006</v>
      </c>
      <c r="C68" s="390" t="s">
        <v>656</v>
      </c>
      <c r="D68" s="389"/>
    </row>
    <row r="69" spans="1:4" x14ac:dyDescent="0.3">
      <c r="A69" s="389" t="s">
        <v>649</v>
      </c>
      <c r="B69" s="390">
        <f>'Excel Calc'!R76</f>
        <v>0</v>
      </c>
      <c r="C69" s="390" t="s">
        <v>656</v>
      </c>
      <c r="D69" s="389"/>
    </row>
    <row r="70" spans="1:4" x14ac:dyDescent="0.3">
      <c r="A70" s="391" t="s">
        <v>1206</v>
      </c>
      <c r="B70" s="392">
        <f>'Excel Calc'!V5</f>
        <v>0.13500999999999999</v>
      </c>
      <c r="C70" s="392" t="s">
        <v>656</v>
      </c>
      <c r="D70" s="391"/>
    </row>
    <row r="71" spans="1:4" x14ac:dyDescent="0.3">
      <c r="A71" s="391" t="s">
        <v>1212</v>
      </c>
      <c r="B71" s="392">
        <f>'Excel Calc'!V6</f>
        <v>0.54</v>
      </c>
      <c r="C71" s="392" t="s">
        <v>656</v>
      </c>
      <c r="D71" s="391"/>
    </row>
    <row r="72" spans="1:4" x14ac:dyDescent="0.3">
      <c r="A72" s="391" t="s">
        <v>1208</v>
      </c>
      <c r="B72" s="392">
        <f>'Excel Calc'!V7</f>
        <v>24.230480000000004</v>
      </c>
      <c r="C72" s="392" t="s">
        <v>656</v>
      </c>
      <c r="D72" s="391"/>
    </row>
    <row r="73" spans="1:4" x14ac:dyDescent="0.3">
      <c r="A73" s="391" t="s">
        <v>1213</v>
      </c>
      <c r="B73" s="392">
        <f>'Excel Calc'!V9</f>
        <v>1.4882400000000029</v>
      </c>
      <c r="C73" s="392" t="s">
        <v>656</v>
      </c>
      <c r="D73" s="391"/>
    </row>
    <row r="74" spans="1:4" x14ac:dyDescent="0.3">
      <c r="A74" s="391" t="s">
        <v>1211</v>
      </c>
      <c r="B74" s="392">
        <f>'Excel Calc'!V10</f>
        <v>1</v>
      </c>
      <c r="C74" s="392" t="s">
        <v>656</v>
      </c>
      <c r="D74" s="391"/>
    </row>
    <row r="75" spans="1:4" x14ac:dyDescent="0.3">
      <c r="A75" s="391" t="s">
        <v>1209</v>
      </c>
      <c r="B75" s="392">
        <f>'Excel Calc'!V11</f>
        <v>1.3847599999999982</v>
      </c>
      <c r="C75" s="392" t="s">
        <v>656</v>
      </c>
      <c r="D75" s="391"/>
    </row>
    <row r="76" spans="1:4" x14ac:dyDescent="0.3">
      <c r="A76" s="391" t="s">
        <v>1640</v>
      </c>
      <c r="B76" s="392">
        <f>'Excel Calc'!V13</f>
        <v>0.43</v>
      </c>
      <c r="C76" s="392" t="s">
        <v>656</v>
      </c>
      <c r="D76" s="391"/>
    </row>
    <row r="77" spans="1:4" x14ac:dyDescent="0.3">
      <c r="A77" s="391" t="s">
        <v>1641</v>
      </c>
      <c r="B77" s="392" t="str">
        <f>'Excel Calc'!V14</f>
        <v>0.375</v>
      </c>
      <c r="C77" s="392" t="s">
        <v>656</v>
      </c>
      <c r="D77" s="391"/>
    </row>
    <row r="78" spans="1:4" x14ac:dyDescent="0.3">
      <c r="A78" s="391" t="s">
        <v>1214</v>
      </c>
      <c r="B78" s="392">
        <f>'Excel Calc'!V15</f>
        <v>0.56200000000000006</v>
      </c>
      <c r="C78" s="392" t="s">
        <v>656</v>
      </c>
      <c r="D78" s="391"/>
    </row>
    <row r="79" spans="1:4" x14ac:dyDescent="0.3">
      <c r="A79" s="391" t="s">
        <v>1217</v>
      </c>
      <c r="B79" s="392">
        <f>'Excel Calc'!V17</f>
        <v>3</v>
      </c>
      <c r="C79" s="392" t="s">
        <v>655</v>
      </c>
      <c r="D79" s="391"/>
    </row>
    <row r="80" spans="1:4" x14ac:dyDescent="0.3">
      <c r="A80" s="391" t="s">
        <v>1215</v>
      </c>
      <c r="B80" s="392">
        <f>'Excel Calc'!V18</f>
        <v>12.938000000000001</v>
      </c>
      <c r="C80" s="392" t="s">
        <v>656</v>
      </c>
      <c r="D80" s="391"/>
    </row>
    <row r="81" spans="1:4" x14ac:dyDescent="0.3">
      <c r="A81" s="391" t="s">
        <v>1218</v>
      </c>
      <c r="B81" s="392">
        <f>'Excel Calc'!V19</f>
        <v>0.10375999999999999</v>
      </c>
      <c r="C81" s="392" t="s">
        <v>656</v>
      </c>
      <c r="D81" s="391"/>
    </row>
    <row r="82" spans="1:4" x14ac:dyDescent="0.3">
      <c r="A82" s="391" t="s">
        <v>1238</v>
      </c>
      <c r="B82" s="392">
        <f>'Excel Calc'!V20</f>
        <v>3</v>
      </c>
      <c r="C82" s="392" t="s">
        <v>656</v>
      </c>
      <c r="D82" s="391"/>
    </row>
    <row r="83" spans="1:4" x14ac:dyDescent="0.3">
      <c r="A83" s="391" t="s">
        <v>1239</v>
      </c>
      <c r="B83" s="392">
        <f>'Excel Calc'!V21</f>
        <v>0.67500000000000004</v>
      </c>
      <c r="C83" s="392" t="s">
        <v>656</v>
      </c>
      <c r="D83" s="391"/>
    </row>
    <row r="84" spans="1:4" x14ac:dyDescent="0.3">
      <c r="A84" s="391" t="s">
        <v>1240</v>
      </c>
      <c r="B84" s="392">
        <f>'Excel Calc'!V22</f>
        <v>10.5</v>
      </c>
      <c r="C84" s="392" t="s">
        <v>656</v>
      </c>
      <c r="D84" s="391"/>
    </row>
    <row r="85" spans="1:4" x14ac:dyDescent="0.3">
      <c r="A85" s="391" t="s">
        <v>1241</v>
      </c>
      <c r="B85" s="392">
        <f>'Excel Calc'!V23</f>
        <v>3</v>
      </c>
      <c r="C85" s="392" t="s">
        <v>655</v>
      </c>
      <c r="D85" s="391"/>
    </row>
    <row r="86" spans="1:4" x14ac:dyDescent="0.3">
      <c r="A86" s="391" t="s">
        <v>1886</v>
      </c>
      <c r="B86" s="392">
        <f>'Excel Calc'!V24</f>
        <v>0.79</v>
      </c>
      <c r="C86" s="392" t="s">
        <v>656</v>
      </c>
      <c r="D86" s="391"/>
    </row>
    <row r="87" spans="1:4" x14ac:dyDescent="0.3">
      <c r="A87" s="391" t="s">
        <v>1887</v>
      </c>
      <c r="B87" s="392">
        <f>'Excel Calc'!V26</f>
        <v>0.89</v>
      </c>
      <c r="C87" s="392" t="s">
        <v>656</v>
      </c>
      <c r="D87" s="391"/>
    </row>
    <row r="88" spans="1:4" x14ac:dyDescent="0.3">
      <c r="A88" s="391" t="s">
        <v>1889</v>
      </c>
      <c r="B88" s="392">
        <f>'Excel Calc'!V27</f>
        <v>0.25500999999999996</v>
      </c>
      <c r="C88" s="392" t="s">
        <v>656</v>
      </c>
      <c r="D88" s="391"/>
    </row>
    <row r="89" spans="1:4" x14ac:dyDescent="0.3">
      <c r="A89" s="393" t="s">
        <v>1219</v>
      </c>
      <c r="B89" s="394">
        <f>'Excel Calc'!Z4</f>
        <v>0.125</v>
      </c>
      <c r="C89" s="394" t="s">
        <v>656</v>
      </c>
      <c r="D89" s="393"/>
    </row>
    <row r="90" spans="1:4" x14ac:dyDescent="0.3">
      <c r="A90" s="393" t="s">
        <v>1222</v>
      </c>
      <c r="B90" s="394">
        <f>'Excel Calc'!Z5</f>
        <v>24.25</v>
      </c>
      <c r="C90" s="394" t="s">
        <v>656</v>
      </c>
      <c r="D90" s="393"/>
    </row>
    <row r="91" spans="1:4" x14ac:dyDescent="0.3">
      <c r="A91" s="393" t="s">
        <v>1223</v>
      </c>
      <c r="B91" s="394">
        <f>'Excel Calc'!Z6</f>
        <v>24.25</v>
      </c>
      <c r="C91" s="394" t="s">
        <v>656</v>
      </c>
      <c r="D91" s="393"/>
    </row>
    <row r="92" spans="1:4" x14ac:dyDescent="0.3">
      <c r="A92" s="393" t="s">
        <v>1220</v>
      </c>
      <c r="B92" s="394">
        <f>'Excel Calc'!Z8</f>
        <v>27</v>
      </c>
      <c r="C92" s="394" t="s">
        <v>656</v>
      </c>
      <c r="D92" s="393"/>
    </row>
    <row r="93" spans="1:4" x14ac:dyDescent="0.3">
      <c r="A93" s="393" t="s">
        <v>1221</v>
      </c>
      <c r="B93" s="394">
        <f>'Excel Calc'!Z9</f>
        <v>27</v>
      </c>
      <c r="C93" s="394" t="s">
        <v>656</v>
      </c>
      <c r="D93" s="393"/>
    </row>
    <row r="94" spans="1:4" x14ac:dyDescent="0.3">
      <c r="A94" s="393" t="s">
        <v>1226</v>
      </c>
      <c r="B94" s="394">
        <f>'Excel Calc'!Z11</f>
        <v>10</v>
      </c>
      <c r="C94" s="394" t="s">
        <v>656</v>
      </c>
      <c r="D94" s="393"/>
    </row>
    <row r="95" spans="1:4" x14ac:dyDescent="0.3">
      <c r="A95" s="393" t="s">
        <v>1646</v>
      </c>
      <c r="B95" s="394" t="str">
        <f>'Excel Calc'!Z12</f>
        <v>0.250</v>
      </c>
      <c r="C95" s="394" t="s">
        <v>656</v>
      </c>
      <c r="D95" s="393"/>
    </row>
    <row r="96" spans="1:4" x14ac:dyDescent="0.3">
      <c r="A96" s="393" t="s">
        <v>1232</v>
      </c>
      <c r="B96" s="394">
        <f>'Excel Calc'!Z17</f>
        <v>3</v>
      </c>
      <c r="C96" s="394" t="s">
        <v>656</v>
      </c>
      <c r="D96" s="393"/>
    </row>
    <row r="97" spans="1:4" x14ac:dyDescent="0.3">
      <c r="A97" s="393" t="s">
        <v>1233</v>
      </c>
      <c r="B97" s="394">
        <f>'Excel Calc'!Z14</f>
        <v>0.67500000000000004</v>
      </c>
      <c r="C97" s="394" t="s">
        <v>656</v>
      </c>
      <c r="D97" s="393"/>
    </row>
    <row r="98" spans="1:4" x14ac:dyDescent="0.3">
      <c r="A98" s="393" t="s">
        <v>1234</v>
      </c>
      <c r="B98" s="394">
        <f>'Excel Calc'!Z16</f>
        <v>10.5</v>
      </c>
      <c r="C98" s="394" t="s">
        <v>656</v>
      </c>
      <c r="D98" s="393"/>
    </row>
    <row r="99" spans="1:4" x14ac:dyDescent="0.3">
      <c r="A99" s="393" t="s">
        <v>1235</v>
      </c>
      <c r="B99" s="394">
        <f>'Excel Calc'!Z18</f>
        <v>3</v>
      </c>
      <c r="C99" s="394" t="s">
        <v>655</v>
      </c>
      <c r="D99" s="393"/>
    </row>
    <row r="100" spans="1:4" x14ac:dyDescent="0.3">
      <c r="A100" s="393" t="s">
        <v>1890</v>
      </c>
      <c r="B100" s="394">
        <f>'Excel Calc'!Z19</f>
        <v>4</v>
      </c>
      <c r="C100" s="394" t="s">
        <v>655</v>
      </c>
      <c r="D100" s="393"/>
    </row>
    <row r="101" spans="1:4" x14ac:dyDescent="0.3">
      <c r="A101" s="395" t="s">
        <v>32</v>
      </c>
      <c r="B101" s="396">
        <f>'Excel Calc'!F5</f>
        <v>0.10501000000000001</v>
      </c>
      <c r="C101" s="396" t="s">
        <v>656</v>
      </c>
      <c r="D101" s="395"/>
    </row>
    <row r="102" spans="1:4" x14ac:dyDescent="0.3">
      <c r="A102" s="395" t="s">
        <v>1644</v>
      </c>
      <c r="B102" s="396">
        <f>'Excel Calc'!F6</f>
        <v>2.5</v>
      </c>
      <c r="C102" s="396" t="s">
        <v>656</v>
      </c>
      <c r="D102" s="395"/>
    </row>
    <row r="103" spans="1:4" x14ac:dyDescent="0.3">
      <c r="A103" s="395" t="s">
        <v>1586</v>
      </c>
      <c r="B103" s="396">
        <f>'Excel Calc'!F7</f>
        <v>4.5</v>
      </c>
      <c r="C103" s="396" t="s">
        <v>656</v>
      </c>
      <c r="D103" s="395"/>
    </row>
    <row r="104" spans="1:4" x14ac:dyDescent="0.3">
      <c r="A104" s="395" t="s">
        <v>1587</v>
      </c>
      <c r="B104" s="396">
        <f>'Excel Calc'!F8</f>
        <v>9</v>
      </c>
      <c r="C104" s="396" t="s">
        <v>656</v>
      </c>
      <c r="D104" s="395"/>
    </row>
    <row r="105" spans="1:4" x14ac:dyDescent="0.3">
      <c r="A105" s="395" t="s">
        <v>35</v>
      </c>
      <c r="B105" s="396">
        <f>'Excel Calc'!F9</f>
        <v>155</v>
      </c>
      <c r="C105" s="396" t="s">
        <v>656</v>
      </c>
      <c r="D105" s="395"/>
    </row>
    <row r="106" spans="1:4" x14ac:dyDescent="0.3">
      <c r="A106" s="395" t="s">
        <v>37</v>
      </c>
      <c r="B106" s="396">
        <f>'Excel Calc'!F10</f>
        <v>2</v>
      </c>
      <c r="C106" s="396" t="s">
        <v>656</v>
      </c>
      <c r="D106" s="395"/>
    </row>
    <row r="107" spans="1:4" x14ac:dyDescent="0.3">
      <c r="A107" s="395" t="s">
        <v>38</v>
      </c>
      <c r="B107" s="396">
        <f>'Excel Calc'!F11</f>
        <v>1.5</v>
      </c>
      <c r="C107" s="396" t="s">
        <v>656</v>
      </c>
      <c r="D107" s="395"/>
    </row>
    <row r="108" spans="1:4" x14ac:dyDescent="0.3">
      <c r="A108" s="395" t="s">
        <v>39</v>
      </c>
      <c r="B108" s="396">
        <f>'Excel Calc'!F12</f>
        <v>0.625</v>
      </c>
      <c r="C108" s="396" t="s">
        <v>656</v>
      </c>
      <c r="D108" s="395"/>
    </row>
    <row r="109" spans="1:4" x14ac:dyDescent="0.3">
      <c r="A109" s="395" t="s">
        <v>1596</v>
      </c>
      <c r="B109" s="396">
        <f>'Excel Calc'!F13</f>
        <v>0.313</v>
      </c>
      <c r="C109" s="396" t="s">
        <v>656</v>
      </c>
      <c r="D109" s="395"/>
    </row>
    <row r="110" spans="1:4" x14ac:dyDescent="0.3">
      <c r="A110" s="395" t="s">
        <v>1595</v>
      </c>
      <c r="B110" s="396">
        <f>'Excel Calc'!F14</f>
        <v>0.56200000000000006</v>
      </c>
      <c r="C110" s="396" t="s">
        <v>656</v>
      </c>
      <c r="D110" s="395"/>
    </row>
    <row r="111" spans="1:4" x14ac:dyDescent="0.3">
      <c r="A111" s="395" t="s">
        <v>1597</v>
      </c>
      <c r="B111" s="396">
        <f>'Excel Calc'!F15</f>
        <v>0.312</v>
      </c>
      <c r="C111" s="396" t="s">
        <v>656</v>
      </c>
      <c r="D111" s="395"/>
    </row>
    <row r="112" spans="1:4" x14ac:dyDescent="0.3">
      <c r="A112" s="395" t="s">
        <v>1598</v>
      </c>
      <c r="B112" s="396">
        <f>'Excel Calc'!F16</f>
        <v>0.75</v>
      </c>
      <c r="C112" s="396" t="s">
        <v>656</v>
      </c>
      <c r="D112" s="395"/>
    </row>
    <row r="113" spans="1:4" x14ac:dyDescent="0.3">
      <c r="A113" s="395" t="s">
        <v>1599</v>
      </c>
      <c r="B113" s="396" t="str">
        <f>'Excel Calc'!F17</f>
        <v>0.188</v>
      </c>
      <c r="C113" s="396" t="s">
        <v>656</v>
      </c>
      <c r="D113" s="395"/>
    </row>
    <row r="114" spans="1:4" x14ac:dyDescent="0.3">
      <c r="A114" s="395" t="s">
        <v>1894</v>
      </c>
      <c r="B114" s="396" t="str">
        <f>'Excel Calc'!F59</f>
        <v>0.250</v>
      </c>
      <c r="C114" s="396" t="s">
        <v>656</v>
      </c>
      <c r="D114" s="395"/>
    </row>
    <row r="115" spans="1:4" x14ac:dyDescent="0.3">
      <c r="A115" s="395" t="s">
        <v>49</v>
      </c>
      <c r="B115" s="396">
        <f>'Excel Calc'!F18</f>
        <v>1.25</v>
      </c>
      <c r="C115" s="396" t="s">
        <v>656</v>
      </c>
      <c r="D115" s="395"/>
    </row>
    <row r="116" spans="1:4" x14ac:dyDescent="0.3">
      <c r="A116" s="395" t="s">
        <v>43</v>
      </c>
      <c r="B116" s="396">
        <f>'Excel Calc'!F19</f>
        <v>1.9375</v>
      </c>
      <c r="C116" s="396" t="s">
        <v>656</v>
      </c>
      <c r="D116" s="395"/>
    </row>
    <row r="117" spans="1:4" x14ac:dyDescent="0.3">
      <c r="A117" s="395" t="s">
        <v>45</v>
      </c>
      <c r="B117" s="396">
        <f>'Excel Calc'!F20</f>
        <v>1.5</v>
      </c>
      <c r="C117" s="396" t="s">
        <v>656</v>
      </c>
      <c r="D117" s="395"/>
    </row>
    <row r="118" spans="1:4" x14ac:dyDescent="0.3">
      <c r="A118" s="395" t="s">
        <v>46</v>
      </c>
      <c r="B118" s="396">
        <f>'Excel Calc'!F21</f>
        <v>16.888888888888889</v>
      </c>
      <c r="C118" s="396" t="s">
        <v>656</v>
      </c>
      <c r="D118" s="395"/>
    </row>
    <row r="119" spans="1:4" x14ac:dyDescent="0.3">
      <c r="A119" s="395" t="s">
        <v>1673</v>
      </c>
      <c r="B119" s="396">
        <f>'Excel Calc'!F22</f>
        <v>1.0625</v>
      </c>
      <c r="C119" s="396" t="s">
        <v>656</v>
      </c>
      <c r="D119" s="395"/>
    </row>
    <row r="120" spans="1:4" x14ac:dyDescent="0.3">
      <c r="A120" s="395" t="s">
        <v>48</v>
      </c>
      <c r="B120" s="396">
        <f>'Excel Calc'!F23</f>
        <v>10</v>
      </c>
      <c r="C120" s="396" t="s">
        <v>655</v>
      </c>
      <c r="D120" s="395"/>
    </row>
    <row r="121" spans="1:4" x14ac:dyDescent="0.3">
      <c r="A121" s="395" t="s">
        <v>50</v>
      </c>
      <c r="B121" s="396">
        <f>'Excel Calc'!F25</f>
        <v>8.5</v>
      </c>
      <c r="C121" s="396" t="s">
        <v>656</v>
      </c>
      <c r="D121" s="395"/>
    </row>
    <row r="122" spans="1:4" x14ac:dyDescent="0.3">
      <c r="A122" s="395" t="s">
        <v>52</v>
      </c>
      <c r="B122" s="396">
        <f>'Excel Calc'!F26</f>
        <v>0.67500000000000004</v>
      </c>
      <c r="C122" s="396" t="s">
        <v>656</v>
      </c>
      <c r="D122" s="395"/>
    </row>
    <row r="123" spans="1:4" x14ac:dyDescent="0.3">
      <c r="A123" s="395" t="s">
        <v>54</v>
      </c>
      <c r="B123" s="396">
        <f>'Excel Calc'!F27</f>
        <v>10.5</v>
      </c>
      <c r="C123" s="396" t="s">
        <v>656</v>
      </c>
      <c r="D123" s="395"/>
    </row>
    <row r="124" spans="1:4" x14ac:dyDescent="0.3">
      <c r="A124" s="395" t="s">
        <v>55</v>
      </c>
      <c r="B124" s="396">
        <f>'Excel Calc'!F28</f>
        <v>3</v>
      </c>
      <c r="C124" s="396" t="s">
        <v>655</v>
      </c>
      <c r="D124" s="395"/>
    </row>
    <row r="125" spans="1:4" x14ac:dyDescent="0.3">
      <c r="A125" s="395" t="s">
        <v>56</v>
      </c>
      <c r="B125" s="396">
        <f>'Excel Calc'!F29</f>
        <v>30.5</v>
      </c>
      <c r="C125" s="396" t="s">
        <v>656</v>
      </c>
      <c r="D125" s="395"/>
    </row>
    <row r="126" spans="1:4" x14ac:dyDescent="0.3">
      <c r="A126" s="395" t="s">
        <v>57</v>
      </c>
      <c r="B126" s="396">
        <f>'Excel Calc'!F30</f>
        <v>5</v>
      </c>
      <c r="C126" s="396" t="s">
        <v>655</v>
      </c>
      <c r="D126" s="395"/>
    </row>
    <row r="127" spans="1:4" x14ac:dyDescent="0.3">
      <c r="A127" s="395" t="s">
        <v>58</v>
      </c>
      <c r="B127" s="396">
        <f>'Excel Calc'!F31</f>
        <v>6</v>
      </c>
      <c r="C127" s="396" t="s">
        <v>656</v>
      </c>
      <c r="D127" s="395"/>
    </row>
    <row r="128" spans="1:4" x14ac:dyDescent="0.3">
      <c r="A128" s="395" t="s">
        <v>59</v>
      </c>
      <c r="B128" s="396">
        <f>'Excel Calc'!F32</f>
        <v>1</v>
      </c>
      <c r="C128" s="396" t="s">
        <v>656</v>
      </c>
      <c r="D128" s="395"/>
    </row>
    <row r="129" spans="1:4" x14ac:dyDescent="0.3">
      <c r="A129" s="395" t="s">
        <v>60</v>
      </c>
      <c r="B129" s="396">
        <f>'Excel Calc'!F33</f>
        <v>2.5</v>
      </c>
      <c r="C129" s="396" t="s">
        <v>656</v>
      </c>
      <c r="D129" s="395"/>
    </row>
    <row r="130" spans="1:4" x14ac:dyDescent="0.3">
      <c r="A130" s="395" t="s">
        <v>1645</v>
      </c>
      <c r="B130" s="396">
        <f>'Excel Calc'!F34</f>
        <v>150.5</v>
      </c>
      <c r="C130" s="396" t="s">
        <v>656</v>
      </c>
      <c r="D130" s="395"/>
    </row>
    <row r="131" spans="1:4" x14ac:dyDescent="0.3">
      <c r="A131" s="395" t="s">
        <v>1606</v>
      </c>
      <c r="B131" s="396">
        <f>'Excel Calc'!F35</f>
        <v>32</v>
      </c>
      <c r="C131" s="396" t="s">
        <v>656</v>
      </c>
      <c r="D131" s="395"/>
    </row>
    <row r="132" spans="1:4" x14ac:dyDescent="0.3">
      <c r="A132" s="395" t="s">
        <v>1607</v>
      </c>
      <c r="B132" s="396">
        <f>'Excel Calc'!F36</f>
        <v>1</v>
      </c>
      <c r="C132" s="396" t="s">
        <v>656</v>
      </c>
      <c r="D132" s="395"/>
    </row>
    <row r="133" spans="1:4" x14ac:dyDescent="0.3">
      <c r="A133" s="395" t="s">
        <v>1610</v>
      </c>
      <c r="B133" s="396">
        <f>'Excel Calc'!F37</f>
        <v>4.5</v>
      </c>
      <c r="C133" s="396" t="s">
        <v>656</v>
      </c>
      <c r="D133" s="395"/>
    </row>
    <row r="134" spans="1:4" x14ac:dyDescent="0.3">
      <c r="A134" s="395" t="s">
        <v>1608</v>
      </c>
      <c r="B134" s="396">
        <f>'Excel Calc'!F38</f>
        <v>2</v>
      </c>
      <c r="C134" s="396" t="s">
        <v>655</v>
      </c>
      <c r="D134" s="395"/>
    </row>
    <row r="135" spans="1:4" x14ac:dyDescent="0.3">
      <c r="A135" s="395" t="s">
        <v>1611</v>
      </c>
      <c r="B135" s="396">
        <f>'Excel Calc'!F39</f>
        <v>4</v>
      </c>
      <c r="C135" s="396" t="s">
        <v>655</v>
      </c>
      <c r="D135" s="395"/>
    </row>
    <row r="136" spans="1:4" x14ac:dyDescent="0.3">
      <c r="A136" s="395" t="s">
        <v>61</v>
      </c>
      <c r="B136" s="396">
        <f>'Excel Calc'!F40</f>
        <v>34.25</v>
      </c>
      <c r="C136" s="396" t="s">
        <v>656</v>
      </c>
      <c r="D136" s="395"/>
    </row>
    <row r="137" spans="1:4" x14ac:dyDescent="0.3">
      <c r="A137" s="395" t="s">
        <v>62</v>
      </c>
      <c r="B137" s="396">
        <f>'Excel Calc'!F41</f>
        <v>0.75</v>
      </c>
      <c r="C137" s="396" t="s">
        <v>656</v>
      </c>
      <c r="D137" s="395"/>
    </row>
    <row r="138" spans="1:4" x14ac:dyDescent="0.3">
      <c r="A138" s="395" t="s">
        <v>63</v>
      </c>
      <c r="B138" s="396">
        <f>'Excel Calc'!F42</f>
        <v>0.375</v>
      </c>
      <c r="C138" s="396" t="s">
        <v>656</v>
      </c>
      <c r="D138" s="395"/>
    </row>
    <row r="139" spans="1:4" x14ac:dyDescent="0.3">
      <c r="A139" s="395" t="s">
        <v>1648</v>
      </c>
      <c r="B139" s="396">
        <f>'Excel Calc'!F43</f>
        <v>66</v>
      </c>
      <c r="C139" s="396" t="s">
        <v>656</v>
      </c>
      <c r="D139" s="395"/>
    </row>
    <row r="140" spans="1:4" x14ac:dyDescent="0.3">
      <c r="A140" s="395" t="s">
        <v>1659</v>
      </c>
      <c r="B140" s="396">
        <f>'Excel Calc'!F44</f>
        <v>17.7002981660583</v>
      </c>
      <c r="C140" s="396" t="s">
        <v>656</v>
      </c>
      <c r="D140" s="395"/>
    </row>
    <row r="141" spans="1:4" x14ac:dyDescent="0.3">
      <c r="A141" s="395" t="s">
        <v>1660</v>
      </c>
      <c r="B141" s="396">
        <f>'Excel Calc'!F45</f>
        <v>18.640288166058301</v>
      </c>
      <c r="C141" s="396" t="s">
        <v>656</v>
      </c>
      <c r="D141" s="395"/>
    </row>
    <row r="142" spans="1:4" x14ac:dyDescent="0.3">
      <c r="A142" s="395" t="s">
        <v>1680</v>
      </c>
      <c r="B142" s="396">
        <f>'Excel Calc'!F46</f>
        <v>2.4990000000000001</v>
      </c>
      <c r="C142" s="396" t="s">
        <v>656</v>
      </c>
      <c r="D142" s="395"/>
    </row>
    <row r="143" spans="1:4" x14ac:dyDescent="0.3">
      <c r="A143" s="395" t="s">
        <v>1681</v>
      </c>
      <c r="B143" s="396">
        <f>'Excel Calc'!F47</f>
        <v>26.995019999999997</v>
      </c>
      <c r="C143" s="396" t="s">
        <v>656</v>
      </c>
      <c r="D143" s="395"/>
    </row>
    <row r="144" spans="1:4" x14ac:dyDescent="0.3">
      <c r="A144" s="395" t="s">
        <v>1682</v>
      </c>
      <c r="B144" s="396">
        <f>'Excel Calc'!F48</f>
        <v>26.185009999999998</v>
      </c>
      <c r="C144" s="396" t="s">
        <v>656</v>
      </c>
      <c r="D144" s="395"/>
    </row>
    <row r="145" spans="1:4" x14ac:dyDescent="0.3">
      <c r="A145" s="395" t="s">
        <v>1683</v>
      </c>
      <c r="B145" s="396">
        <f>'Excel Calc'!F49</f>
        <v>26.995019999999997</v>
      </c>
      <c r="C145" s="396" t="s">
        <v>656</v>
      </c>
      <c r="D145" s="395"/>
    </row>
    <row r="146" spans="1:4" x14ac:dyDescent="0.3">
      <c r="A146" s="395" t="s">
        <v>1684</v>
      </c>
      <c r="B146" s="396">
        <f>'Excel Calc'!F50</f>
        <v>3.8149899999999999</v>
      </c>
      <c r="C146" s="396" t="s">
        <v>656</v>
      </c>
      <c r="D146" s="395"/>
    </row>
    <row r="147" spans="1:4" x14ac:dyDescent="0.3">
      <c r="A147" s="395" t="s">
        <v>1685</v>
      </c>
      <c r="B147" s="396">
        <f>'Excel Calc'!F51</f>
        <v>33.810009999999998</v>
      </c>
      <c r="C147" s="396" t="s">
        <v>656</v>
      </c>
      <c r="D147" s="395"/>
    </row>
    <row r="148" spans="1:4" x14ac:dyDescent="0.3">
      <c r="A148" s="395" t="s">
        <v>1688</v>
      </c>
      <c r="B148" s="396">
        <f>'Excel Calc'!F52</f>
        <v>78</v>
      </c>
      <c r="C148" s="396" t="s">
        <v>656</v>
      </c>
      <c r="D148" s="395"/>
    </row>
    <row r="149" spans="1:4" x14ac:dyDescent="0.3">
      <c r="A149" s="395" t="s">
        <v>1699</v>
      </c>
      <c r="B149" s="396">
        <f>'Excel Calc'!F53</f>
        <v>6</v>
      </c>
      <c r="C149" s="396" t="s">
        <v>655</v>
      </c>
      <c r="D149" s="395"/>
    </row>
    <row r="150" spans="1:4" x14ac:dyDescent="0.3">
      <c r="A150" s="395" t="s">
        <v>1700</v>
      </c>
      <c r="B150" s="396">
        <f>'Excel Calc'!F54</f>
        <v>15</v>
      </c>
      <c r="C150" s="396" t="s">
        <v>656</v>
      </c>
      <c r="D150" s="395"/>
    </row>
    <row r="151" spans="1:4" x14ac:dyDescent="0.3">
      <c r="A151" s="395" t="s">
        <v>1689</v>
      </c>
      <c r="B151" s="396">
        <f>'Excel Calc'!F55</f>
        <v>77</v>
      </c>
      <c r="C151" s="396" t="s">
        <v>656</v>
      </c>
      <c r="D151" s="395"/>
    </row>
    <row r="152" spans="1:4" x14ac:dyDescent="0.3">
      <c r="A152" s="395" t="s">
        <v>1701</v>
      </c>
      <c r="B152" s="396">
        <f>'Excel Calc'!F56</f>
        <v>6</v>
      </c>
      <c r="C152" s="396" t="s">
        <v>655</v>
      </c>
      <c r="D152" s="395"/>
    </row>
    <row r="153" spans="1:4" x14ac:dyDescent="0.3">
      <c r="A153" s="395" t="s">
        <v>1702</v>
      </c>
      <c r="B153" s="396">
        <f>'Excel Calc'!F57</f>
        <v>14.8</v>
      </c>
      <c r="C153" s="396" t="s">
        <v>656</v>
      </c>
      <c r="D153" s="395"/>
    </row>
    <row r="154" spans="1:4" x14ac:dyDescent="0.3">
      <c r="A154" s="395" t="s">
        <v>1690</v>
      </c>
      <c r="B154" s="396">
        <f>'Excel Calc'!F58</f>
        <v>80.5</v>
      </c>
      <c r="C154" s="396" t="s">
        <v>656</v>
      </c>
      <c r="D154" s="395"/>
    </row>
    <row r="155" spans="1:4" x14ac:dyDescent="0.3">
      <c r="A155" s="395" t="s">
        <v>1722</v>
      </c>
      <c r="B155" s="396">
        <f>'Excel Calc'!B70</f>
        <v>8.5</v>
      </c>
      <c r="C155" s="396" t="s">
        <v>656</v>
      </c>
      <c r="D155" s="395"/>
    </row>
    <row r="156" spans="1:4" x14ac:dyDescent="0.3">
      <c r="A156" s="395" t="s">
        <v>1723</v>
      </c>
      <c r="B156" s="396">
        <f>'Excel Calc'!B71</f>
        <v>3</v>
      </c>
      <c r="C156" s="396" t="s">
        <v>655</v>
      </c>
      <c r="D156" s="395"/>
    </row>
    <row r="157" spans="1:4" x14ac:dyDescent="0.3">
      <c r="A157" s="395" t="s">
        <v>1724</v>
      </c>
      <c r="B157" s="396">
        <f>'Excel Calc'!C70</f>
        <v>39</v>
      </c>
      <c r="C157" s="396" t="s">
        <v>656</v>
      </c>
      <c r="D157" s="395"/>
    </row>
    <row r="158" spans="1:4" x14ac:dyDescent="0.3">
      <c r="A158" s="395" t="s">
        <v>1725</v>
      </c>
      <c r="B158" s="396">
        <f>'Excel Calc'!C71</f>
        <v>3</v>
      </c>
      <c r="C158" s="396" t="s">
        <v>655</v>
      </c>
      <c r="D158" s="395"/>
    </row>
    <row r="159" spans="1:4" x14ac:dyDescent="0.3">
      <c r="A159" s="395" t="s">
        <v>1728</v>
      </c>
      <c r="B159" s="396">
        <f>'Excel Calc'!D70</f>
        <v>69.5</v>
      </c>
      <c r="C159" s="396" t="s">
        <v>656</v>
      </c>
      <c r="D159" s="395"/>
    </row>
    <row r="160" spans="1:4" x14ac:dyDescent="0.3">
      <c r="A160" s="395" t="s">
        <v>1729</v>
      </c>
      <c r="B160" s="396">
        <f>'Excel Calc'!D71</f>
        <v>1</v>
      </c>
      <c r="C160" s="396" t="s">
        <v>655</v>
      </c>
      <c r="D160" s="395"/>
    </row>
    <row r="161" spans="1:4" x14ac:dyDescent="0.3">
      <c r="A161" s="395" t="s">
        <v>1726</v>
      </c>
      <c r="B161" s="396">
        <f>'Excel Calc'!C72</f>
        <v>1E-3</v>
      </c>
      <c r="C161" s="396" t="s">
        <v>656</v>
      </c>
      <c r="D161" s="395"/>
    </row>
    <row r="162" spans="1:4" x14ac:dyDescent="0.3">
      <c r="A162" s="395" t="s">
        <v>1727</v>
      </c>
      <c r="B162" s="396">
        <f>'Excel Calc'!C73</f>
        <v>1</v>
      </c>
      <c r="C162" s="396" t="s">
        <v>655</v>
      </c>
      <c r="D162" s="395"/>
    </row>
    <row r="163" spans="1:4" x14ac:dyDescent="0.3">
      <c r="A163" s="395" t="s">
        <v>1730</v>
      </c>
      <c r="B163" s="396">
        <f>'Excel Calc'!D72</f>
        <v>90.5</v>
      </c>
      <c r="C163" s="396" t="s">
        <v>656</v>
      </c>
      <c r="D163" s="395"/>
    </row>
    <row r="164" spans="1:4" x14ac:dyDescent="0.3">
      <c r="A164" s="395" t="s">
        <v>1731</v>
      </c>
      <c r="B164" s="396">
        <f>'Excel Calc'!D73</f>
        <v>1</v>
      </c>
      <c r="C164" s="396" t="s">
        <v>655</v>
      </c>
      <c r="D164" s="395"/>
    </row>
    <row r="165" spans="1:4" x14ac:dyDescent="0.3">
      <c r="A165" s="395" t="s">
        <v>1732</v>
      </c>
      <c r="B165" s="396">
        <f>'Excel Calc'!E72</f>
        <v>121</v>
      </c>
      <c r="C165" s="396" t="s">
        <v>656</v>
      </c>
      <c r="D165" s="395"/>
    </row>
    <row r="166" spans="1:4" x14ac:dyDescent="0.3">
      <c r="A166" s="395" t="s">
        <v>1733</v>
      </c>
      <c r="B166" s="396">
        <f>'Excel Calc'!E73</f>
        <v>3</v>
      </c>
      <c r="C166" s="396" t="s">
        <v>655</v>
      </c>
      <c r="D166" s="395"/>
    </row>
    <row r="167" spans="1:4" x14ac:dyDescent="0.3">
      <c r="A167" s="395" t="s">
        <v>1734</v>
      </c>
      <c r="B167" s="396">
        <f>'Excel Calc'!F72</f>
        <v>151.5</v>
      </c>
      <c r="C167" s="396" t="s">
        <v>656</v>
      </c>
      <c r="D167" s="395"/>
    </row>
    <row r="168" spans="1:4" x14ac:dyDescent="0.3">
      <c r="A168" s="395" t="s">
        <v>1735</v>
      </c>
      <c r="B168" s="396">
        <f>'Excel Calc'!F73</f>
        <v>3</v>
      </c>
      <c r="C168" s="396" t="s">
        <v>655</v>
      </c>
      <c r="D168" s="395"/>
    </row>
    <row r="169" spans="1:4" x14ac:dyDescent="0.3">
      <c r="A169" s="395" t="s">
        <v>1736</v>
      </c>
      <c r="B169" s="396">
        <f>'Excel Calc'!G72</f>
        <v>1E-3</v>
      </c>
      <c r="C169" s="396" t="s">
        <v>656</v>
      </c>
      <c r="D169" s="395"/>
    </row>
    <row r="170" spans="1:4" x14ac:dyDescent="0.3">
      <c r="A170" s="395" t="s">
        <v>1737</v>
      </c>
      <c r="B170" s="396">
        <f>'Excel Calc'!G73</f>
        <v>1</v>
      </c>
      <c r="C170" s="396" t="s">
        <v>655</v>
      </c>
      <c r="D170" s="395"/>
    </row>
    <row r="171" spans="1:4" x14ac:dyDescent="0.3">
      <c r="A171" s="395" t="s">
        <v>1742</v>
      </c>
      <c r="B171" s="396">
        <f>'Excel Calc'!B79</f>
        <v>34.25</v>
      </c>
      <c r="C171" s="396" t="s">
        <v>656</v>
      </c>
      <c r="D171" s="395"/>
    </row>
    <row r="172" spans="1:4" x14ac:dyDescent="0.3">
      <c r="A172" s="395" t="s">
        <v>1743</v>
      </c>
      <c r="B172" s="396">
        <f>'Excel Calc'!B80</f>
        <v>37.5</v>
      </c>
      <c r="C172" s="396" t="s">
        <v>656</v>
      </c>
      <c r="D172" s="395"/>
    </row>
    <row r="173" spans="1:4" x14ac:dyDescent="0.3">
      <c r="A173" s="395" t="s">
        <v>1744</v>
      </c>
      <c r="B173" s="396">
        <f>'Excel Calc'!C79</f>
        <v>64.75</v>
      </c>
      <c r="C173" s="396" t="s">
        <v>656</v>
      </c>
      <c r="D173" s="395"/>
    </row>
    <row r="174" spans="1:4" x14ac:dyDescent="0.3">
      <c r="A174" s="395" t="s">
        <v>1745</v>
      </c>
      <c r="B174" s="396">
        <f>'Excel Calc'!C80</f>
        <v>68</v>
      </c>
      <c r="C174" s="396" t="s">
        <v>656</v>
      </c>
      <c r="D174" s="395"/>
    </row>
    <row r="175" spans="1:4" x14ac:dyDescent="0.3">
      <c r="A175" s="395" t="s">
        <v>1746</v>
      </c>
      <c r="B175" s="396">
        <f>'Excel Calc'!D79</f>
        <v>1E-3</v>
      </c>
      <c r="C175" s="396" t="s">
        <v>656</v>
      </c>
      <c r="D175" s="395"/>
    </row>
    <row r="176" spans="1:4" x14ac:dyDescent="0.3">
      <c r="A176" s="395" t="s">
        <v>1747</v>
      </c>
      <c r="B176" s="396">
        <f>'Excel Calc'!D80</f>
        <v>1E-3</v>
      </c>
      <c r="C176" s="396" t="s">
        <v>656</v>
      </c>
      <c r="D176" s="395"/>
    </row>
    <row r="177" spans="1:4" x14ac:dyDescent="0.3">
      <c r="A177" s="395" t="s">
        <v>1750</v>
      </c>
      <c r="B177" s="396">
        <f>'Excel Calc'!F81</f>
        <v>1E-3</v>
      </c>
      <c r="C177" s="396" t="s">
        <v>656</v>
      </c>
      <c r="D177" s="395"/>
    </row>
    <row r="178" spans="1:4" x14ac:dyDescent="0.3">
      <c r="A178" s="395" t="s">
        <v>1751</v>
      </c>
      <c r="B178" s="396">
        <f>'Excel Calc'!F82</f>
        <v>1E-3</v>
      </c>
      <c r="C178" s="396" t="s">
        <v>656</v>
      </c>
      <c r="D178" s="395"/>
    </row>
    <row r="179" spans="1:4" x14ac:dyDescent="0.3">
      <c r="A179" s="395" t="s">
        <v>1752</v>
      </c>
      <c r="B179" s="396">
        <f>'Excel Calc'!E81</f>
        <v>125.75</v>
      </c>
      <c r="C179" s="396" t="s">
        <v>656</v>
      </c>
      <c r="D179" s="395"/>
    </row>
    <row r="180" spans="1:4" x14ac:dyDescent="0.3">
      <c r="A180" s="395" t="s">
        <v>1753</v>
      </c>
      <c r="B180" s="396">
        <f>'Excel Calc'!E82</f>
        <v>129</v>
      </c>
      <c r="C180" s="396" t="s">
        <v>656</v>
      </c>
      <c r="D180" s="395"/>
    </row>
    <row r="181" spans="1:4" x14ac:dyDescent="0.3">
      <c r="A181" s="395" t="s">
        <v>1748</v>
      </c>
      <c r="B181" s="396">
        <f>'Excel Calc'!D81</f>
        <v>95.25</v>
      </c>
      <c r="C181" s="396" t="s">
        <v>656</v>
      </c>
      <c r="D181" s="395"/>
    </row>
    <row r="182" spans="1:4" x14ac:dyDescent="0.3">
      <c r="A182" s="395" t="s">
        <v>1749</v>
      </c>
      <c r="B182" s="396">
        <f>'Excel Calc'!D82</f>
        <v>98.5</v>
      </c>
      <c r="C182" s="396" t="s">
        <v>656</v>
      </c>
      <c r="D182" s="395"/>
    </row>
    <row r="183" spans="1:4" x14ac:dyDescent="0.3">
      <c r="A183" s="395" t="s">
        <v>1774</v>
      </c>
      <c r="B183" s="396">
        <f>'Excel Calc'!C81</f>
        <v>1E-3</v>
      </c>
      <c r="C183" s="396" t="s">
        <v>656</v>
      </c>
      <c r="D183" s="395"/>
    </row>
    <row r="184" spans="1:4" x14ac:dyDescent="0.3">
      <c r="A184" s="395" t="s">
        <v>1775</v>
      </c>
      <c r="B184" s="396">
        <f>'Excel Calc'!C82</f>
        <v>1E-3</v>
      </c>
      <c r="C184" s="396" t="s">
        <v>656</v>
      </c>
      <c r="D184" s="395"/>
    </row>
    <row r="185" spans="1:4" x14ac:dyDescent="0.3">
      <c r="A185" s="395" t="s">
        <v>1754</v>
      </c>
      <c r="B185" s="396">
        <f>'Excel Calc'!B75</f>
        <v>32</v>
      </c>
      <c r="C185" s="396" t="s">
        <v>656</v>
      </c>
      <c r="D185" s="395"/>
    </row>
    <row r="186" spans="1:4" x14ac:dyDescent="0.3">
      <c r="A186" s="395" t="s">
        <v>1761</v>
      </c>
      <c r="B186" s="396">
        <f>'Excel Calc'!B76</f>
        <v>2</v>
      </c>
      <c r="C186" s="396" t="s">
        <v>655</v>
      </c>
      <c r="D186" s="395"/>
    </row>
    <row r="187" spans="1:4" x14ac:dyDescent="0.3">
      <c r="A187" s="395" t="s">
        <v>1755</v>
      </c>
      <c r="B187" s="396">
        <f>'Excel Calc'!C75</f>
        <v>62.5</v>
      </c>
      <c r="C187" s="396" t="s">
        <v>656</v>
      </c>
      <c r="D187" s="395"/>
    </row>
    <row r="188" spans="1:4" x14ac:dyDescent="0.3">
      <c r="A188" s="395" t="s">
        <v>1762</v>
      </c>
      <c r="B188" s="396">
        <f>'Excel Calc'!C76</f>
        <v>2</v>
      </c>
      <c r="C188" s="396" t="s">
        <v>655</v>
      </c>
      <c r="D188" s="395"/>
    </row>
    <row r="189" spans="1:4" x14ac:dyDescent="0.3">
      <c r="A189" s="395" t="s">
        <v>1756</v>
      </c>
      <c r="B189" s="396">
        <f>'Excel Calc'!D75</f>
        <v>1E-3</v>
      </c>
      <c r="C189" s="396" t="s">
        <v>656</v>
      </c>
      <c r="D189" s="395"/>
    </row>
    <row r="190" spans="1:4" x14ac:dyDescent="0.3">
      <c r="A190" s="395" t="s">
        <v>1763</v>
      </c>
      <c r="B190" s="396">
        <f>'Excel Calc'!D76</f>
        <v>2</v>
      </c>
      <c r="C190" s="396" t="s">
        <v>655</v>
      </c>
      <c r="D190" s="395"/>
    </row>
    <row r="191" spans="1:4" x14ac:dyDescent="0.3">
      <c r="A191" s="395" t="s">
        <v>1757</v>
      </c>
      <c r="B191" s="396">
        <f>'Excel Calc'!C77</f>
        <v>1E-3</v>
      </c>
      <c r="C191" s="396" t="s">
        <v>656</v>
      </c>
      <c r="D191" s="395"/>
    </row>
    <row r="192" spans="1:4" x14ac:dyDescent="0.3">
      <c r="A192" s="395" t="s">
        <v>1764</v>
      </c>
      <c r="B192" s="396">
        <f>'Excel Calc'!C78</f>
        <v>1</v>
      </c>
      <c r="C192" s="396" t="s">
        <v>655</v>
      </c>
      <c r="D192" s="395"/>
    </row>
    <row r="193" spans="1:4" x14ac:dyDescent="0.3">
      <c r="A193" s="395" t="s">
        <v>1758</v>
      </c>
      <c r="B193" s="396">
        <f>'Excel Calc'!D77</f>
        <v>97.5</v>
      </c>
      <c r="C193" s="396" t="s">
        <v>656</v>
      </c>
      <c r="D193" s="395"/>
    </row>
    <row r="194" spans="1:4" x14ac:dyDescent="0.3">
      <c r="A194" s="395" t="s">
        <v>1765</v>
      </c>
      <c r="B194" s="396">
        <f>'Excel Calc'!D78</f>
        <v>2</v>
      </c>
      <c r="C194" s="396" t="s">
        <v>655</v>
      </c>
      <c r="D194" s="395"/>
    </row>
    <row r="195" spans="1:4" x14ac:dyDescent="0.3">
      <c r="A195" s="395" t="s">
        <v>1759</v>
      </c>
      <c r="B195" s="396">
        <f>'Excel Calc'!E77</f>
        <v>128</v>
      </c>
      <c r="C195" s="396" t="s">
        <v>656</v>
      </c>
      <c r="D195" s="395"/>
    </row>
    <row r="196" spans="1:4" x14ac:dyDescent="0.3">
      <c r="A196" s="395" t="s">
        <v>1766</v>
      </c>
      <c r="B196" s="396">
        <f>'Excel Calc'!E78</f>
        <v>2</v>
      </c>
      <c r="C196" s="396" t="s">
        <v>655</v>
      </c>
      <c r="D196" s="395"/>
    </row>
    <row r="197" spans="1:4" x14ac:dyDescent="0.3">
      <c r="A197" s="395" t="s">
        <v>1760</v>
      </c>
      <c r="B197" s="396">
        <f>'Excel Calc'!F77</f>
        <v>1E-3</v>
      </c>
      <c r="C197" s="396" t="s">
        <v>656</v>
      </c>
      <c r="D197" s="395"/>
    </row>
    <row r="198" spans="1:4" x14ac:dyDescent="0.3">
      <c r="A198" s="395" t="s">
        <v>1767</v>
      </c>
      <c r="B198" s="396">
        <f>'Excel Calc'!F78</f>
        <v>1</v>
      </c>
      <c r="C198" s="396" t="s">
        <v>655</v>
      </c>
      <c r="D198" s="395"/>
    </row>
    <row r="199" spans="1:4" x14ac:dyDescent="0.3">
      <c r="A199" s="395" t="s">
        <v>1776</v>
      </c>
      <c r="B199" s="396">
        <f>'Excel Calc'!C83</f>
        <v>60.435009999999998</v>
      </c>
      <c r="C199" s="396" t="s">
        <v>656</v>
      </c>
      <c r="D199" s="395"/>
    </row>
    <row r="200" spans="1:4" x14ac:dyDescent="0.3">
      <c r="A200" s="395" t="s">
        <v>1777</v>
      </c>
      <c r="B200" s="396">
        <f>'Excel Calc'!D83</f>
        <v>1E-3</v>
      </c>
      <c r="C200" s="396" t="s">
        <v>656</v>
      </c>
      <c r="D200" s="395"/>
    </row>
    <row r="201" spans="1:4" x14ac:dyDescent="0.3">
      <c r="A201" s="395" t="s">
        <v>1778</v>
      </c>
      <c r="B201" s="396">
        <f>'Excel Calc'!F84</f>
        <v>1E-3</v>
      </c>
      <c r="C201" s="396" t="s">
        <v>656</v>
      </c>
      <c r="D201" s="395"/>
    </row>
    <row r="202" spans="1:4" x14ac:dyDescent="0.3">
      <c r="A202" s="395" t="s">
        <v>1779</v>
      </c>
      <c r="B202" s="396">
        <f>'Excel Calc'!E84</f>
        <v>121.43501000000001</v>
      </c>
      <c r="C202" s="396" t="s">
        <v>656</v>
      </c>
      <c r="D202" s="395"/>
    </row>
    <row r="203" spans="1:4" x14ac:dyDescent="0.3">
      <c r="A203" s="395" t="s">
        <v>1780</v>
      </c>
      <c r="B203" s="396">
        <f>'Excel Calc'!D84</f>
        <v>90.935010000000005</v>
      </c>
      <c r="C203" s="396" t="s">
        <v>656</v>
      </c>
      <c r="D203" s="395"/>
    </row>
    <row r="204" spans="1:4" x14ac:dyDescent="0.3">
      <c r="A204" s="395" t="s">
        <v>1781</v>
      </c>
      <c r="B204" s="396">
        <f>'Excel Calc'!C84</f>
        <v>1E-3</v>
      </c>
      <c r="C204" s="396" t="s">
        <v>656</v>
      </c>
      <c r="D204" s="395"/>
    </row>
    <row r="205" spans="1:4" x14ac:dyDescent="0.3">
      <c r="A205" s="395" t="s">
        <v>1783</v>
      </c>
      <c r="B205" s="396">
        <f>'Excel Calc'!B85</f>
        <v>37.625</v>
      </c>
      <c r="C205" s="396" t="s">
        <v>656</v>
      </c>
      <c r="D205" s="395"/>
    </row>
    <row r="206" spans="1:4" x14ac:dyDescent="0.3">
      <c r="A206" s="395" t="s">
        <v>1782</v>
      </c>
      <c r="B206" s="396">
        <f>'Excel Calc'!C85</f>
        <v>68.125</v>
      </c>
      <c r="C206" s="396" t="s">
        <v>656</v>
      </c>
      <c r="D206" s="395"/>
    </row>
    <row r="207" spans="1:4" x14ac:dyDescent="0.3">
      <c r="A207" s="395" t="s">
        <v>1784</v>
      </c>
      <c r="B207" s="396">
        <f>'Excel Calc'!D85</f>
        <v>1E-3</v>
      </c>
      <c r="C207" s="396" t="s">
        <v>656</v>
      </c>
      <c r="D207" s="395"/>
    </row>
    <row r="208" spans="1:4" x14ac:dyDescent="0.3">
      <c r="A208" s="395" t="s">
        <v>1785</v>
      </c>
      <c r="B208" s="396">
        <f>'Excel Calc'!F86</f>
        <v>1E-3</v>
      </c>
      <c r="C208" s="396" t="s">
        <v>656</v>
      </c>
      <c r="D208" s="395"/>
    </row>
    <row r="209" spans="1:4" x14ac:dyDescent="0.3">
      <c r="A209" s="395" t="s">
        <v>1786</v>
      </c>
      <c r="B209" s="396">
        <f>'Excel Calc'!E86</f>
        <v>98.625</v>
      </c>
      <c r="C209" s="396" t="s">
        <v>656</v>
      </c>
      <c r="D209" s="395"/>
    </row>
    <row r="210" spans="1:4" x14ac:dyDescent="0.3">
      <c r="A210" s="395" t="s">
        <v>1787</v>
      </c>
      <c r="B210" s="396">
        <f>'Excel Calc'!D86</f>
        <v>1E-3</v>
      </c>
      <c r="C210" s="396" t="s">
        <v>656</v>
      </c>
      <c r="D210" s="395"/>
    </row>
    <row r="211" spans="1:4" x14ac:dyDescent="0.3">
      <c r="A211" s="395" t="s">
        <v>1788</v>
      </c>
      <c r="B211" s="396">
        <f>'Excel Calc'!C86</f>
        <v>1E-3</v>
      </c>
      <c r="C211" s="396" t="s">
        <v>656</v>
      </c>
      <c r="D211" s="395"/>
    </row>
    <row r="212" spans="1:4" x14ac:dyDescent="0.3">
      <c r="A212" s="395" t="s">
        <v>1845</v>
      </c>
      <c r="B212" s="396">
        <f>'Excel Calc'!B87</f>
        <v>63.810009999999998</v>
      </c>
      <c r="C212" s="396" t="s">
        <v>656</v>
      </c>
      <c r="D212" s="395"/>
    </row>
    <row r="213" spans="1:4" x14ac:dyDescent="0.3">
      <c r="A213" s="395" t="s">
        <v>1846</v>
      </c>
      <c r="B213" s="396">
        <f>'Excel Calc'!C87</f>
        <v>1E-3</v>
      </c>
      <c r="C213" s="396" t="s">
        <v>656</v>
      </c>
      <c r="D213" s="395"/>
    </row>
    <row r="214" spans="1:4" x14ac:dyDescent="0.3">
      <c r="A214" s="395" t="s">
        <v>1847</v>
      </c>
      <c r="B214" s="396">
        <f>'Excel Calc'!D87</f>
        <v>1E-3</v>
      </c>
      <c r="C214" s="396" t="s">
        <v>656</v>
      </c>
      <c r="D214" s="395"/>
    </row>
    <row r="215" spans="1:4" x14ac:dyDescent="0.3">
      <c r="A215" s="395" t="s">
        <v>1848</v>
      </c>
      <c r="B215" s="396">
        <f>'Excel Calc'!F88</f>
        <v>1E-3</v>
      </c>
      <c r="C215" s="396" t="s">
        <v>656</v>
      </c>
      <c r="D215" s="395"/>
    </row>
    <row r="216" spans="1:4" x14ac:dyDescent="0.3">
      <c r="A216" s="395" t="s">
        <v>1849</v>
      </c>
      <c r="B216" s="396">
        <f>'Excel Calc'!E88</f>
        <v>124.81001000000001</v>
      </c>
      <c r="C216" s="396" t="s">
        <v>656</v>
      </c>
      <c r="D216" s="395"/>
    </row>
    <row r="217" spans="1:4" x14ac:dyDescent="0.3">
      <c r="A217" s="395" t="s">
        <v>1850</v>
      </c>
      <c r="B217" s="396">
        <f>'Excel Calc'!D88</f>
        <v>94.310010000000005</v>
      </c>
      <c r="C217" s="396" t="s">
        <v>656</v>
      </c>
      <c r="D217" s="395"/>
    </row>
    <row r="218" spans="1:4" x14ac:dyDescent="0.3">
      <c r="A218" s="395" t="s">
        <v>1851</v>
      </c>
      <c r="B218" s="396">
        <f>'Excel Calc'!C88</f>
        <v>1E-3</v>
      </c>
      <c r="C218" s="396" t="s">
        <v>656</v>
      </c>
      <c r="D218" s="395"/>
    </row>
    <row r="219" spans="1:4" x14ac:dyDescent="0.3">
      <c r="A219" s="395" t="s">
        <v>1860</v>
      </c>
      <c r="B219" s="396">
        <f>'Excel Calc'!B89</f>
        <v>51.950298166058303</v>
      </c>
      <c r="C219" s="396" t="s">
        <v>656</v>
      </c>
      <c r="D219" s="395"/>
    </row>
    <row r="220" spans="1:4" x14ac:dyDescent="0.3">
      <c r="A220" s="395" t="s">
        <v>1861</v>
      </c>
      <c r="B220" s="396">
        <f>'Excel Calc'!B90</f>
        <v>53.450298166058303</v>
      </c>
      <c r="C220" s="396" t="s">
        <v>656</v>
      </c>
      <c r="D220" s="395"/>
    </row>
    <row r="221" spans="1:4" x14ac:dyDescent="0.3">
      <c r="A221" s="395" t="s">
        <v>1862</v>
      </c>
      <c r="B221" s="396">
        <f>'Excel Calc'!C89</f>
        <v>1E-3</v>
      </c>
      <c r="C221" s="396" t="s">
        <v>656</v>
      </c>
      <c r="D221" s="395"/>
    </row>
    <row r="222" spans="1:4" x14ac:dyDescent="0.3">
      <c r="A222" s="395" t="s">
        <v>1863</v>
      </c>
      <c r="B222" s="396">
        <f>'Excel Calc'!C90</f>
        <v>1E-3</v>
      </c>
      <c r="C222" s="396" t="s">
        <v>656</v>
      </c>
      <c r="D222" s="395"/>
    </row>
    <row r="223" spans="1:4" x14ac:dyDescent="0.3">
      <c r="A223" s="395" t="s">
        <v>1864</v>
      </c>
      <c r="B223" s="396">
        <f>'Excel Calc'!F91</f>
        <v>1E-3</v>
      </c>
      <c r="C223" s="396" t="s">
        <v>656</v>
      </c>
      <c r="D223" s="395"/>
    </row>
    <row r="224" spans="1:4" x14ac:dyDescent="0.3">
      <c r="A224" s="395" t="s">
        <v>1865</v>
      </c>
      <c r="B224" s="396">
        <f>'Excel Calc'!F92</f>
        <v>1E-3</v>
      </c>
      <c r="C224" s="396" t="s">
        <v>656</v>
      </c>
      <c r="D224" s="395"/>
    </row>
    <row r="225" spans="1:4" x14ac:dyDescent="0.3">
      <c r="A225" s="395" t="s">
        <v>1866</v>
      </c>
      <c r="B225" s="396">
        <f>'Excel Calc'!E91</f>
        <v>143.4502981660583</v>
      </c>
      <c r="C225" s="396" t="s">
        <v>656</v>
      </c>
      <c r="D225" s="395"/>
    </row>
    <row r="226" spans="1:4" x14ac:dyDescent="0.3">
      <c r="A226" s="395" t="s">
        <v>1867</v>
      </c>
      <c r="B226" s="396">
        <f>'Excel Calc'!E92</f>
        <v>144.9502981660583</v>
      </c>
      <c r="C226" s="396" t="s">
        <v>656</v>
      </c>
      <c r="D226" s="395"/>
    </row>
    <row r="227" spans="1:4" x14ac:dyDescent="0.3">
      <c r="A227" s="395" t="s">
        <v>1868</v>
      </c>
      <c r="B227" s="396">
        <f>'Excel Calc'!D91</f>
        <v>112.9502981660583</v>
      </c>
      <c r="C227" s="396" t="s">
        <v>656</v>
      </c>
      <c r="D227" s="395"/>
    </row>
    <row r="228" spans="1:4" x14ac:dyDescent="0.3">
      <c r="A228" s="395" t="s">
        <v>1869</v>
      </c>
      <c r="B228" s="396">
        <f>'Excel Calc'!D92</f>
        <v>114.4502981660583</v>
      </c>
      <c r="C228" s="396" t="s">
        <v>656</v>
      </c>
      <c r="D228" s="395"/>
    </row>
    <row r="229" spans="1:4" x14ac:dyDescent="0.3">
      <c r="A229" s="395" t="s">
        <v>1870</v>
      </c>
      <c r="B229" s="396">
        <f>'Excel Calc'!C91</f>
        <v>82.450298166058303</v>
      </c>
      <c r="C229" s="396" t="s">
        <v>656</v>
      </c>
      <c r="D229" s="395"/>
    </row>
    <row r="230" spans="1:4" x14ac:dyDescent="0.3">
      <c r="A230" s="395" t="s">
        <v>1871</v>
      </c>
      <c r="B230" s="396">
        <f>'Excel Calc'!C92</f>
        <v>83.950298166058303</v>
      </c>
      <c r="C230" s="396" t="s">
        <v>656</v>
      </c>
      <c r="D230" s="395"/>
    </row>
    <row r="231" spans="1:4" x14ac:dyDescent="0.3">
      <c r="A231" s="395" t="s">
        <v>1872</v>
      </c>
      <c r="B231" s="396">
        <f>'Excel Calc'!B93</f>
        <v>15.609711833941699</v>
      </c>
      <c r="C231" s="396" t="s">
        <v>656</v>
      </c>
      <c r="D231" s="395"/>
    </row>
    <row r="232" spans="1:4" x14ac:dyDescent="0.3">
      <c r="A232" s="395" t="s">
        <v>1873</v>
      </c>
      <c r="B232" s="396">
        <f>'Excel Calc'!B94</f>
        <v>14.109711833941699</v>
      </c>
      <c r="C232" s="396" t="s">
        <v>656</v>
      </c>
      <c r="D232" s="395"/>
    </row>
    <row r="233" spans="1:4" x14ac:dyDescent="0.3">
      <c r="A233" s="395" t="s">
        <v>1874</v>
      </c>
      <c r="B233" s="396">
        <f>'Excel Calc'!C93</f>
        <v>46.109711833941702</v>
      </c>
      <c r="C233" s="396" t="s">
        <v>656</v>
      </c>
      <c r="D233" s="395"/>
    </row>
    <row r="234" spans="1:4" x14ac:dyDescent="0.3">
      <c r="A234" s="395" t="s">
        <v>1875</v>
      </c>
      <c r="B234" s="396">
        <f>'Excel Calc'!C94</f>
        <v>44.609711833941702</v>
      </c>
      <c r="C234" s="396" t="s">
        <v>656</v>
      </c>
      <c r="D234" s="395"/>
    </row>
    <row r="235" spans="1:4" x14ac:dyDescent="0.3">
      <c r="A235" s="395" t="s">
        <v>1876</v>
      </c>
      <c r="B235" s="396">
        <f>'Excel Calc'!D93</f>
        <v>76.609711833941702</v>
      </c>
      <c r="C235" s="396" t="s">
        <v>656</v>
      </c>
      <c r="D235" s="395"/>
    </row>
    <row r="236" spans="1:4" x14ac:dyDescent="0.3">
      <c r="A236" s="395" t="s">
        <v>1877</v>
      </c>
      <c r="B236" s="396">
        <f>'Excel Calc'!D94</f>
        <v>75.109711833941702</v>
      </c>
      <c r="C236" s="396" t="s">
        <v>656</v>
      </c>
      <c r="D236" s="395"/>
    </row>
    <row r="237" spans="1:4" x14ac:dyDescent="0.3">
      <c r="A237" s="395" t="s">
        <v>1878</v>
      </c>
      <c r="B237" s="396">
        <f>'Excel Calc'!F95</f>
        <v>1E-3</v>
      </c>
      <c r="C237" s="396" t="s">
        <v>656</v>
      </c>
      <c r="D237" s="395"/>
    </row>
    <row r="238" spans="1:4" x14ac:dyDescent="0.3">
      <c r="A238" s="395" t="s">
        <v>1879</v>
      </c>
      <c r="B238" s="396">
        <f>'Excel Calc'!F96</f>
        <v>1E-3</v>
      </c>
      <c r="C238" s="396" t="s">
        <v>656</v>
      </c>
      <c r="D238" s="395"/>
    </row>
    <row r="239" spans="1:4" x14ac:dyDescent="0.3">
      <c r="A239" s="395" t="s">
        <v>1880</v>
      </c>
      <c r="B239" s="396">
        <f>'Excel Calc'!E95</f>
        <v>107.1097118339417</v>
      </c>
      <c r="C239" s="396" t="s">
        <v>656</v>
      </c>
      <c r="D239" s="395"/>
    </row>
    <row r="240" spans="1:4" x14ac:dyDescent="0.3">
      <c r="A240" s="395" t="s">
        <v>1881</v>
      </c>
      <c r="B240" s="396">
        <f>'Excel Calc'!E96</f>
        <v>105.6097118339417</v>
      </c>
      <c r="C240" s="396" t="s">
        <v>656</v>
      </c>
      <c r="D240" s="395"/>
    </row>
    <row r="241" spans="1:4" x14ac:dyDescent="0.3">
      <c r="A241" s="395" t="s">
        <v>1882</v>
      </c>
      <c r="B241" s="396">
        <f>'Excel Calc'!D95</f>
        <v>1E-3</v>
      </c>
      <c r="C241" s="396" t="s">
        <v>656</v>
      </c>
      <c r="D241" s="395"/>
    </row>
    <row r="242" spans="1:4" x14ac:dyDescent="0.3">
      <c r="A242" s="395" t="s">
        <v>1883</v>
      </c>
      <c r="B242" s="396">
        <f>'Excel Calc'!D96</f>
        <v>1E-3</v>
      </c>
      <c r="C242" s="396" t="s">
        <v>656</v>
      </c>
      <c r="D242" s="395"/>
    </row>
    <row r="243" spans="1:4" x14ac:dyDescent="0.3">
      <c r="A243" s="395" t="s">
        <v>1884</v>
      </c>
      <c r="B243" s="396">
        <f>'Excel Calc'!C95</f>
        <v>1E-3</v>
      </c>
      <c r="C243" s="396" t="s">
        <v>656</v>
      </c>
      <c r="D243" s="395"/>
    </row>
    <row r="244" spans="1:4" x14ac:dyDescent="0.3">
      <c r="A244" s="395" t="s">
        <v>1885</v>
      </c>
      <c r="B244" s="396">
        <f>'Excel Calc'!C96</f>
        <v>1E-3</v>
      </c>
      <c r="C244" s="396" t="s">
        <v>656</v>
      </c>
      <c r="D244" s="395"/>
    </row>
    <row r="245" spans="1:4" x14ac:dyDescent="0.3">
      <c r="A245" s="397" t="s">
        <v>1614</v>
      </c>
      <c r="B245" s="398">
        <f>'Excel Calc'!J5</f>
        <v>0.10501000000000001</v>
      </c>
      <c r="C245" s="398" t="s">
        <v>656</v>
      </c>
      <c r="D245" s="397"/>
    </row>
    <row r="246" spans="1:4" x14ac:dyDescent="0.3">
      <c r="A246" s="397" t="s">
        <v>33</v>
      </c>
      <c r="B246" s="398">
        <f>'Excel Calc'!J6</f>
        <v>4.5</v>
      </c>
      <c r="C246" s="398" t="s">
        <v>656</v>
      </c>
      <c r="D246" s="397"/>
    </row>
    <row r="247" spans="1:4" x14ac:dyDescent="0.3">
      <c r="A247" s="397" t="s">
        <v>34</v>
      </c>
      <c r="B247" s="398">
        <f>'Excel Calc'!J7</f>
        <v>6.5</v>
      </c>
      <c r="C247" s="398" t="s">
        <v>656</v>
      </c>
      <c r="D247" s="397"/>
    </row>
    <row r="248" spans="1:4" x14ac:dyDescent="0.3">
      <c r="A248" s="397" t="s">
        <v>1615</v>
      </c>
      <c r="B248" s="398">
        <f>'Excel Calc'!J8</f>
        <v>24</v>
      </c>
      <c r="C248" s="398" t="s">
        <v>656</v>
      </c>
      <c r="D248" s="397"/>
    </row>
    <row r="249" spans="1:4" x14ac:dyDescent="0.3">
      <c r="A249" s="397" t="s">
        <v>1616</v>
      </c>
      <c r="B249" s="398">
        <f>'Excel Calc'!J9</f>
        <v>2</v>
      </c>
      <c r="C249" s="398" t="s">
        <v>656</v>
      </c>
      <c r="D249" s="397"/>
    </row>
    <row r="250" spans="1:4" x14ac:dyDescent="0.3">
      <c r="A250" s="397" t="s">
        <v>1617</v>
      </c>
      <c r="B250" s="398">
        <f>'Excel Calc'!J10</f>
        <v>0.625</v>
      </c>
      <c r="C250" s="398" t="s">
        <v>656</v>
      </c>
      <c r="D250" s="397"/>
    </row>
    <row r="251" spans="1:4" x14ac:dyDescent="0.3">
      <c r="A251" s="397" t="s">
        <v>1231</v>
      </c>
      <c r="B251" s="398">
        <f>'Excel Calc'!J11</f>
        <v>146</v>
      </c>
      <c r="C251" s="398" t="s">
        <v>656</v>
      </c>
      <c r="D251" s="397"/>
    </row>
    <row r="252" spans="1:4" x14ac:dyDescent="0.3">
      <c r="A252" s="397" t="s">
        <v>1633</v>
      </c>
      <c r="B252" s="398" t="str">
        <f>'Excel Calc'!J12</f>
        <v>0.188</v>
      </c>
      <c r="C252" s="398" t="s">
        <v>656</v>
      </c>
      <c r="D252" s="397"/>
    </row>
    <row r="253" spans="1:4" x14ac:dyDescent="0.3">
      <c r="A253" s="397" t="s">
        <v>1634</v>
      </c>
      <c r="B253" s="398">
        <f>'Excel Calc'!J13</f>
        <v>0.56200000000000006</v>
      </c>
      <c r="C253" s="398" t="s">
        <v>656</v>
      </c>
      <c r="D253" s="397"/>
    </row>
    <row r="254" spans="1:4" x14ac:dyDescent="0.3">
      <c r="A254" s="397" t="s">
        <v>41</v>
      </c>
      <c r="B254" s="398">
        <f>'Excel Calc'!J15</f>
        <v>1</v>
      </c>
      <c r="C254" s="398" t="s">
        <v>656</v>
      </c>
      <c r="D254" s="397"/>
    </row>
    <row r="255" spans="1:4" x14ac:dyDescent="0.3">
      <c r="A255" s="397" t="s">
        <v>1618</v>
      </c>
      <c r="B255" s="398">
        <f>'Excel Calc'!J16</f>
        <v>1</v>
      </c>
      <c r="C255" s="398" t="s">
        <v>656</v>
      </c>
      <c r="D255" s="397"/>
    </row>
    <row r="256" spans="1:4" x14ac:dyDescent="0.3">
      <c r="A256" s="397" t="s">
        <v>1619</v>
      </c>
      <c r="B256" s="398">
        <f>'Excel Calc'!J17</f>
        <v>2.5</v>
      </c>
      <c r="C256" s="398" t="s">
        <v>656</v>
      </c>
      <c r="D256" s="397"/>
    </row>
    <row r="257" spans="1:4" x14ac:dyDescent="0.3">
      <c r="A257" s="397" t="s">
        <v>1620</v>
      </c>
      <c r="B257" s="398">
        <f>'Excel Calc'!J18</f>
        <v>2</v>
      </c>
      <c r="C257" s="398" t="s">
        <v>655</v>
      </c>
      <c r="D257" s="397"/>
    </row>
    <row r="258" spans="1:4" x14ac:dyDescent="0.3">
      <c r="A258" s="397" t="s">
        <v>1642</v>
      </c>
      <c r="B258" s="398">
        <f>'Excel Calc'!J19</f>
        <v>4.5</v>
      </c>
      <c r="C258" s="398" t="s">
        <v>656</v>
      </c>
      <c r="D258" s="397"/>
    </row>
    <row r="259" spans="1:4" x14ac:dyDescent="0.3">
      <c r="A259" s="397" t="s">
        <v>1643</v>
      </c>
      <c r="B259" s="398">
        <f>'Excel Calc'!J20</f>
        <v>2</v>
      </c>
      <c r="C259" s="398" t="s">
        <v>655</v>
      </c>
      <c r="D259" s="397"/>
    </row>
    <row r="260" spans="1:4" x14ac:dyDescent="0.3">
      <c r="A260" s="397" t="s">
        <v>1621</v>
      </c>
      <c r="B260" s="398">
        <f>'Excel Calc'!J21</f>
        <v>0.82499999999999996</v>
      </c>
      <c r="C260" s="398" t="s">
        <v>656</v>
      </c>
      <c r="D260" s="397"/>
    </row>
    <row r="261" spans="1:4" x14ac:dyDescent="0.3">
      <c r="A261" s="397" t="s">
        <v>1622</v>
      </c>
      <c r="B261" s="398">
        <f>'Excel Calc'!J22</f>
        <v>1.5</v>
      </c>
      <c r="C261" s="398" t="s">
        <v>656</v>
      </c>
      <c r="D261" s="397"/>
    </row>
    <row r="262" spans="1:4" x14ac:dyDescent="0.3">
      <c r="A262" s="397" t="s">
        <v>1623</v>
      </c>
      <c r="B262" s="398">
        <f>'Excel Calc'!J23</f>
        <v>10.5</v>
      </c>
      <c r="C262" s="398" t="s">
        <v>656</v>
      </c>
      <c r="D262" s="397"/>
    </row>
    <row r="263" spans="1:4" x14ac:dyDescent="0.3">
      <c r="A263" s="397" t="s">
        <v>1624</v>
      </c>
      <c r="B263" s="398">
        <f>'Excel Calc'!J24</f>
        <v>3</v>
      </c>
      <c r="C263" s="398" t="s">
        <v>655</v>
      </c>
      <c r="D263" s="397"/>
    </row>
    <row r="264" spans="1:4" x14ac:dyDescent="0.3">
      <c r="A264" s="397" t="s">
        <v>1625</v>
      </c>
      <c r="B264" s="398">
        <f>'Excel Calc'!J25</f>
        <v>1.5</v>
      </c>
      <c r="C264" s="398" t="s">
        <v>656</v>
      </c>
      <c r="D264" s="397"/>
    </row>
    <row r="265" spans="1:4" x14ac:dyDescent="0.3">
      <c r="A265" s="397" t="s">
        <v>1626</v>
      </c>
      <c r="B265" s="398">
        <f>'Excel Calc'!J26</f>
        <v>8.0152881660583013</v>
      </c>
      <c r="C265" s="398" t="s">
        <v>656</v>
      </c>
      <c r="D265" s="397"/>
    </row>
    <row r="266" spans="1:4" x14ac:dyDescent="0.3">
      <c r="A266" s="397" t="s">
        <v>1627</v>
      </c>
      <c r="B266" s="398">
        <f>'Excel Calc'!J27</f>
        <v>9.3255781660583015</v>
      </c>
      <c r="C266" s="398" t="s">
        <v>656</v>
      </c>
      <c r="D266" s="397"/>
    </row>
    <row r="267" spans="1:4" x14ac:dyDescent="0.3">
      <c r="A267" s="397" t="s">
        <v>1628</v>
      </c>
      <c r="B267" s="398">
        <f>'Excel Calc'!J28</f>
        <v>1.5</v>
      </c>
      <c r="C267" s="398" t="s">
        <v>656</v>
      </c>
      <c r="D267" s="397"/>
    </row>
    <row r="268" spans="1:4" x14ac:dyDescent="0.3">
      <c r="A268" s="399" t="s">
        <v>1631</v>
      </c>
      <c r="B268" s="400">
        <f>'Excel Calc'!N5</f>
        <v>6.0010000000000001E-2</v>
      </c>
      <c r="C268" s="400" t="s">
        <v>656</v>
      </c>
      <c r="D268" s="399"/>
    </row>
    <row r="269" spans="1:4" x14ac:dyDescent="0.3">
      <c r="A269" s="399" t="s">
        <v>1651</v>
      </c>
      <c r="B269" s="400">
        <f>'Excel Calc'!N7</f>
        <v>6.0010000000000001E-2</v>
      </c>
      <c r="C269" s="400" t="s">
        <v>656</v>
      </c>
      <c r="D269" s="399"/>
    </row>
    <row r="270" spans="1:4" x14ac:dyDescent="0.3">
      <c r="A270" s="399" t="s">
        <v>1632</v>
      </c>
      <c r="B270" s="400">
        <f>'Excel Calc'!N8</f>
        <v>24.927000000000003</v>
      </c>
      <c r="C270" s="400" t="s">
        <v>656</v>
      </c>
      <c r="D270" s="399"/>
    </row>
    <row r="271" spans="1:4" x14ac:dyDescent="0.3">
      <c r="A271" s="399" t="s">
        <v>36</v>
      </c>
      <c r="B271" s="400">
        <f>'Excel Calc'!N9</f>
        <v>75</v>
      </c>
      <c r="C271" s="400" t="s">
        <v>656</v>
      </c>
      <c r="D271" s="399"/>
    </row>
    <row r="272" spans="1:4" x14ac:dyDescent="0.3">
      <c r="A272" s="399" t="s">
        <v>1230</v>
      </c>
      <c r="B272" s="400">
        <f>'Excel Calc'!N10</f>
        <v>31.25</v>
      </c>
      <c r="C272" s="400" t="s">
        <v>656</v>
      </c>
      <c r="D272" s="399"/>
    </row>
    <row r="273" spans="1:4" x14ac:dyDescent="0.3">
      <c r="A273" s="399" t="s">
        <v>1649</v>
      </c>
      <c r="B273" s="400">
        <f>'Excel Calc'!N11</f>
        <v>30.439990000000002</v>
      </c>
      <c r="C273" s="400" t="s">
        <v>656</v>
      </c>
      <c r="D273" s="399"/>
    </row>
    <row r="274" spans="1:4" x14ac:dyDescent="0.3">
      <c r="A274" s="399" t="s">
        <v>1686</v>
      </c>
      <c r="B274" s="400">
        <f>'Excel Calc'!N12</f>
        <v>32.189990000000002</v>
      </c>
      <c r="C274" s="400" t="s">
        <v>656</v>
      </c>
      <c r="D274" s="399"/>
    </row>
    <row r="275" spans="1:4" x14ac:dyDescent="0.3">
      <c r="A275" s="399" t="s">
        <v>1638</v>
      </c>
      <c r="B275" s="400">
        <f>'Excel Calc'!N13</f>
        <v>1</v>
      </c>
      <c r="C275" s="400" t="s">
        <v>656</v>
      </c>
      <c r="D275" s="399"/>
    </row>
    <row r="276" spans="1:4" x14ac:dyDescent="0.3">
      <c r="A276" s="399" t="s">
        <v>1639</v>
      </c>
      <c r="B276" s="400">
        <f>'Excel Calc'!N14</f>
        <v>1.31029</v>
      </c>
      <c r="C276" s="400" t="s">
        <v>656</v>
      </c>
      <c r="D276" s="399"/>
    </row>
    <row r="277" spans="1:4" x14ac:dyDescent="0.3">
      <c r="A277" s="399" t="s">
        <v>1636</v>
      </c>
      <c r="B277" s="400">
        <f>'Excel Calc'!N15</f>
        <v>0.312</v>
      </c>
      <c r="C277" s="400" t="s">
        <v>656</v>
      </c>
      <c r="D277" s="399"/>
    </row>
    <row r="278" spans="1:4" x14ac:dyDescent="0.3">
      <c r="A278" s="399" t="s">
        <v>1637</v>
      </c>
      <c r="B278" s="400" t="str">
        <f>'Excel Calc'!N16</f>
        <v>0.188</v>
      </c>
      <c r="C278" s="400" t="s">
        <v>656</v>
      </c>
      <c r="D278" s="399"/>
    </row>
    <row r="279" spans="1:4" x14ac:dyDescent="0.3">
      <c r="A279" s="399" t="s">
        <v>40</v>
      </c>
      <c r="B279" s="400">
        <f>'Excel Calc'!N17</f>
        <v>0.5</v>
      </c>
      <c r="C279" s="400" t="s">
        <v>656</v>
      </c>
      <c r="D279" s="399"/>
    </row>
    <row r="280" spans="1:4" x14ac:dyDescent="0.3">
      <c r="A280" s="399" t="s">
        <v>42</v>
      </c>
      <c r="B280" s="400">
        <f>'Excel Calc'!N18</f>
        <v>0.375</v>
      </c>
      <c r="C280" s="400" t="s">
        <v>656</v>
      </c>
      <c r="D280" s="399"/>
    </row>
    <row r="281" spans="1:4" x14ac:dyDescent="0.3">
      <c r="A281" s="399" t="s">
        <v>44</v>
      </c>
      <c r="B281" s="400">
        <f>'Excel Calc'!N19</f>
        <v>3.375</v>
      </c>
      <c r="C281" s="400" t="s">
        <v>656</v>
      </c>
      <c r="D281" s="399"/>
    </row>
    <row r="282" spans="1:4" x14ac:dyDescent="0.3">
      <c r="A282" s="399" t="s">
        <v>1652</v>
      </c>
      <c r="B282" s="400">
        <f>'Excel Calc'!N20</f>
        <v>3.25</v>
      </c>
      <c r="C282" s="400" t="s">
        <v>656</v>
      </c>
      <c r="D282" s="399"/>
    </row>
    <row r="283" spans="1:4" x14ac:dyDescent="0.3">
      <c r="A283" s="399" t="s">
        <v>47</v>
      </c>
      <c r="B283" s="400">
        <f>'Excel Calc'!N21</f>
        <v>8.25</v>
      </c>
      <c r="C283" s="400" t="s">
        <v>656</v>
      </c>
      <c r="D283" s="399"/>
    </row>
    <row r="284" spans="1:4" x14ac:dyDescent="0.3">
      <c r="A284" s="399" t="s">
        <v>1653</v>
      </c>
      <c r="B284" s="400">
        <f>'Excel Calc'!N22</f>
        <v>1.5</v>
      </c>
      <c r="C284" s="400" t="s">
        <v>656</v>
      </c>
      <c r="D284" s="399"/>
    </row>
    <row r="285" spans="1:4" x14ac:dyDescent="0.3">
      <c r="A285" s="399" t="s">
        <v>51</v>
      </c>
      <c r="B285" s="400">
        <f>'Excel Calc'!N23</f>
        <v>20.927000000000003</v>
      </c>
      <c r="C285" s="400" t="s">
        <v>656</v>
      </c>
      <c r="D285" s="399"/>
    </row>
    <row r="286" spans="1:4" x14ac:dyDescent="0.3">
      <c r="A286" s="399" t="s">
        <v>53</v>
      </c>
      <c r="B286" s="400">
        <f>'Excel Calc'!N24</f>
        <v>1.5</v>
      </c>
      <c r="C286" s="400" t="s">
        <v>656</v>
      </c>
      <c r="D286" s="399"/>
    </row>
    <row r="287" spans="1:4" x14ac:dyDescent="0.3">
      <c r="A287" s="399" t="s">
        <v>1201</v>
      </c>
      <c r="B287" s="400">
        <f>'Excel Calc'!N25</f>
        <v>1E-4</v>
      </c>
      <c r="C287" s="400" t="s">
        <v>656</v>
      </c>
      <c r="D287" s="399"/>
    </row>
    <row r="288" spans="1:4" x14ac:dyDescent="0.3">
      <c r="A288" s="399" t="s">
        <v>1202</v>
      </c>
      <c r="B288" s="400">
        <f>'Excel Calc'!N26</f>
        <v>1.5</v>
      </c>
      <c r="C288" s="400" t="s">
        <v>656</v>
      </c>
      <c r="D288" s="399"/>
    </row>
    <row r="289" spans="1:4" x14ac:dyDescent="0.3">
      <c r="A289" s="399" t="s">
        <v>1203</v>
      </c>
      <c r="B289" s="400">
        <f>'Excel Calc'!N27</f>
        <v>10.963500000000002</v>
      </c>
      <c r="C289" s="400" t="s">
        <v>656</v>
      </c>
      <c r="D289" s="399"/>
    </row>
    <row r="290" spans="1:4" x14ac:dyDescent="0.3">
      <c r="A290" s="399" t="s">
        <v>1204</v>
      </c>
      <c r="B290" s="400">
        <f>'Excel Calc'!N28</f>
        <v>3</v>
      </c>
      <c r="C290" s="400" t="s">
        <v>655</v>
      </c>
      <c r="D290" s="399"/>
    </row>
    <row r="291" spans="1:4" x14ac:dyDescent="0.3">
      <c r="A291" s="399" t="s">
        <v>1261</v>
      </c>
      <c r="B291" s="400">
        <f>'Excel Calc'!N29</f>
        <v>1.81029</v>
      </c>
      <c r="C291" s="400" t="s">
        <v>656</v>
      </c>
      <c r="D291" s="399"/>
    </row>
    <row r="292" spans="1:4" x14ac:dyDescent="0.3">
      <c r="A292" s="399" t="s">
        <v>1661</v>
      </c>
      <c r="B292" s="400">
        <f>'Excel Calc'!N30</f>
        <v>1E-3</v>
      </c>
      <c r="C292" s="400" t="s">
        <v>656</v>
      </c>
      <c r="D292" s="399"/>
    </row>
    <row r="293" spans="1:4" x14ac:dyDescent="0.3">
      <c r="A293" s="399" t="s">
        <v>1663</v>
      </c>
      <c r="B293" s="400">
        <f>'Excel Calc'!N32</f>
        <v>1.5</v>
      </c>
      <c r="C293" s="400" t="s">
        <v>656</v>
      </c>
      <c r="D293" s="399"/>
    </row>
    <row r="294" spans="1:4" x14ac:dyDescent="0.3">
      <c r="A294" s="399" t="s">
        <v>1664</v>
      </c>
      <c r="B294" s="400">
        <f>'Excel Calc'!N33</f>
        <v>1.5009999999999999</v>
      </c>
      <c r="C294" s="400" t="s">
        <v>656</v>
      </c>
      <c r="D294" s="399"/>
    </row>
    <row r="295" spans="1:4" x14ac:dyDescent="0.3">
      <c r="A295" s="399" t="s">
        <v>1665</v>
      </c>
      <c r="B295" s="400">
        <f>'Excel Calc'!N34</f>
        <v>0.43998999999999999</v>
      </c>
      <c r="C295" s="400" t="s">
        <v>656</v>
      </c>
      <c r="D295" s="399"/>
    </row>
    <row r="296" spans="1:4" x14ac:dyDescent="0.3">
      <c r="A296" s="399" t="s">
        <v>1666</v>
      </c>
      <c r="B296" s="400">
        <f>'Excel Calc'!N35</f>
        <v>1</v>
      </c>
      <c r="C296" s="400" t="s">
        <v>656</v>
      </c>
      <c r="D296" s="399"/>
    </row>
    <row r="297" spans="1:4" x14ac:dyDescent="0.3">
      <c r="A297" s="399" t="s">
        <v>1667</v>
      </c>
      <c r="B297" s="400">
        <f>'Excel Calc'!N36</f>
        <v>0.25</v>
      </c>
      <c r="C297" s="400" t="s">
        <v>656</v>
      </c>
      <c r="D297" s="399"/>
    </row>
    <row r="298" spans="1:4" x14ac:dyDescent="0.3">
      <c r="A298" s="399" t="s">
        <v>1668</v>
      </c>
      <c r="B298" s="400">
        <f>'Excel Calc'!N37</f>
        <v>26.995019999999997</v>
      </c>
      <c r="C298" s="400" t="s">
        <v>656</v>
      </c>
      <c r="D298" s="399"/>
    </row>
    <row r="299" spans="1:4" x14ac:dyDescent="0.3">
      <c r="A299" s="399" t="s">
        <v>1669</v>
      </c>
      <c r="B299" s="400">
        <f>'Excel Calc'!N38</f>
        <v>26.185009999999998</v>
      </c>
      <c r="C299" s="400" t="s">
        <v>656</v>
      </c>
      <c r="D299" s="399"/>
    </row>
    <row r="300" spans="1:4" x14ac:dyDescent="0.3">
      <c r="A300" s="399" t="s">
        <v>1687</v>
      </c>
      <c r="B300" s="400">
        <f>'Excel Calc'!N39</f>
        <v>27.935009999999998</v>
      </c>
      <c r="C300" s="400" t="s">
        <v>656</v>
      </c>
      <c r="D300" s="399"/>
    </row>
    <row r="301" spans="1:4" x14ac:dyDescent="0.3">
      <c r="A301" s="399" t="s">
        <v>1694</v>
      </c>
      <c r="B301" s="400">
        <f>'Excel Calc'!N40</f>
        <v>8</v>
      </c>
      <c r="C301" s="400" t="s">
        <v>656</v>
      </c>
      <c r="D301" s="399"/>
    </row>
    <row r="302" spans="1:4" x14ac:dyDescent="0.3">
      <c r="A302" s="401" t="s">
        <v>70</v>
      </c>
      <c r="B302" s="402">
        <f>'Excel Calc'!B36</f>
        <v>0.10501000000000001</v>
      </c>
      <c r="C302" s="402" t="s">
        <v>656</v>
      </c>
      <c r="D302" s="401"/>
    </row>
    <row r="303" spans="1:4" x14ac:dyDescent="0.3">
      <c r="A303" s="401" t="s">
        <v>1654</v>
      </c>
      <c r="B303" s="402">
        <v>2</v>
      </c>
      <c r="C303" s="402" t="s">
        <v>656</v>
      </c>
      <c r="D303" s="401"/>
    </row>
    <row r="304" spans="1:4" x14ac:dyDescent="0.3">
      <c r="A304" s="401" t="s">
        <v>73</v>
      </c>
      <c r="B304" s="402">
        <f>'Excel Calc'!B38</f>
        <v>1.78942</v>
      </c>
      <c r="C304" s="402" t="s">
        <v>656</v>
      </c>
      <c r="D304" s="401"/>
    </row>
    <row r="305" spans="1:4" x14ac:dyDescent="0.3">
      <c r="A305" s="401" t="s">
        <v>76</v>
      </c>
      <c r="B305" s="402">
        <f>'Excel Calc'!B39</f>
        <v>26.665554699190459</v>
      </c>
      <c r="C305" s="402" t="s">
        <v>656</v>
      </c>
      <c r="D305" s="401"/>
    </row>
    <row r="306" spans="1:4" x14ac:dyDescent="0.3">
      <c r="A306" s="401" t="s">
        <v>79</v>
      </c>
      <c r="B306" s="402">
        <f>'Excel Calc'!B40</f>
        <v>1</v>
      </c>
      <c r="C306" s="402" t="s">
        <v>656</v>
      </c>
      <c r="D306" s="401"/>
    </row>
    <row r="307" spans="1:4" x14ac:dyDescent="0.3">
      <c r="A307" s="401" t="s">
        <v>82</v>
      </c>
      <c r="B307" s="402">
        <f>'Excel Calc'!B41</f>
        <v>2.5</v>
      </c>
      <c r="C307" s="402" t="s">
        <v>656</v>
      </c>
      <c r="D307" s="401"/>
    </row>
    <row r="308" spans="1:4" x14ac:dyDescent="0.3">
      <c r="A308" s="401" t="s">
        <v>1262</v>
      </c>
      <c r="B308" s="402">
        <f>'Excel Calc'!B42</f>
        <v>3</v>
      </c>
      <c r="C308" s="402" t="s">
        <v>656</v>
      </c>
      <c r="D308" s="401"/>
    </row>
    <row r="309" spans="1:4" x14ac:dyDescent="0.3">
      <c r="A309" s="401" t="s">
        <v>1656</v>
      </c>
      <c r="B309" s="402">
        <f>'Excel Calc'!B43</f>
        <v>2.10501</v>
      </c>
      <c r="C309" s="402" t="s">
        <v>656</v>
      </c>
      <c r="D309" s="401"/>
    </row>
    <row r="310" spans="1:4" x14ac:dyDescent="0.3">
      <c r="A310" s="401" t="s">
        <v>1647</v>
      </c>
      <c r="B310" s="402">
        <f>'Excel Calc'!B44</f>
        <v>0.312</v>
      </c>
      <c r="C310" s="402" t="s">
        <v>656</v>
      </c>
      <c r="D310" s="401"/>
    </row>
    <row r="311" spans="1:4" x14ac:dyDescent="0.3">
      <c r="A311" s="401" t="s">
        <v>1655</v>
      </c>
      <c r="B311" s="402">
        <f>'Excel Calc'!B45</f>
        <v>0.188</v>
      </c>
      <c r="C311" s="402" t="s">
        <v>656</v>
      </c>
      <c r="D311" s="401"/>
    </row>
    <row r="312" spans="1:4" x14ac:dyDescent="0.3">
      <c r="A312" s="401" t="s">
        <v>86</v>
      </c>
      <c r="B312" s="402">
        <f>'Excel Calc'!B46</f>
        <v>0.5</v>
      </c>
      <c r="C312" s="402" t="s">
        <v>656</v>
      </c>
      <c r="D312" s="401"/>
    </row>
    <row r="313" spans="1:4" x14ac:dyDescent="0.3">
      <c r="A313" s="401" t="s">
        <v>88</v>
      </c>
      <c r="B313" s="402">
        <f>'Excel Calc'!B47</f>
        <v>1</v>
      </c>
      <c r="C313" s="402" t="s">
        <v>656</v>
      </c>
      <c r="D313" s="401"/>
    </row>
    <row r="314" spans="1:4" x14ac:dyDescent="0.3">
      <c r="A314" s="401" t="s">
        <v>89</v>
      </c>
      <c r="B314" s="402">
        <f>'Excel Calc'!B48</f>
        <v>1.5</v>
      </c>
      <c r="C314" s="402" t="s">
        <v>656</v>
      </c>
      <c r="D314" s="401"/>
    </row>
    <row r="315" spans="1:4" x14ac:dyDescent="0.3">
      <c r="A315" s="401" t="s">
        <v>1672</v>
      </c>
      <c r="B315" s="402">
        <f>'Excel Calc'!B49</f>
        <v>2</v>
      </c>
      <c r="C315" s="402" t="s">
        <v>656</v>
      </c>
      <c r="D315" s="401"/>
    </row>
    <row r="316" spans="1:4" x14ac:dyDescent="0.3">
      <c r="A316" s="401" t="s">
        <v>1695</v>
      </c>
      <c r="B316" s="402">
        <f>'Excel Calc'!B50</f>
        <v>50</v>
      </c>
      <c r="C316" s="402" t="s">
        <v>1197</v>
      </c>
      <c r="D316" s="401"/>
    </row>
    <row r="317" spans="1:4" x14ac:dyDescent="0.3">
      <c r="A317" s="401" t="s">
        <v>1696</v>
      </c>
      <c r="B317" s="402">
        <f>'Excel Calc'!B51</f>
        <v>40</v>
      </c>
      <c r="C317" s="402" t="s">
        <v>1197</v>
      </c>
      <c r="D317" s="401"/>
    </row>
    <row r="318" spans="1:4" x14ac:dyDescent="0.3">
      <c r="A318" s="401" t="s">
        <v>1697</v>
      </c>
      <c r="B318" s="402">
        <f>'Excel Calc'!B52</f>
        <v>50</v>
      </c>
      <c r="C318" s="402" t="s">
        <v>1197</v>
      </c>
      <c r="D318" s="401"/>
    </row>
    <row r="319" spans="1:4" x14ac:dyDescent="0.3">
      <c r="A319" s="391" t="s">
        <v>72</v>
      </c>
      <c r="B319" s="392">
        <f>'Excel Calc'!J35</f>
        <v>6.0010000000000001E-2</v>
      </c>
      <c r="C319" s="392" t="s">
        <v>656</v>
      </c>
      <c r="D319" s="391"/>
    </row>
    <row r="320" spans="1:4" x14ac:dyDescent="0.3">
      <c r="A320" s="391" t="s">
        <v>75</v>
      </c>
      <c r="B320" s="392">
        <f>'Excel Calc'!J36</f>
        <v>23.9375</v>
      </c>
      <c r="C320" s="392" t="s">
        <v>656</v>
      </c>
      <c r="D320" s="391"/>
    </row>
    <row r="321" spans="1:4" x14ac:dyDescent="0.3">
      <c r="A321" s="391" t="s">
        <v>78</v>
      </c>
      <c r="B321" s="392">
        <f>'Excel Calc'!J37</f>
        <v>23.9375</v>
      </c>
      <c r="C321" s="392" t="s">
        <v>656</v>
      </c>
      <c r="D321" s="391"/>
    </row>
    <row r="322" spans="1:4" x14ac:dyDescent="0.3">
      <c r="A322" s="391" t="s">
        <v>81</v>
      </c>
      <c r="B322" s="392">
        <f>'Excel Calc'!J38</f>
        <v>1.2890200000000001</v>
      </c>
      <c r="C322" s="392" t="s">
        <v>656</v>
      </c>
      <c r="D322" s="391"/>
    </row>
    <row r="323" spans="1:4" x14ac:dyDescent="0.3">
      <c r="A323" s="391" t="s">
        <v>1263</v>
      </c>
      <c r="B323" s="392">
        <f>'Excel Calc'!J39</f>
        <v>1</v>
      </c>
      <c r="C323" s="392" t="s">
        <v>655</v>
      </c>
      <c r="D323" s="391"/>
    </row>
    <row r="324" spans="1:4" x14ac:dyDescent="0.3">
      <c r="A324" s="391" t="s">
        <v>1264</v>
      </c>
      <c r="B324" s="392">
        <f>'Excel Calc'!J40</f>
        <v>1.46875</v>
      </c>
      <c r="C324" s="392" t="s">
        <v>656</v>
      </c>
      <c r="D324" s="391"/>
    </row>
    <row r="325" spans="1:4" x14ac:dyDescent="0.3">
      <c r="A325" s="391" t="s">
        <v>1265</v>
      </c>
      <c r="B325" s="392">
        <f>'Excel Calc'!J41</f>
        <v>0.6670100000000001</v>
      </c>
      <c r="C325" s="392" t="s">
        <v>656</v>
      </c>
      <c r="D325" s="391"/>
    </row>
    <row r="326" spans="1:4" x14ac:dyDescent="0.3">
      <c r="A326" s="391" t="s">
        <v>1268</v>
      </c>
      <c r="B326" s="392">
        <f>'Excel Calc'!J42</f>
        <v>1E-3</v>
      </c>
      <c r="C326" s="392" t="s">
        <v>655</v>
      </c>
      <c r="D326" s="391"/>
    </row>
    <row r="327" spans="1:4" x14ac:dyDescent="0.3">
      <c r="A327" s="391" t="s">
        <v>1676</v>
      </c>
      <c r="B327" s="392">
        <f>'Excel Calc'!J43</f>
        <v>1E-3</v>
      </c>
      <c r="C327" s="392" t="s">
        <v>655</v>
      </c>
      <c r="D327" s="391"/>
    </row>
    <row r="328" spans="1:4" x14ac:dyDescent="0.3">
      <c r="A328" s="391" t="s">
        <v>1677</v>
      </c>
      <c r="B328" s="392">
        <f>'Excel Calc'!J44</f>
        <v>1</v>
      </c>
      <c r="C328" s="392" t="s">
        <v>655</v>
      </c>
      <c r="D328" s="391"/>
    </row>
    <row r="329" spans="1:4" x14ac:dyDescent="0.3">
      <c r="A329" s="391" t="s">
        <v>1678</v>
      </c>
      <c r="B329" s="392">
        <f>'Excel Calc'!J45</f>
        <v>1</v>
      </c>
      <c r="C329" s="392" t="s">
        <v>655</v>
      </c>
      <c r="D329" s="391"/>
    </row>
    <row r="330" spans="1:4" x14ac:dyDescent="0.3">
      <c r="A330" s="399" t="s">
        <v>71</v>
      </c>
      <c r="B330" s="400">
        <f>'Excel Calc'!B58</f>
        <v>0.10501000000000001</v>
      </c>
      <c r="C330" s="400" t="s">
        <v>656</v>
      </c>
      <c r="D330" s="399"/>
    </row>
    <row r="331" spans="1:4" x14ac:dyDescent="0.3">
      <c r="A331" s="399" t="s">
        <v>74</v>
      </c>
      <c r="B331" s="400">
        <f>'Excel Calc'!B59</f>
        <v>7.8947099999999999</v>
      </c>
      <c r="C331" s="400" t="s">
        <v>656</v>
      </c>
      <c r="D331" s="399"/>
    </row>
    <row r="332" spans="1:4" x14ac:dyDescent="0.3">
      <c r="A332" s="399" t="s">
        <v>77</v>
      </c>
      <c r="B332" s="400">
        <f>'Excel Calc'!B60</f>
        <v>3.8947099999999999</v>
      </c>
      <c r="C332" s="400" t="s">
        <v>656</v>
      </c>
      <c r="D332" s="399"/>
    </row>
    <row r="333" spans="1:4" x14ac:dyDescent="0.3">
      <c r="A333" s="399" t="s">
        <v>80</v>
      </c>
      <c r="B333" s="400">
        <f>'Excel Calc'!B61</f>
        <v>1.35501</v>
      </c>
      <c r="C333" s="400" t="s">
        <v>656</v>
      </c>
      <c r="D333" s="399"/>
    </row>
    <row r="334" spans="1:4" x14ac:dyDescent="0.3">
      <c r="A334" s="399" t="s">
        <v>83</v>
      </c>
      <c r="B334" s="400">
        <f>'Excel Calc'!B62</f>
        <v>0.312</v>
      </c>
      <c r="C334" s="400" t="s">
        <v>656</v>
      </c>
      <c r="D334" s="399"/>
    </row>
    <row r="335" spans="1:4" x14ac:dyDescent="0.3">
      <c r="A335" s="399" t="s">
        <v>84</v>
      </c>
      <c r="B335" s="400">
        <f>'Excel Calc'!B63</f>
        <v>0.625</v>
      </c>
      <c r="C335" s="400" t="s">
        <v>656</v>
      </c>
      <c r="D335" s="399"/>
    </row>
    <row r="336" spans="1:4" x14ac:dyDescent="0.3">
      <c r="A336" s="399" t="s">
        <v>85</v>
      </c>
      <c r="B336" s="400">
        <f>'Excel Calc'!B64</f>
        <v>1</v>
      </c>
      <c r="C336" s="400" t="s">
        <v>656</v>
      </c>
      <c r="D336" s="399"/>
    </row>
    <row r="337" spans="1:4" x14ac:dyDescent="0.3">
      <c r="A337" s="399" t="s">
        <v>87</v>
      </c>
      <c r="B337" s="400">
        <f>'Excel Calc'!B65</f>
        <v>6</v>
      </c>
      <c r="C337" s="400" t="s">
        <v>656</v>
      </c>
      <c r="D337" s="399"/>
    </row>
    <row r="338" spans="1:4" x14ac:dyDescent="0.3">
      <c r="A338" s="399" t="s">
        <v>90</v>
      </c>
      <c r="B338" s="400">
        <f>'Excel Calc'!B66</f>
        <v>3.5</v>
      </c>
      <c r="C338" s="400" t="s">
        <v>656</v>
      </c>
      <c r="D338" s="399"/>
    </row>
    <row r="339" spans="1:4" x14ac:dyDescent="0.3">
      <c r="A339" s="399" t="s">
        <v>1671</v>
      </c>
      <c r="B339" s="400">
        <f>'Excel Calc'!B67</f>
        <v>0</v>
      </c>
      <c r="C339" s="400" t="s">
        <v>655</v>
      </c>
      <c r="D339" s="399"/>
    </row>
    <row r="343" spans="1:4" x14ac:dyDescent="0.3">
      <c r="A343" s="2" t="s">
        <v>650</v>
      </c>
      <c r="B343" s="1">
        <f>COUNTIF(B2:B339,"#DIV/0!")+COUNTIF(B2:B339,"#NA")+COUNTIF(B2:B339,"#NAME?")+COUNTIF(B2:B339,"#NULL!")+COUNTIF(B2:B339,"#NUM!")+COUNTIF(B2:B339,"#REF!")+COUNTIF(B2:B339,"#VALUE!")+COUNTIF(B2:B339,"#N/A")</f>
        <v>0</v>
      </c>
    </row>
    <row r="468" spans="1:2" x14ac:dyDescent="0.3">
      <c r="A468" t="s">
        <v>650</v>
      </c>
      <c r="B468">
        <f>COUNTIF(B2:B462,ISERROR(B2)=TRUE)</f>
        <v>0</v>
      </c>
    </row>
  </sheetData>
  <phoneticPr fontId="7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5C73A-3EA4-4C80-9D2F-527E091FA713}">
  <dimension ref="A1:G29"/>
  <sheetViews>
    <sheetView tabSelected="1" zoomScale="110" zoomScaleNormal="110" workbookViewId="0">
      <selection activeCell="C27" sqref="C27"/>
    </sheetView>
  </sheetViews>
  <sheetFormatPr defaultRowHeight="14.4" x14ac:dyDescent="0.3"/>
  <cols>
    <col min="1" max="1" width="21.44140625" bestFit="1" customWidth="1"/>
    <col min="3" max="3" width="76.109375" bestFit="1" customWidth="1"/>
    <col min="4" max="4" width="18.88671875" bestFit="1" customWidth="1"/>
    <col min="5" max="5" width="11.88671875" bestFit="1" customWidth="1"/>
    <col min="7" max="7" width="8.88671875" style="492"/>
  </cols>
  <sheetData>
    <row r="1" spans="1:5" ht="15" thickBot="1" x14ac:dyDescent="0.35">
      <c r="A1" s="582" t="s">
        <v>0</v>
      </c>
      <c r="B1" s="583"/>
      <c r="C1" s="234"/>
      <c r="D1" s="2"/>
      <c r="E1" s="2"/>
    </row>
    <row r="2" spans="1:5" ht="15" thickBot="1" x14ac:dyDescent="0.35">
      <c r="A2" s="562" t="s">
        <v>1</v>
      </c>
      <c r="B2" s="562" t="s">
        <v>2</v>
      </c>
      <c r="C2" s="563" t="s">
        <v>3</v>
      </c>
      <c r="D2" s="233" t="s">
        <v>1257</v>
      </c>
      <c r="E2" s="2" t="s">
        <v>1258</v>
      </c>
    </row>
    <row r="3" spans="1:5" x14ac:dyDescent="0.3">
      <c r="A3" s="244" t="s">
        <v>1693</v>
      </c>
      <c r="B3" s="237">
        <v>80</v>
      </c>
      <c r="C3" s="383" t="s">
        <v>1899</v>
      </c>
      <c r="D3" s="233"/>
      <c r="E3" s="2" t="str">
        <f>'Excel Calc'!B27</f>
        <v>Correct Input</v>
      </c>
    </row>
    <row r="4" spans="1:5" x14ac:dyDescent="0.3">
      <c r="A4" s="245" t="s">
        <v>1691</v>
      </c>
      <c r="B4" s="238">
        <v>160</v>
      </c>
      <c r="C4" s="384" t="s">
        <v>1900</v>
      </c>
      <c r="D4" s="233"/>
      <c r="E4" s="2" t="str">
        <f>'Excel Calc'!B28</f>
        <v>Correct Input</v>
      </c>
    </row>
    <row r="5" spans="1:5" x14ac:dyDescent="0.3">
      <c r="A5" s="245" t="s">
        <v>4</v>
      </c>
      <c r="B5" s="238">
        <v>450</v>
      </c>
      <c r="C5" s="384" t="s">
        <v>1901</v>
      </c>
      <c r="D5" s="233"/>
      <c r="E5" s="2" t="str">
        <f>'Excel Calc'!B29</f>
        <v>Correct Input</v>
      </c>
    </row>
    <row r="6" spans="1:5" x14ac:dyDescent="0.3">
      <c r="A6" s="245" t="s">
        <v>5</v>
      </c>
      <c r="B6" s="238">
        <v>460</v>
      </c>
      <c r="C6" s="384" t="s">
        <v>14</v>
      </c>
      <c r="D6" s="233" t="s">
        <v>1789</v>
      </c>
      <c r="E6" s="2" t="str">
        <f>'Excel Calc'!B29</f>
        <v>Correct Input</v>
      </c>
    </row>
    <row r="7" spans="1:5" x14ac:dyDescent="0.3">
      <c r="A7" s="245" t="s">
        <v>6</v>
      </c>
      <c r="B7" s="238">
        <v>3</v>
      </c>
      <c r="C7" s="384" t="s">
        <v>15</v>
      </c>
      <c r="D7" s="233"/>
      <c r="E7" s="2" t="str">
        <f>'Excel Calc'!B29</f>
        <v>Correct Input</v>
      </c>
    </row>
    <row r="8" spans="1:5" x14ac:dyDescent="0.3">
      <c r="A8" s="245" t="s">
        <v>8</v>
      </c>
      <c r="B8" s="238">
        <v>5</v>
      </c>
      <c r="C8" s="384" t="s">
        <v>1582</v>
      </c>
      <c r="D8" s="233" t="s">
        <v>1692</v>
      </c>
      <c r="E8" s="2"/>
    </row>
    <row r="9" spans="1:5" x14ac:dyDescent="0.3">
      <c r="A9" s="245" t="s">
        <v>7</v>
      </c>
      <c r="B9" s="238">
        <v>2</v>
      </c>
      <c r="C9" s="384" t="s">
        <v>1581</v>
      </c>
      <c r="D9" s="233" t="s">
        <v>1259</v>
      </c>
      <c r="E9" s="2"/>
    </row>
    <row r="10" spans="1:5" x14ac:dyDescent="0.3">
      <c r="A10" s="245" t="s">
        <v>1229</v>
      </c>
      <c r="B10" s="238">
        <v>2</v>
      </c>
      <c r="C10" s="384" t="s">
        <v>1579</v>
      </c>
      <c r="D10" s="233" t="s">
        <v>1266</v>
      </c>
      <c r="E10" s="2"/>
    </row>
    <row r="11" spans="1:5" x14ac:dyDescent="0.3">
      <c r="A11" s="245" t="s">
        <v>9</v>
      </c>
      <c r="B11" s="238" t="s">
        <v>862</v>
      </c>
      <c r="C11" s="384" t="s">
        <v>1580</v>
      </c>
      <c r="D11" s="233" t="s">
        <v>1790</v>
      </c>
      <c r="E11" s="2"/>
    </row>
    <row r="12" spans="1:5" x14ac:dyDescent="0.3">
      <c r="A12" s="245" t="s">
        <v>10</v>
      </c>
      <c r="B12" s="238" t="s">
        <v>652</v>
      </c>
      <c r="C12" s="384" t="s">
        <v>16</v>
      </c>
      <c r="D12" s="233"/>
      <c r="E12" s="2"/>
    </row>
    <row r="13" spans="1:5" x14ac:dyDescent="0.3">
      <c r="A13" s="245" t="s">
        <v>11</v>
      </c>
      <c r="B13" s="238">
        <v>0</v>
      </c>
      <c r="C13" s="384" t="s">
        <v>1583</v>
      </c>
      <c r="D13" s="233"/>
      <c r="E13" s="2" t="str">
        <f>'Excel Calc'!B30</f>
        <v>Correct Input</v>
      </c>
    </row>
    <row r="14" spans="1:5" x14ac:dyDescent="0.3">
      <c r="A14" s="245" t="s">
        <v>12</v>
      </c>
      <c r="B14" s="238" t="s">
        <v>142</v>
      </c>
      <c r="C14" s="384" t="s">
        <v>17</v>
      </c>
      <c r="D14" s="233" t="s">
        <v>1267</v>
      </c>
      <c r="E14" s="2" t="str">
        <f>'Excel Calc'!B31</f>
        <v>Correct Input</v>
      </c>
    </row>
    <row r="15" spans="1:5" x14ac:dyDescent="0.3">
      <c r="A15" s="576" t="s">
        <v>2000</v>
      </c>
      <c r="B15" s="577">
        <v>2</v>
      </c>
      <c r="C15" s="578" t="s">
        <v>2003</v>
      </c>
      <c r="D15" s="233" t="s">
        <v>2002</v>
      </c>
      <c r="E15" s="2"/>
    </row>
    <row r="16" spans="1:5" ht="15" thickBot="1" x14ac:dyDescent="0.35">
      <c r="A16" s="579" t="s">
        <v>2001</v>
      </c>
      <c r="B16" s="580" t="s">
        <v>2022</v>
      </c>
      <c r="C16" s="581" t="s">
        <v>2021</v>
      </c>
      <c r="D16" s="233" t="s">
        <v>2004</v>
      </c>
      <c r="E16" s="2"/>
    </row>
    <row r="17" spans="1:5" x14ac:dyDescent="0.3">
      <c r="A17" s="559" t="s">
        <v>18</v>
      </c>
      <c r="B17" s="560">
        <v>0</v>
      </c>
      <c r="C17" s="561" t="s">
        <v>23</v>
      </c>
      <c r="D17" s="233"/>
      <c r="E17" s="2"/>
    </row>
    <row r="18" spans="1:5" x14ac:dyDescent="0.3">
      <c r="A18" s="434" t="s">
        <v>1269</v>
      </c>
      <c r="B18" s="435">
        <v>0</v>
      </c>
      <c r="C18" s="436" t="s">
        <v>1276</v>
      </c>
      <c r="D18" s="233"/>
      <c r="E18" s="2"/>
    </row>
    <row r="19" spans="1:5" x14ac:dyDescent="0.3">
      <c r="A19" s="235" t="s">
        <v>19</v>
      </c>
      <c r="B19" s="239">
        <v>0</v>
      </c>
      <c r="C19" s="385" t="s">
        <v>24</v>
      </c>
      <c r="D19" s="233"/>
      <c r="E19" s="2"/>
    </row>
    <row r="20" spans="1:5" x14ac:dyDescent="0.3">
      <c r="A20" s="235" t="s">
        <v>1270</v>
      </c>
      <c r="B20" s="239">
        <v>0</v>
      </c>
      <c r="C20" s="385" t="s">
        <v>1271</v>
      </c>
      <c r="D20" s="233"/>
      <c r="E20" s="2"/>
    </row>
    <row r="21" spans="1:5" x14ac:dyDescent="0.3">
      <c r="A21" s="235" t="s">
        <v>1273</v>
      </c>
      <c r="B21" s="239">
        <v>0</v>
      </c>
      <c r="C21" s="385" t="s">
        <v>1272</v>
      </c>
      <c r="D21" s="233"/>
      <c r="E21" s="2"/>
    </row>
    <row r="22" spans="1:5" x14ac:dyDescent="0.3">
      <c r="A22" s="235" t="s">
        <v>1274</v>
      </c>
      <c r="B22" s="239">
        <v>0</v>
      </c>
      <c r="C22" s="385" t="s">
        <v>1275</v>
      </c>
      <c r="D22" s="233"/>
      <c r="E22" s="2"/>
    </row>
    <row r="23" spans="1:5" x14ac:dyDescent="0.3">
      <c r="A23" s="235" t="s">
        <v>21</v>
      </c>
      <c r="B23" s="239">
        <v>0</v>
      </c>
      <c r="C23" s="385" t="s">
        <v>25</v>
      </c>
      <c r="D23" s="233"/>
      <c r="E23" s="2"/>
    </row>
    <row r="24" spans="1:5" x14ac:dyDescent="0.3">
      <c r="A24" s="235" t="s">
        <v>20</v>
      </c>
      <c r="B24" s="239">
        <v>0</v>
      </c>
      <c r="C24" s="385" t="s">
        <v>26</v>
      </c>
      <c r="D24" s="233"/>
      <c r="E24" s="2"/>
    </row>
    <row r="25" spans="1:5" ht="15" thickBot="1" x14ac:dyDescent="0.35">
      <c r="A25" s="236" t="s">
        <v>22</v>
      </c>
      <c r="B25" s="558">
        <v>0</v>
      </c>
      <c r="C25" s="386" t="s">
        <v>27</v>
      </c>
      <c r="D25" s="233"/>
      <c r="E25" s="2"/>
    </row>
    <row r="26" spans="1:5" ht="15" thickBot="1" x14ac:dyDescent="0.35"/>
    <row r="27" spans="1:5" ht="15" thickBot="1" x14ac:dyDescent="0.35">
      <c r="A27" s="240" t="s">
        <v>650</v>
      </c>
      <c r="B27" s="241">
        <f>Sheet1!B343+'Excel Calc'!B32</f>
        <v>0</v>
      </c>
    </row>
    <row r="28" spans="1:5" ht="15" thickBot="1" x14ac:dyDescent="0.35"/>
    <row r="29" spans="1:5" ht="15" thickBot="1" x14ac:dyDescent="0.35">
      <c r="A29" s="242" t="s">
        <v>1897</v>
      </c>
      <c r="B29" s="240" t="str">
        <f>CONCATENATE("FAN ASSEMBLY, EBM VERTICAL SHAFTED, ",FANSIZE,", ",IL,"Lx",IW,"W")</f>
        <v>FAN ASSEMBLY, EBM VERTICAL SHAFTED, 450, 80Lx160W</v>
      </c>
      <c r="C29" s="243"/>
    </row>
  </sheetData>
  <mergeCells count="1">
    <mergeCell ref="A1:B1"/>
  </mergeCells>
  <conditionalFormatting sqref="E3:E8">
    <cfRule type="containsText" dxfId="5" priority="1" operator="containsText" text="Check Input">
      <formula>NOT(ISERROR(SEARCH("Check Input",E3)))</formula>
    </cfRule>
    <cfRule type="containsText" dxfId="4" priority="4" operator="containsText" text="Correct input">
      <formula>NOT(ISERROR(SEARCH("Correct input",E3)))</formula>
    </cfRule>
    <cfRule type="containsText" dxfId="3" priority="5" operator="containsText" text="Invalid Input">
      <formula>NOT(ISERROR(SEARCH("Invalid Input",E3)))</formula>
    </cfRule>
  </conditionalFormatting>
  <conditionalFormatting sqref="E13:E16">
    <cfRule type="containsText" dxfId="2" priority="2" operator="containsText" text="Correct input">
      <formula>NOT(ISERROR(SEARCH("Correct input",E13)))</formula>
    </cfRule>
    <cfRule type="containsText" dxfId="1" priority="3" operator="containsText" text="Invalid Input">
      <formula>NOT(ISERROR(SEARCH("Invalid Input",E13)))</formula>
    </cfRule>
  </conditionalFormatting>
  <dataValidations count="7">
    <dataValidation type="list" allowBlank="1" showInputMessage="1" showErrorMessage="1" sqref="B14" xr:uid="{B83D889F-28CE-463C-9FE5-F287134565E4}">
      <formula1>"BD, NO"</formula1>
    </dataValidation>
    <dataValidation type="list" allowBlank="1" showInputMessage="1" showErrorMessage="1" sqref="B9" xr:uid="{023E81FE-59DE-4215-813C-3B333E2AC9C4}">
      <formula1>"1, 2"</formula1>
    </dataValidation>
    <dataValidation type="list" allowBlank="1" showInputMessage="1" showErrorMessage="1" sqref="B8" xr:uid="{2F254066-7820-46DD-A013-B24BD98FAB08}">
      <formula1>"1, 2, 3, 4, 5, 6"</formula1>
    </dataValidation>
    <dataValidation type="list" allowBlank="1" showInputMessage="1" showErrorMessage="1" sqref="B5" xr:uid="{994FD4EA-DD79-4B11-9CD3-6C2F1FA8A74F}">
      <formula1>"250, 280, 310, 355, 400, 450, 500, 560, 630, 710, 800, 900"</formula1>
    </dataValidation>
    <dataValidation type="list" allowBlank="1" showInputMessage="1" showErrorMessage="1" sqref="B6" xr:uid="{4F5BC2C5-523D-4539-B5A3-65A30A0FFAA3}">
      <formula1>"460, 208, 230"</formula1>
    </dataValidation>
    <dataValidation type="list" allowBlank="1" showInputMessage="1" showErrorMessage="1" sqref="B15" xr:uid="{22462F7C-D732-46D8-AF96-A1A4AB914D12}">
      <formula1>"2, 3, 4"</formula1>
    </dataValidation>
    <dataValidation type="list" allowBlank="1" showInputMessage="1" showErrorMessage="1" sqref="B16" xr:uid="{DD70D812-E125-4A2C-8B7C-039D8E88232A}">
      <formula1>"None, Side, End, Both"</formula1>
    </dataValidation>
  </dataValidations>
  <pageMargins left="0.7" right="0.7" top="0.75" bottom="0.75" header="0.3" footer="0.3"/>
  <pageSetup orientation="portrait" r:id="rId1"/>
  <ignoredErrors>
    <ignoredError sqref="D15" twoDigitTextYea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905ED-DFB2-4B08-96FB-63D22FE141ED}">
  <dimension ref="A2:AE123"/>
  <sheetViews>
    <sheetView topLeftCell="A21" zoomScale="40" zoomScaleNormal="40" workbookViewId="0">
      <selection activeCell="B28" sqref="B28"/>
    </sheetView>
  </sheetViews>
  <sheetFormatPr defaultColWidth="8.88671875" defaultRowHeight="18" x14ac:dyDescent="0.35"/>
  <cols>
    <col min="1" max="1" width="31.6640625" style="445" customWidth="1"/>
    <col min="2" max="2" width="16" style="454" bestFit="1" customWidth="1"/>
    <col min="3" max="3" width="16.44140625" style="445" bestFit="1" customWidth="1"/>
    <col min="4" max="4" width="12.33203125" style="445" bestFit="1" customWidth="1"/>
    <col min="5" max="5" width="31.6640625" style="445" customWidth="1"/>
    <col min="6" max="6" width="12.6640625" style="445" bestFit="1" customWidth="1"/>
    <col min="7" max="7" width="7.88671875" style="445" customWidth="1"/>
    <col min="8" max="8" width="10.77734375" style="445" bestFit="1" customWidth="1"/>
    <col min="9" max="9" width="31.6640625" style="445" customWidth="1"/>
    <col min="10" max="11" width="17.109375" style="445" bestFit="1" customWidth="1"/>
    <col min="12" max="12" width="16.6640625" style="445" bestFit="1" customWidth="1"/>
    <col min="13" max="13" width="31.6640625" style="445" customWidth="1"/>
    <col min="14" max="14" width="11.6640625" style="445" bestFit="1" customWidth="1"/>
    <col min="15" max="15" width="2.5546875" style="445" bestFit="1" customWidth="1"/>
    <col min="16" max="16" width="7.6640625" style="445" bestFit="1" customWidth="1"/>
    <col min="17" max="17" width="31.6640625" style="445" customWidth="1"/>
    <col min="18" max="18" width="12.44140625" style="445" bestFit="1" customWidth="1"/>
    <col min="19" max="19" width="2.5546875" style="445" bestFit="1" customWidth="1"/>
    <col min="20" max="20" width="4.6640625" style="445" customWidth="1"/>
    <col min="21" max="21" width="31.6640625" style="445" customWidth="1"/>
    <col min="22" max="22" width="12.6640625" style="454" bestFit="1" customWidth="1"/>
    <col min="23" max="23" width="2.5546875" style="445" bestFit="1" customWidth="1"/>
    <col min="24" max="24" width="6.6640625" style="445" bestFit="1" customWidth="1"/>
    <col min="25" max="25" width="31.6640625" style="445" customWidth="1"/>
    <col min="26" max="26" width="12.33203125" style="445" bestFit="1" customWidth="1"/>
    <col min="27" max="28" width="8.88671875" style="445"/>
    <col min="29" max="29" width="31.6640625" style="445" customWidth="1"/>
    <col min="30" max="30" width="8.88671875" style="454"/>
    <col min="31" max="31" width="8.88671875" style="451"/>
    <col min="32" max="16384" width="8.88671875" style="445"/>
  </cols>
  <sheetData>
    <row r="2" spans="1:30" x14ac:dyDescent="0.35">
      <c r="A2" s="440" t="s">
        <v>1</v>
      </c>
      <c r="B2" s="441" t="s">
        <v>2</v>
      </c>
      <c r="E2" s="440" t="s">
        <v>1</v>
      </c>
      <c r="F2" s="441" t="s">
        <v>2</v>
      </c>
      <c r="G2" s="446"/>
      <c r="H2" s="447"/>
      <c r="I2" s="440" t="s">
        <v>1</v>
      </c>
      <c r="J2" s="441" t="s">
        <v>2</v>
      </c>
      <c r="K2" s="446"/>
      <c r="L2" s="447"/>
      <c r="M2" s="440" t="s">
        <v>1</v>
      </c>
      <c r="N2" s="441" t="s">
        <v>2</v>
      </c>
      <c r="O2" s="447"/>
      <c r="P2" s="447"/>
      <c r="Q2" s="440" t="s">
        <v>1</v>
      </c>
      <c r="R2" s="441" t="s">
        <v>2</v>
      </c>
      <c r="U2" s="440" t="s">
        <v>1</v>
      </c>
      <c r="V2" s="441" t="s">
        <v>2</v>
      </c>
      <c r="Y2" s="440" t="s">
        <v>1</v>
      </c>
      <c r="Z2" s="441" t="s">
        <v>2</v>
      </c>
      <c r="AA2" s="450"/>
      <c r="AD2" s="445"/>
    </row>
    <row r="3" spans="1:30" x14ac:dyDescent="0.35">
      <c r="A3" s="587" t="s">
        <v>1191</v>
      </c>
      <c r="B3" s="587"/>
      <c r="E3" s="587" t="s">
        <v>28</v>
      </c>
      <c r="F3" s="587"/>
      <c r="G3" s="446"/>
      <c r="H3" s="447"/>
      <c r="I3" s="587" t="s">
        <v>1612</v>
      </c>
      <c r="J3" s="587"/>
      <c r="K3" s="446"/>
      <c r="L3" s="447"/>
      <c r="M3" s="587" t="s">
        <v>29</v>
      </c>
      <c r="N3" s="587"/>
      <c r="O3" s="447"/>
      <c r="P3" s="447"/>
      <c r="Q3" s="587" t="s">
        <v>120</v>
      </c>
      <c r="R3" s="587"/>
      <c r="U3" s="587" t="s">
        <v>1205</v>
      </c>
      <c r="V3" s="587"/>
      <c r="W3" s="447"/>
      <c r="Y3" s="587" t="s">
        <v>177</v>
      </c>
      <c r="Z3" s="587"/>
      <c r="AA3" s="450"/>
      <c r="AD3" s="445"/>
    </row>
    <row r="4" spans="1:30" x14ac:dyDescent="0.35">
      <c r="A4" s="437" t="s">
        <v>1584</v>
      </c>
      <c r="B4" s="438">
        <f>IL</f>
        <v>80</v>
      </c>
      <c r="E4" s="437" t="s">
        <v>30</v>
      </c>
      <c r="F4" s="438">
        <f>IF(OpeningChannelThkO&lt;&gt;0,OpeningChannelThkO,12)</f>
        <v>12</v>
      </c>
      <c r="G4" s="446"/>
      <c r="H4" s="447"/>
      <c r="I4" s="437" t="s">
        <v>1613</v>
      </c>
      <c r="J4" s="438">
        <f>IF(OpeningChannelThkO&lt;&gt;0,OpeningChannelThkO,12)</f>
        <v>12</v>
      </c>
      <c r="K4" s="446"/>
      <c r="L4" s="447"/>
      <c r="M4" s="437" t="s">
        <v>31</v>
      </c>
      <c r="N4" s="438">
        <f>IF(PanThkO&lt;&gt;0,PanThkO,16)</f>
        <v>16</v>
      </c>
      <c r="O4" s="446"/>
      <c r="P4" s="447"/>
      <c r="Q4" s="437" t="s">
        <v>597</v>
      </c>
      <c r="R4" s="449">
        <f>FAN_WD</f>
        <v>19.88</v>
      </c>
      <c r="U4" s="437" t="s">
        <v>1207</v>
      </c>
      <c r="V4" s="438">
        <f>IF(CollarThkO&lt;&gt;0,CollarThkO,10)</f>
        <v>10</v>
      </c>
      <c r="W4" s="447"/>
      <c r="Y4" s="452" t="s">
        <v>1219</v>
      </c>
      <c r="Z4" s="453">
        <v>0.125</v>
      </c>
      <c r="AA4" s="450"/>
      <c r="AD4" s="445"/>
    </row>
    <row r="5" spans="1:30" x14ac:dyDescent="0.35">
      <c r="A5" s="437" t="s">
        <v>1585</v>
      </c>
      <c r="B5" s="438">
        <f>IW</f>
        <v>160</v>
      </c>
      <c r="E5" s="437" t="s">
        <v>32</v>
      </c>
      <c r="F5" s="439">
        <f>VLOOKUP(CONCATENATE(F4,MaterialStyle),Material_List_Table,MATCH(MAT_KEYT,Material_List_Column_Names,0),FALSE)</f>
        <v>0.10501000000000001</v>
      </c>
      <c r="G5" s="446"/>
      <c r="H5" s="447"/>
      <c r="I5" s="437" t="s">
        <v>1614</v>
      </c>
      <c r="J5" s="439">
        <f>VLOOKUP(CONCATENATE(J4,MaterialStyle),Material_List_Table,MATCH(MAT_KEYT,Material_List_Column_Names,0),FALSE)</f>
        <v>0.10501000000000001</v>
      </c>
      <c r="K5" s="446"/>
      <c r="L5" s="447"/>
      <c r="M5" s="437" t="s">
        <v>1631</v>
      </c>
      <c r="N5" s="439">
        <f>VLOOKUP(CONCATENATE(N4,MaterialStyle),Material_List_Table,MATCH(MAT_KEYT,Material_List_Column_Names,0),FALSE)</f>
        <v>6.0010000000000001E-2</v>
      </c>
      <c r="O5" s="446"/>
      <c r="P5" s="447"/>
      <c r="Q5" s="437" t="s">
        <v>178</v>
      </c>
      <c r="R5" s="449">
        <f>FAN_A</f>
        <v>24.803000000000001</v>
      </c>
      <c r="U5" s="437" t="s">
        <v>1206</v>
      </c>
      <c r="V5" s="439">
        <f>VLOOKUP(CONCATENATE(V4,MaterialStyle),Material_List_Table,MATCH(MAT_KEYT,Material_List_Column_Names,0),FALSE)</f>
        <v>0.13500999999999999</v>
      </c>
      <c r="W5" s="447"/>
      <c r="Y5" s="452" t="s">
        <v>1222</v>
      </c>
      <c r="Z5" s="453">
        <f>DamperSize</f>
        <v>24.25</v>
      </c>
      <c r="AA5" s="450"/>
      <c r="AD5" s="445"/>
    </row>
    <row r="6" spans="1:30" x14ac:dyDescent="0.35">
      <c r="A6" s="437" t="s">
        <v>1600</v>
      </c>
      <c r="B6" s="438">
        <f>B4/2</f>
        <v>40</v>
      </c>
      <c r="E6" s="437" t="s">
        <v>1644</v>
      </c>
      <c r="F6" s="439">
        <f>B18-(J8/2)-J6</f>
        <v>2.5</v>
      </c>
      <c r="G6" s="446"/>
      <c r="H6" s="447"/>
      <c r="I6" s="437" t="s">
        <v>33</v>
      </c>
      <c r="J6" s="438">
        <v>4.5</v>
      </c>
      <c r="K6" s="446"/>
      <c r="L6" s="447"/>
      <c r="M6" s="437" t="s">
        <v>1650</v>
      </c>
      <c r="N6" s="438">
        <f>IF(LenSepPanThkO&lt;&gt;0,LenSepPanThkO,16)</f>
        <v>16</v>
      </c>
      <c r="O6" s="446"/>
      <c r="P6" s="447"/>
      <c r="Q6" s="437" t="s">
        <v>182</v>
      </c>
      <c r="R6" s="449">
        <f>FAN_B</f>
        <v>0.59099999999999997</v>
      </c>
      <c r="U6" s="437" t="s">
        <v>1212</v>
      </c>
      <c r="V6" s="438">
        <v>0.54</v>
      </c>
      <c r="W6" s="447"/>
      <c r="Y6" s="452" t="s">
        <v>1223</v>
      </c>
      <c r="Z6" s="453">
        <f>DamperSize</f>
        <v>24.25</v>
      </c>
      <c r="AA6" s="450"/>
      <c r="AD6" s="445"/>
    </row>
    <row r="7" spans="1:30" x14ac:dyDescent="0.35">
      <c r="A7" s="437" t="s">
        <v>1601</v>
      </c>
      <c r="B7" s="438">
        <f>B5/2</f>
        <v>80</v>
      </c>
      <c r="E7" s="437" t="s">
        <v>1586</v>
      </c>
      <c r="F7" s="438">
        <v>4.5</v>
      </c>
      <c r="H7" s="447"/>
      <c r="I7" s="437" t="s">
        <v>34</v>
      </c>
      <c r="J7" s="438">
        <f>B15-Z9+2*Z7</f>
        <v>6.5</v>
      </c>
      <c r="K7" s="446"/>
      <c r="L7" s="447"/>
      <c r="M7" s="442" t="s">
        <v>1651</v>
      </c>
      <c r="N7" s="439">
        <f>VLOOKUP(CONCATENATE(N6,MaterialStyle),Material_List_Table,MATCH(MAT_KEYT,Material_List_Column_Names,0),FALSE)</f>
        <v>6.0010000000000001E-2</v>
      </c>
      <c r="O7" s="446"/>
      <c r="P7" s="447"/>
      <c r="Q7" s="437" t="s">
        <v>183</v>
      </c>
      <c r="R7" s="449">
        <f>FAN_C</f>
        <v>0.12</v>
      </c>
      <c r="U7" s="437" t="s">
        <v>1208</v>
      </c>
      <c r="V7" s="438">
        <f>FAN_A-2*(FAN_C+B8)-2*(V5)</f>
        <v>24.230480000000004</v>
      </c>
      <c r="W7" s="447"/>
      <c r="Y7" s="452" t="s">
        <v>1224</v>
      </c>
      <c r="Z7" s="453">
        <v>1.5</v>
      </c>
      <c r="AA7" s="450"/>
      <c r="AD7" s="445"/>
    </row>
    <row r="8" spans="1:30" x14ac:dyDescent="0.35">
      <c r="A8" s="437" t="s">
        <v>1193</v>
      </c>
      <c r="B8" s="438">
        <v>3.125E-2</v>
      </c>
      <c r="E8" s="437" t="s">
        <v>1587</v>
      </c>
      <c r="F8" s="438">
        <f>B14/2-V12/2+Z7</f>
        <v>9</v>
      </c>
      <c r="G8" s="446"/>
      <c r="H8" s="447"/>
      <c r="I8" s="437" t="s">
        <v>1615</v>
      </c>
      <c r="J8" s="438">
        <f>V12-2*F11</f>
        <v>24</v>
      </c>
      <c r="K8" s="446"/>
      <c r="L8" s="447"/>
      <c r="M8" s="437" t="s">
        <v>1632</v>
      </c>
      <c r="N8" s="438">
        <f>B16+V10+FAN_S+FAN_C</f>
        <v>24.927000000000003</v>
      </c>
      <c r="O8" s="446"/>
      <c r="P8" s="447"/>
      <c r="Q8" s="437" t="s">
        <v>188</v>
      </c>
      <c r="R8" s="449">
        <f>FAN_D</f>
        <v>0.43</v>
      </c>
      <c r="U8" s="437" t="s">
        <v>1227</v>
      </c>
      <c r="V8" s="438">
        <f>ROUND(V7,0)</f>
        <v>24</v>
      </c>
      <c r="W8" s="454"/>
      <c r="Y8" s="452" t="s">
        <v>1220</v>
      </c>
      <c r="Z8" s="453">
        <f>Z5-2*Z4+2*Z7</f>
        <v>27</v>
      </c>
      <c r="AA8" s="450"/>
      <c r="AD8" s="445"/>
    </row>
    <row r="9" spans="1:30" x14ac:dyDescent="0.35">
      <c r="A9" s="437" t="s">
        <v>1194</v>
      </c>
      <c r="B9" s="438">
        <f>B8*2</f>
        <v>6.25E-2</v>
      </c>
      <c r="E9" s="437" t="s">
        <v>35</v>
      </c>
      <c r="F9" s="438">
        <f>J11+2*J6</f>
        <v>155</v>
      </c>
      <c r="G9" s="446"/>
      <c r="H9" s="447"/>
      <c r="I9" s="437" t="s">
        <v>1616</v>
      </c>
      <c r="J9" s="438">
        <v>2</v>
      </c>
      <c r="K9" s="446"/>
      <c r="L9" s="447"/>
      <c r="M9" s="437" t="s">
        <v>36</v>
      </c>
      <c r="N9" s="438">
        <f>(J8+2*F7)+IF(FANSARRAY=2,J8+2*F8,0)</f>
        <v>75</v>
      </c>
      <c r="O9" s="446"/>
      <c r="P9" s="447"/>
      <c r="Q9" s="437" t="s">
        <v>187</v>
      </c>
      <c r="R9" s="449">
        <f>FAN_E</f>
        <v>11.417</v>
      </c>
      <c r="U9" s="437" t="s">
        <v>1213</v>
      </c>
      <c r="V9" s="439">
        <f>IF(OR(KW=4.5,KW=8),V7/2-(FAN_E-V6),V7/2-(IF(FAN_CS&lt;&gt;4,FAN_E,R73)-V6)-IF(FANSIZE+0=630,0.1,-0.25)-IF(FANSIZE+0=355,0.1,0))</f>
        <v>1.4882400000000029</v>
      </c>
      <c r="W9" s="446"/>
      <c r="Y9" s="452" t="s">
        <v>1221</v>
      </c>
      <c r="Z9" s="453">
        <f>Z6-2*Z4+2*Z7</f>
        <v>27</v>
      </c>
      <c r="AA9" s="450"/>
      <c r="AD9" s="445"/>
    </row>
    <row r="10" spans="1:30" x14ac:dyDescent="0.35">
      <c r="A10" s="437" t="s">
        <v>1200</v>
      </c>
      <c r="B10" s="438">
        <v>2.7999999999999998E-4</v>
      </c>
      <c r="E10" s="437" t="s">
        <v>37</v>
      </c>
      <c r="F10" s="438">
        <v>2</v>
      </c>
      <c r="G10" s="446"/>
      <c r="H10" s="447"/>
      <c r="I10" s="437" t="s">
        <v>1617</v>
      </c>
      <c r="J10" s="438">
        <v>0.625</v>
      </c>
      <c r="K10" s="447"/>
      <c r="L10" s="447"/>
      <c r="M10" s="437" t="s">
        <v>1230</v>
      </c>
      <c r="N10" s="439">
        <f>IF(FANSWIDE=1,J8+2*J6,(B15/2)+(N13/2)-N5+(J8/2)+J6-N13+N5)</f>
        <v>31.25</v>
      </c>
      <c r="O10" s="446"/>
      <c r="P10" s="447"/>
      <c r="Q10" s="437" t="s">
        <v>185</v>
      </c>
      <c r="R10" s="449">
        <f>FAN_F</f>
        <v>3</v>
      </c>
      <c r="U10" s="437" t="s">
        <v>1211</v>
      </c>
      <c r="V10" s="438">
        <v>1</v>
      </c>
      <c r="W10" s="446"/>
      <c r="Y10" s="452" t="s">
        <v>1225</v>
      </c>
      <c r="Z10" s="453">
        <v>0.75</v>
      </c>
      <c r="AA10" s="450"/>
      <c r="AD10" s="445"/>
    </row>
    <row r="11" spans="1:30" x14ac:dyDescent="0.35">
      <c r="A11" s="437" t="s">
        <v>1192</v>
      </c>
      <c r="B11" s="438">
        <v>2.375</v>
      </c>
      <c r="E11" s="437" t="s">
        <v>38</v>
      </c>
      <c r="F11" s="438">
        <v>1.5</v>
      </c>
      <c r="G11" s="446"/>
      <c r="H11" s="447"/>
      <c r="I11" s="437" t="s">
        <v>1231</v>
      </c>
      <c r="J11" s="438">
        <f>IF(FANSWIDE=1,V12-3,FANSWIDE*(V12-3)+J7*(FANSWIDE-1))</f>
        <v>146</v>
      </c>
      <c r="K11" s="446"/>
      <c r="L11" s="447"/>
      <c r="M11" s="437" t="s">
        <v>1649</v>
      </c>
      <c r="N11" s="439">
        <f>B15-N5</f>
        <v>30.439990000000002</v>
      </c>
      <c r="O11" s="446"/>
      <c r="P11" s="447"/>
      <c r="Q11" s="437" t="s">
        <v>186</v>
      </c>
      <c r="R11" s="449">
        <f>FAN_G</f>
        <v>11.417</v>
      </c>
      <c r="U11" s="437" t="s">
        <v>1209</v>
      </c>
      <c r="V11" s="438">
        <f>1.5+(V8-V7)/2</f>
        <v>1.3847599999999982</v>
      </c>
      <c r="W11" s="446"/>
      <c r="Y11" s="452" t="s">
        <v>1226</v>
      </c>
      <c r="Z11" s="453">
        <f>10</f>
        <v>10</v>
      </c>
      <c r="AA11" s="450"/>
      <c r="AD11" s="445"/>
    </row>
    <row r="12" spans="1:30" x14ac:dyDescent="0.35">
      <c r="A12" s="437" t="s">
        <v>1199</v>
      </c>
      <c r="B12" s="438">
        <f>FANSARRAY</f>
        <v>2</v>
      </c>
      <c r="E12" s="437" t="s">
        <v>39</v>
      </c>
      <c r="F12" s="438">
        <v>0.625</v>
      </c>
      <c r="G12" s="446"/>
      <c r="H12" s="447"/>
      <c r="I12" s="437" t="s">
        <v>1633</v>
      </c>
      <c r="J12" s="438" t="str">
        <f>'Hole Sizes'!E18</f>
        <v>0.188</v>
      </c>
      <c r="K12" s="446"/>
      <c r="L12" s="447"/>
      <c r="M12" s="437" t="s">
        <v>1686</v>
      </c>
      <c r="N12" s="439">
        <f>(B15/2)+(N13/2)-N5+(J8/2)+J6</f>
        <v>32.189990000000002</v>
      </c>
      <c r="O12" s="446"/>
      <c r="P12" s="447"/>
      <c r="Q12" s="437" t="s">
        <v>190</v>
      </c>
      <c r="R12" s="449">
        <f>FAN_H</f>
        <v>3.173</v>
      </c>
      <c r="U12" s="437" t="s">
        <v>1210</v>
      </c>
      <c r="V12" s="438">
        <f>V7+2*V11</f>
        <v>27</v>
      </c>
      <c r="W12" s="454"/>
      <c r="Y12" s="452" t="s">
        <v>1646</v>
      </c>
      <c r="Z12" s="453" t="str">
        <f>'Hole Sizes'!E28</f>
        <v>0.250</v>
      </c>
      <c r="AA12" s="450"/>
      <c r="AD12" s="445"/>
    </row>
    <row r="13" spans="1:30" x14ac:dyDescent="0.35">
      <c r="A13" s="437" t="s">
        <v>1198</v>
      </c>
      <c r="B13" s="438">
        <f>FANSWIDE</f>
        <v>5</v>
      </c>
      <c r="E13" s="437" t="s">
        <v>1596</v>
      </c>
      <c r="F13" s="438">
        <v>0.313</v>
      </c>
      <c r="G13" s="446"/>
      <c r="H13" s="447"/>
      <c r="I13" s="437" t="s">
        <v>1634</v>
      </c>
      <c r="J13" s="438">
        <v>0.56200000000000006</v>
      </c>
      <c r="K13" s="446"/>
      <c r="L13" s="447"/>
      <c r="M13" s="437" t="s">
        <v>1638</v>
      </c>
      <c r="N13" s="438">
        <v>1</v>
      </c>
      <c r="O13" s="446"/>
      <c r="P13" s="447"/>
      <c r="Q13" s="437" t="s">
        <v>192</v>
      </c>
      <c r="R13" s="449">
        <f>FAN_I</f>
        <v>3</v>
      </c>
      <c r="U13" s="437" t="s">
        <v>1640</v>
      </c>
      <c r="V13" s="438">
        <f>FAN_D</f>
        <v>0.43</v>
      </c>
      <c r="W13" s="446"/>
      <c r="Y13" s="452" t="s">
        <v>1237</v>
      </c>
      <c r="Z13" s="453">
        <v>3</v>
      </c>
      <c r="AA13" s="450"/>
      <c r="AD13" s="445"/>
    </row>
    <row r="14" spans="1:30" x14ac:dyDescent="0.35">
      <c r="A14" s="437" t="s">
        <v>1594</v>
      </c>
      <c r="B14" s="438">
        <f>K90</f>
        <v>42</v>
      </c>
      <c r="E14" s="437" t="s">
        <v>1595</v>
      </c>
      <c r="F14" s="438">
        <v>0.56200000000000006</v>
      </c>
      <c r="G14" s="446"/>
      <c r="H14" s="447"/>
      <c r="I14" s="442" t="s">
        <v>1635</v>
      </c>
      <c r="J14" s="443">
        <v>4</v>
      </c>
      <c r="K14" s="446"/>
      <c r="L14" s="447"/>
      <c r="M14" s="437" t="s">
        <v>1639</v>
      </c>
      <c r="N14" s="438">
        <f>2*F12+B10+N5</f>
        <v>1.31029</v>
      </c>
      <c r="O14" s="446"/>
      <c r="P14" s="447"/>
      <c r="Q14" s="437" t="s">
        <v>191</v>
      </c>
      <c r="R14" s="449">
        <f>FAN_J</f>
        <v>1.89</v>
      </c>
      <c r="U14" s="437" t="s">
        <v>1641</v>
      </c>
      <c r="V14" s="438" t="str">
        <f>'Hole Sizes'!B9</f>
        <v>0.375</v>
      </c>
      <c r="W14" s="446"/>
      <c r="Y14" s="452" t="s">
        <v>1233</v>
      </c>
      <c r="Z14" s="453">
        <v>0.67500000000000004</v>
      </c>
      <c r="AA14" s="450"/>
      <c r="AD14" s="445"/>
    </row>
    <row r="15" spans="1:30" x14ac:dyDescent="0.35">
      <c r="A15" s="437" t="s">
        <v>1228</v>
      </c>
      <c r="B15" s="470">
        <f>K89</f>
        <v>30.5</v>
      </c>
      <c r="C15" s="459">
        <f>J54+K66</f>
        <v>30.75</v>
      </c>
      <c r="E15" s="437" t="s">
        <v>1597</v>
      </c>
      <c r="F15" s="438">
        <v>0.312</v>
      </c>
      <c r="G15" s="446"/>
      <c r="H15" s="447"/>
      <c r="I15" s="437" t="s">
        <v>41</v>
      </c>
      <c r="J15" s="438">
        <v>1</v>
      </c>
      <c r="K15" s="446"/>
      <c r="L15" s="447"/>
      <c r="M15" s="437" t="s">
        <v>1636</v>
      </c>
      <c r="N15" s="438">
        <v>0.312</v>
      </c>
      <c r="O15" s="446"/>
      <c r="P15" s="447"/>
      <c r="Q15" s="437" t="s">
        <v>598</v>
      </c>
      <c r="R15" s="449">
        <f>Fan_K</f>
        <v>17.008199999999999</v>
      </c>
      <c r="U15" s="437" t="s">
        <v>1214</v>
      </c>
      <c r="V15" s="438">
        <v>0.56200000000000006</v>
      </c>
      <c r="W15" s="446"/>
      <c r="Y15" s="452" t="s">
        <v>1236</v>
      </c>
      <c r="Z15" s="453">
        <f>(Z8-2*Z13)/2</f>
        <v>10.5</v>
      </c>
      <c r="AA15" s="450"/>
      <c r="AD15" s="445"/>
    </row>
    <row r="16" spans="1:30" x14ac:dyDescent="0.35">
      <c r="A16" s="437" t="s">
        <v>1593</v>
      </c>
      <c r="B16" s="438">
        <f>IF(FanDamperOptn="BD",Z11,0)</f>
        <v>10</v>
      </c>
      <c r="E16" s="437" t="s">
        <v>1598</v>
      </c>
      <c r="F16" s="438">
        <v>0.75</v>
      </c>
      <c r="G16" s="446"/>
      <c r="H16" s="447"/>
      <c r="I16" s="437" t="s">
        <v>1618</v>
      </c>
      <c r="J16" s="438">
        <v>1</v>
      </c>
      <c r="K16" s="446"/>
      <c r="L16" s="447"/>
      <c r="M16" s="437" t="s">
        <v>1637</v>
      </c>
      <c r="N16" s="438" t="str">
        <f>'Hole Sizes'!E18</f>
        <v>0.188</v>
      </c>
      <c r="O16" s="446"/>
      <c r="P16" s="447"/>
      <c r="Q16" s="437" t="s">
        <v>599</v>
      </c>
      <c r="R16" s="449">
        <f>Fan_L</f>
        <v>60</v>
      </c>
      <c r="U16" s="437" t="s">
        <v>1216</v>
      </c>
      <c r="V16" s="438">
        <v>18</v>
      </c>
      <c r="W16" s="446"/>
      <c r="Y16" s="452" t="s">
        <v>1234</v>
      </c>
      <c r="Z16" s="453">
        <f>Z15</f>
        <v>10.5</v>
      </c>
      <c r="AA16" s="450"/>
      <c r="AD16" s="445"/>
    </row>
    <row r="17" spans="1:30" x14ac:dyDescent="0.35">
      <c r="A17" s="437" t="s">
        <v>1604</v>
      </c>
      <c r="B17" s="469">
        <f>ROUNDUP(M82,0)</f>
        <v>19</v>
      </c>
      <c r="E17" s="437" t="s">
        <v>1599</v>
      </c>
      <c r="F17" s="438" t="str">
        <f>'Hole Sizes'!E18</f>
        <v>0.188</v>
      </c>
      <c r="G17" s="446"/>
      <c r="H17" s="447"/>
      <c r="I17" s="437" t="s">
        <v>1619</v>
      </c>
      <c r="J17" s="438">
        <v>2.5</v>
      </c>
      <c r="K17" s="446"/>
      <c r="L17" s="447"/>
      <c r="M17" s="437" t="s">
        <v>40</v>
      </c>
      <c r="N17" s="438">
        <v>0.5</v>
      </c>
      <c r="O17" s="446"/>
      <c r="P17" s="447"/>
      <c r="Q17" s="437" t="s">
        <v>600</v>
      </c>
      <c r="R17" s="449">
        <f>Fan_M</f>
        <v>6</v>
      </c>
      <c r="U17" s="437" t="s">
        <v>1217</v>
      </c>
      <c r="V17" s="438">
        <f>ROUNDUP((V12-2*V15)/V16,0)+1</f>
        <v>3</v>
      </c>
      <c r="W17" s="447"/>
      <c r="Y17" s="452" t="s">
        <v>1232</v>
      </c>
      <c r="Z17" s="453">
        <f>(Z8-((Z18-1)*Z16))/2</f>
        <v>3</v>
      </c>
      <c r="AA17" s="450"/>
      <c r="AD17" s="445"/>
    </row>
    <row r="18" spans="1:30" x14ac:dyDescent="0.35">
      <c r="A18" s="437" t="s">
        <v>1605</v>
      </c>
      <c r="B18" s="438">
        <f>B7-IF(FANSWIDE=1,0.0000001,(B15*(FANSWIDE-1))/2)</f>
        <v>19</v>
      </c>
      <c r="E18" s="437" t="s">
        <v>49</v>
      </c>
      <c r="F18" s="438">
        <v>1.25</v>
      </c>
      <c r="G18" s="446"/>
      <c r="H18" s="447"/>
      <c r="I18" s="437" t="s">
        <v>1620</v>
      </c>
      <c r="J18" s="438">
        <v>2</v>
      </c>
      <c r="K18" s="446"/>
      <c r="L18" s="447"/>
      <c r="M18" s="437" t="s">
        <v>42</v>
      </c>
      <c r="N18" s="438">
        <v>0.375</v>
      </c>
      <c r="O18" s="446"/>
      <c r="P18" s="447"/>
      <c r="Q18" s="437" t="s">
        <v>601</v>
      </c>
      <c r="R18" s="449">
        <v>0</v>
      </c>
      <c r="U18" s="437" t="s">
        <v>1215</v>
      </c>
      <c r="V18" s="438">
        <f>(V12-2*V15)/(V17-1)</f>
        <v>12.938000000000001</v>
      </c>
      <c r="W18" s="447"/>
      <c r="Y18" s="452" t="s">
        <v>1235</v>
      </c>
      <c r="Z18" s="453">
        <f>((Z8-2*Z13)/Z15)+1</f>
        <v>3</v>
      </c>
      <c r="AA18" s="450"/>
      <c r="AD18" s="445"/>
    </row>
    <row r="19" spans="1:30" x14ac:dyDescent="0.35">
      <c r="A19" s="437" t="s">
        <v>1630</v>
      </c>
      <c r="B19" s="438">
        <f>IF(FANSARRAY&gt;=2,1,0)</f>
        <v>1</v>
      </c>
      <c r="E19" s="437" t="s">
        <v>43</v>
      </c>
      <c r="F19" s="438">
        <f>0.4375+F11</f>
        <v>1.9375</v>
      </c>
      <c r="G19" s="446"/>
      <c r="H19" s="447"/>
      <c r="I19" s="437" t="s">
        <v>1642</v>
      </c>
      <c r="J19" s="438">
        <f>IF(((J7-2*J15)/(J20-1))&lt;1,1,(J7-2*J15)/(J20-1))</f>
        <v>4.5</v>
      </c>
      <c r="K19" s="446"/>
      <c r="L19" s="447"/>
      <c r="M19" s="437" t="s">
        <v>44</v>
      </c>
      <c r="N19" s="438">
        <v>3.375</v>
      </c>
      <c r="O19" s="454"/>
      <c r="P19" s="447"/>
      <c r="Q19" s="437" t="s">
        <v>602</v>
      </c>
      <c r="R19" s="449">
        <v>0</v>
      </c>
      <c r="U19" s="437" t="s">
        <v>1218</v>
      </c>
      <c r="V19" s="439">
        <f>V5-B8</f>
        <v>0.10375999999999999</v>
      </c>
      <c r="Y19" s="452" t="s">
        <v>1890</v>
      </c>
      <c r="Z19" s="453">
        <f>IF(FANSIZE+0=310,3,ROUND((Z9-1.9*2)/4.38,0)-1)</f>
        <v>4</v>
      </c>
      <c r="AA19" s="450"/>
      <c r="AD19" s="445"/>
    </row>
    <row r="20" spans="1:30" x14ac:dyDescent="0.35">
      <c r="A20" s="437" t="s">
        <v>1657</v>
      </c>
      <c r="B20" s="438">
        <f>IF(AND(FANSWIDE&gt;1,FANSARRAY&gt;1),1,0)</f>
        <v>1</v>
      </c>
      <c r="E20" s="437" t="s">
        <v>45</v>
      </c>
      <c r="F20" s="438">
        <v>1.5</v>
      </c>
      <c r="G20" s="446"/>
      <c r="H20" s="447"/>
      <c r="I20" s="437" t="s">
        <v>1643</v>
      </c>
      <c r="J20" s="438">
        <f>IF(ROUNDUP((J7-2*J15)/J14,0)&lt;2,2,ROUNDUP((J7-2*J15)/J14,0))</f>
        <v>2</v>
      </c>
      <c r="K20" s="446"/>
      <c r="L20" s="447"/>
      <c r="M20" s="437" t="s">
        <v>1652</v>
      </c>
      <c r="N20" s="438">
        <v>3.25</v>
      </c>
      <c r="O20" s="446"/>
      <c r="P20" s="447"/>
      <c r="Q20" s="437" t="s">
        <v>603</v>
      </c>
      <c r="R20" s="449">
        <v>0</v>
      </c>
      <c r="U20" s="437" t="s">
        <v>1238</v>
      </c>
      <c r="V20" s="438">
        <v>3</v>
      </c>
      <c r="Y20" s="451"/>
      <c r="Z20" s="450"/>
      <c r="AA20" s="450"/>
      <c r="AD20" s="445"/>
    </row>
    <row r="21" spans="1:30" x14ac:dyDescent="0.35">
      <c r="A21" s="437" t="s">
        <v>1658</v>
      </c>
      <c r="B21" s="438">
        <f>IF(AND(FANSWIDE&gt;2,FANSARRAY&gt;1),1,0)</f>
        <v>1</v>
      </c>
      <c r="E21" s="437" t="s">
        <v>46</v>
      </c>
      <c r="F21" s="438">
        <f>(F9-(2*F20))/(F23-1)</f>
        <v>16.888888888888889</v>
      </c>
      <c r="G21" s="446"/>
      <c r="H21" s="447"/>
      <c r="I21" s="437" t="s">
        <v>1621</v>
      </c>
      <c r="J21" s="438">
        <f>Z7-Z14</f>
        <v>0.82499999999999996</v>
      </c>
      <c r="K21" s="446"/>
      <c r="L21" s="447"/>
      <c r="M21" s="442" t="s">
        <v>47</v>
      </c>
      <c r="N21" s="438">
        <f>F8-F11/2</f>
        <v>8.25</v>
      </c>
      <c r="O21" s="454"/>
      <c r="P21" s="447"/>
      <c r="Q21" s="437" t="s">
        <v>604</v>
      </c>
      <c r="R21" s="449">
        <v>0</v>
      </c>
      <c r="U21" s="437" t="s">
        <v>1239</v>
      </c>
      <c r="V21" s="438">
        <v>0.67500000000000004</v>
      </c>
      <c r="Y21" s="451"/>
      <c r="Z21" s="450"/>
      <c r="AA21" s="451"/>
      <c r="AD21" s="445"/>
    </row>
    <row r="22" spans="1:30" x14ac:dyDescent="0.35">
      <c r="A22" s="437" t="s">
        <v>1629</v>
      </c>
      <c r="B22" s="438">
        <f>IF(FanBlockOffQty=0,0.001,FanBlockOffQty)</f>
        <v>1E-3</v>
      </c>
      <c r="E22" s="442" t="s">
        <v>1673</v>
      </c>
      <c r="F22" s="438">
        <f>0.4375+F12</f>
        <v>1.0625</v>
      </c>
      <c r="G22" s="446"/>
      <c r="H22" s="447"/>
      <c r="I22" s="437" t="s">
        <v>1622</v>
      </c>
      <c r="J22" s="438">
        <f>Z17-Z7</f>
        <v>1.5</v>
      </c>
      <c r="K22" s="446"/>
      <c r="L22" s="447"/>
      <c r="M22" s="437" t="s">
        <v>1653</v>
      </c>
      <c r="N22" s="438">
        <v>1.5</v>
      </c>
      <c r="O22" s="446"/>
      <c r="P22" s="447"/>
      <c r="Q22" s="437" t="s">
        <v>605</v>
      </c>
      <c r="R22" s="449">
        <v>0</v>
      </c>
      <c r="U22" s="437" t="s">
        <v>1240</v>
      </c>
      <c r="V22" s="438">
        <f>Z16</f>
        <v>10.5</v>
      </c>
      <c r="Y22" s="451"/>
      <c r="Z22" s="450"/>
      <c r="AA22" s="451"/>
      <c r="AD22" s="445"/>
    </row>
    <row r="23" spans="1:30" x14ac:dyDescent="0.35">
      <c r="E23" s="437" t="s">
        <v>48</v>
      </c>
      <c r="F23" s="438">
        <f>ROUNDUP((F9-(2*F20))/F24,0)+1</f>
        <v>10</v>
      </c>
      <c r="G23" s="446"/>
      <c r="H23" s="447"/>
      <c r="I23" s="437" t="s">
        <v>1623</v>
      </c>
      <c r="J23" s="438">
        <f>Z16</f>
        <v>10.5</v>
      </c>
      <c r="K23" s="446"/>
      <c r="L23" s="447"/>
      <c r="M23" s="455" t="s">
        <v>51</v>
      </c>
      <c r="N23" s="443">
        <f>N8-4</f>
        <v>20.927000000000003</v>
      </c>
      <c r="O23" s="454"/>
      <c r="P23" s="447"/>
      <c r="Q23" s="437" t="s">
        <v>181</v>
      </c>
      <c r="R23" s="449">
        <f>FAN_S</f>
        <v>13.807</v>
      </c>
      <c r="U23" s="437" t="s">
        <v>1241</v>
      </c>
      <c r="V23" s="438">
        <f>Z18</f>
        <v>3</v>
      </c>
      <c r="Y23" s="451"/>
      <c r="Z23" s="450"/>
      <c r="AA23" s="451"/>
      <c r="AD23" s="445"/>
    </row>
    <row r="24" spans="1:30" x14ac:dyDescent="0.35">
      <c r="E24" s="442" t="s">
        <v>1698</v>
      </c>
      <c r="F24" s="443">
        <v>18</v>
      </c>
      <c r="G24" s="446"/>
      <c r="H24" s="447"/>
      <c r="I24" s="437" t="s">
        <v>1624</v>
      </c>
      <c r="J24" s="438">
        <f>Z18</f>
        <v>3</v>
      </c>
      <c r="M24" s="437" t="s">
        <v>53</v>
      </c>
      <c r="N24" s="438">
        <v>1.5</v>
      </c>
      <c r="O24" s="454"/>
      <c r="P24" s="447"/>
      <c r="Q24" s="437" t="s">
        <v>179</v>
      </c>
      <c r="R24" s="449">
        <f>FAN_T</f>
        <v>19.684999999999999</v>
      </c>
      <c r="U24" s="437" t="s">
        <v>1886</v>
      </c>
      <c r="V24" s="438">
        <f>V6+0.25</f>
        <v>0.79</v>
      </c>
      <c r="Y24" s="451"/>
      <c r="Z24" s="450"/>
      <c r="AA24" s="451"/>
      <c r="AD24" s="445"/>
    </row>
    <row r="25" spans="1:30" x14ac:dyDescent="0.35">
      <c r="A25" s="440" t="s">
        <v>1</v>
      </c>
      <c r="B25" s="441" t="s">
        <v>2</v>
      </c>
      <c r="E25" s="437" t="s">
        <v>50</v>
      </c>
      <c r="F25" s="438">
        <f>B18-Z16</f>
        <v>8.5</v>
      </c>
      <c r="G25" s="446"/>
      <c r="H25" s="447"/>
      <c r="I25" s="437" t="s">
        <v>1625</v>
      </c>
      <c r="J25" s="438">
        <v>1.5</v>
      </c>
      <c r="K25" s="446"/>
      <c r="M25" s="437" t="s">
        <v>1201</v>
      </c>
      <c r="N25" s="438">
        <v>1E-4</v>
      </c>
      <c r="P25" s="447"/>
      <c r="Q25" s="437" t="s">
        <v>184</v>
      </c>
      <c r="R25" s="449">
        <f>FAN_U</f>
        <v>1.181</v>
      </c>
      <c r="U25" s="437" t="s">
        <v>643</v>
      </c>
      <c r="V25" s="438">
        <f>IF(R64&lt;0.7,R64,1.181)</f>
        <v>0.64</v>
      </c>
      <c r="Y25" s="451"/>
      <c r="Z25" s="450"/>
      <c r="AA25" s="451"/>
      <c r="AD25" s="445"/>
    </row>
    <row r="26" spans="1:30" x14ac:dyDescent="0.35">
      <c r="A26" s="587" t="s">
        <v>1258</v>
      </c>
      <c r="B26" s="587"/>
      <c r="E26" s="437" t="s">
        <v>52</v>
      </c>
      <c r="F26" s="438">
        <f>Z14</f>
        <v>0.67500000000000004</v>
      </c>
      <c r="G26" s="446"/>
      <c r="H26" s="447"/>
      <c r="I26" s="437" t="s">
        <v>1626</v>
      </c>
      <c r="J26" s="438">
        <f>IF((((N23-0.5)/TAN(RADIANS(50)))-F12-F8+0.5)&lt;0.5,0.5,(((N23-0.5)/TAN(RADIANS(50)))-F12-F8+0.5))</f>
        <v>8.0152881660583013</v>
      </c>
      <c r="M26" s="437" t="s">
        <v>1202</v>
      </c>
      <c r="N26" s="438">
        <v>1.5</v>
      </c>
      <c r="P26" s="447"/>
      <c r="Q26" s="437" t="s">
        <v>606</v>
      </c>
      <c r="R26" s="449">
        <f>Fan_V</f>
        <v>14.91</v>
      </c>
      <c r="U26" s="437" t="s">
        <v>1887</v>
      </c>
      <c r="V26" s="438">
        <f>V25+0.25</f>
        <v>0.89</v>
      </c>
      <c r="Y26" s="451"/>
      <c r="Z26" s="450"/>
      <c r="AA26" s="451"/>
      <c r="AD26" s="445"/>
    </row>
    <row r="27" spans="1:30" x14ac:dyDescent="0.35">
      <c r="A27" s="437" t="s">
        <v>1674</v>
      </c>
      <c r="B27" s="469" t="str">
        <f>IF(C27=1,"Check Input",IF(B4&gt;=(ROUNDUP(L82,0)+B120)*2+(ROUNDUP(L84,0)+B121)*(FANSARRAY-1),"Correct Input","Invalid Input"))</f>
        <v>Correct Input</v>
      </c>
      <c r="C27" s="445">
        <f>IFERROR(F43,1)</f>
        <v>66</v>
      </c>
      <c r="E27" s="437" t="s">
        <v>54</v>
      </c>
      <c r="F27" s="438">
        <f>Z16</f>
        <v>10.5</v>
      </c>
      <c r="G27" s="446"/>
      <c r="H27" s="447"/>
      <c r="I27" s="437" t="s">
        <v>1627</v>
      </c>
      <c r="J27" s="438">
        <f>J26+N14</f>
        <v>9.3255781660583015</v>
      </c>
      <c r="M27" s="437" t="s">
        <v>1203</v>
      </c>
      <c r="N27" s="438">
        <f>(N8-2*N26)/(N28-1)</f>
        <v>10.963500000000002</v>
      </c>
      <c r="O27" s="446"/>
      <c r="P27" s="447"/>
      <c r="Q27" s="437" t="s">
        <v>607</v>
      </c>
      <c r="R27" s="449">
        <f>Fan_W</f>
        <v>18.898</v>
      </c>
      <c r="U27" s="437" t="s">
        <v>1888</v>
      </c>
      <c r="V27" s="439">
        <f>V5+0.12</f>
        <v>0.25500999999999996</v>
      </c>
      <c r="Z27" s="454"/>
      <c r="AA27" s="451"/>
      <c r="AD27" s="445"/>
    </row>
    <row r="28" spans="1:30" x14ac:dyDescent="0.35">
      <c r="A28" s="437" t="s">
        <v>13</v>
      </c>
      <c r="B28" s="469" t="str">
        <f>IF(B15=1,"Check Input",IF(B5&gt;=(ROUNDUP(L81,0)+B122)*2+(ROUNDUP(L83,0)+B123)*(FANSWIDE-1),"Correct Input","Invalid Input"))</f>
        <v>Correct Input</v>
      </c>
      <c r="C28" s="445">
        <f>IFERROR(J11,1)</f>
        <v>146</v>
      </c>
      <c r="E28" s="437" t="s">
        <v>55</v>
      </c>
      <c r="F28" s="438">
        <f>Z18</f>
        <v>3</v>
      </c>
      <c r="G28" s="446"/>
      <c r="H28" s="447"/>
      <c r="I28" s="437" t="s">
        <v>1628</v>
      </c>
      <c r="J28" s="438">
        <v>1.5</v>
      </c>
      <c r="M28" s="437" t="s">
        <v>1204</v>
      </c>
      <c r="N28" s="438">
        <v>3</v>
      </c>
      <c r="P28" s="447"/>
      <c r="Q28" s="437" t="s">
        <v>608</v>
      </c>
      <c r="R28" s="449">
        <v>0</v>
      </c>
      <c r="U28" s="447"/>
      <c r="V28" s="446"/>
      <c r="Z28" s="454"/>
      <c r="AA28" s="451"/>
      <c r="AD28" s="445"/>
    </row>
    <row r="29" spans="1:30" x14ac:dyDescent="0.35">
      <c r="A29" s="437" t="s">
        <v>1675</v>
      </c>
      <c r="B29" s="438" t="str">
        <f>IF(AND(CONCATENATE(FANSIZE+0,"_",MTRVOLT,"_",KW)='001-013'!A15,C29&lt;&gt;1),"Correct Input","Invalid Input")</f>
        <v>Correct Input</v>
      </c>
      <c r="C29" s="445" t="str">
        <f>IFERROR('001-013'!S15,1)</f>
        <v>EG1R-480-450-48</v>
      </c>
      <c r="E29" s="437" t="s">
        <v>56</v>
      </c>
      <c r="F29" s="438">
        <f>B15</f>
        <v>30.5</v>
      </c>
      <c r="G29" s="446"/>
      <c r="H29" s="447"/>
      <c r="I29" s="437"/>
      <c r="J29" s="438"/>
      <c r="M29" s="437" t="s">
        <v>1261</v>
      </c>
      <c r="N29" s="438">
        <f>IF(AND(FANSWIDE&gt;1,FANSARRAY&gt;1),N14+0.5,0.001)</f>
        <v>1.81029</v>
      </c>
      <c r="P29" s="447"/>
      <c r="Q29" s="437" t="s">
        <v>609</v>
      </c>
      <c r="R29" s="449">
        <f>Fan_Y</f>
        <v>0.99399999999999999</v>
      </c>
      <c r="U29" s="447"/>
      <c r="V29" s="446"/>
      <c r="Z29" s="454"/>
      <c r="AA29" s="451"/>
      <c r="AD29" s="445"/>
    </row>
    <row r="30" spans="1:30" x14ac:dyDescent="0.35">
      <c r="A30" s="437" t="s">
        <v>1679</v>
      </c>
      <c r="B30" s="438" t="str">
        <f>IF(OR(AND(FANSWIDE*FANSARRAY&gt;=FanBlockOffQty,FanDamperOptn="NO"),(AND(FanBlockOffQty=0,FanDamperOptn="BD"))),"Correct Input","Invalid Input")</f>
        <v>Correct Input</v>
      </c>
      <c r="E30" s="437" t="s">
        <v>57</v>
      </c>
      <c r="F30" s="438">
        <f>FANSWIDE</f>
        <v>5</v>
      </c>
      <c r="G30" s="446"/>
      <c r="H30" s="447"/>
      <c r="M30" s="437" t="s">
        <v>1661</v>
      </c>
      <c r="N30" s="438">
        <f>IF(FANSWIDE=1,0.001,0.001)</f>
        <v>1E-3</v>
      </c>
      <c r="P30" s="447"/>
      <c r="Q30" s="437" t="s">
        <v>610</v>
      </c>
      <c r="R30" s="449">
        <f>Fan_Z</f>
        <v>11.927999999999999</v>
      </c>
      <c r="U30" s="447"/>
      <c r="V30" s="446"/>
      <c r="Z30" s="454"/>
      <c r="AA30" s="451"/>
      <c r="AD30" s="445"/>
    </row>
    <row r="31" spans="1:30" x14ac:dyDescent="0.35">
      <c r="A31" s="437" t="s">
        <v>1891</v>
      </c>
      <c r="B31" s="438" t="str">
        <f>IF(OR(AND(FanDamperOptn="BD",FanBlockOffQty=0),(AND(FanDamperOptn="NO",FanBlockOffQty&gt;=0))),"Correct Input","Invalid Input")</f>
        <v>Correct Input</v>
      </c>
      <c r="E31" s="437" t="s">
        <v>58</v>
      </c>
      <c r="F31" s="438">
        <f>B18-(V12/2)+Z7-J15</f>
        <v>6</v>
      </c>
      <c r="G31" s="446"/>
      <c r="H31" s="447"/>
      <c r="M31" s="437" t="s">
        <v>1662</v>
      </c>
      <c r="N31" s="438">
        <f>N5</f>
        <v>6.0010000000000001E-2</v>
      </c>
      <c r="P31" s="447"/>
      <c r="Q31" s="437" t="s">
        <v>611</v>
      </c>
      <c r="R31" s="449">
        <v>0</v>
      </c>
      <c r="U31" s="447"/>
      <c r="V31" s="446"/>
      <c r="Z31" s="454"/>
      <c r="AA31" s="451"/>
      <c r="AD31" s="445"/>
    </row>
    <row r="32" spans="1:30" x14ac:dyDescent="0.35">
      <c r="B32" s="454">
        <f>COUNTIF(B27:B31,"Invalid Input")</f>
        <v>0</v>
      </c>
      <c r="E32" s="437" t="s">
        <v>59</v>
      </c>
      <c r="F32" s="438">
        <v>1</v>
      </c>
      <c r="G32" s="446"/>
      <c r="H32" s="447"/>
      <c r="I32" s="440" t="s">
        <v>1</v>
      </c>
      <c r="J32" s="441" t="s">
        <v>2</v>
      </c>
      <c r="M32" s="437" t="s">
        <v>1663</v>
      </c>
      <c r="N32" s="438">
        <f>1.5</f>
        <v>1.5</v>
      </c>
      <c r="P32" s="447"/>
      <c r="Q32" s="437" t="s">
        <v>612</v>
      </c>
      <c r="R32" s="449">
        <f>Fan_AB</f>
        <v>2.1867999999999999</v>
      </c>
      <c r="U32" s="447"/>
      <c r="V32" s="446"/>
      <c r="Z32" s="454"/>
      <c r="AA32" s="451"/>
      <c r="AD32" s="445"/>
    </row>
    <row r="33" spans="1:30" x14ac:dyDescent="0.35">
      <c r="A33" s="440" t="s">
        <v>1</v>
      </c>
      <c r="B33" s="441" t="s">
        <v>2</v>
      </c>
      <c r="C33" s="446"/>
      <c r="E33" s="437" t="s">
        <v>1609</v>
      </c>
      <c r="F33" s="438">
        <f>J17</f>
        <v>2.5</v>
      </c>
      <c r="G33" s="446"/>
      <c r="H33" s="447"/>
      <c r="I33" s="587" t="s">
        <v>66</v>
      </c>
      <c r="J33" s="587"/>
      <c r="M33" s="437" t="s">
        <v>1664</v>
      </c>
      <c r="N33" s="438">
        <f>N32+N30</f>
        <v>1.5009999999999999</v>
      </c>
      <c r="Q33" s="437" t="s">
        <v>613</v>
      </c>
      <c r="R33" s="449">
        <f>Fan_AC</f>
        <v>7.9000000000000001E-2</v>
      </c>
      <c r="V33" s="445"/>
      <c r="Z33" s="454"/>
      <c r="AA33" s="451"/>
      <c r="AD33" s="445"/>
    </row>
    <row r="34" spans="1:30" x14ac:dyDescent="0.35">
      <c r="A34" s="587" t="s">
        <v>64</v>
      </c>
      <c r="B34" s="587"/>
      <c r="C34" s="446"/>
      <c r="E34" s="437" t="s">
        <v>1645</v>
      </c>
      <c r="F34" s="438">
        <f>J11+J6</f>
        <v>150.5</v>
      </c>
      <c r="G34" s="446"/>
      <c r="H34" s="447"/>
      <c r="I34" s="437" t="s">
        <v>69</v>
      </c>
      <c r="J34" s="438">
        <f>IF(FanBlockOffThkO&lt;&gt;0,FanBlockOffThkO,16)</f>
        <v>16</v>
      </c>
      <c r="M34" s="437" t="s">
        <v>1665</v>
      </c>
      <c r="N34" s="438">
        <f>N17-N7</f>
        <v>0.43998999999999999</v>
      </c>
      <c r="Q34" s="437" t="s">
        <v>614</v>
      </c>
      <c r="R34" s="449">
        <f>Fan_AD</f>
        <v>4.3735999999999997</v>
      </c>
      <c r="V34" s="445"/>
      <c r="Z34" s="454"/>
      <c r="AA34" s="451"/>
      <c r="AD34" s="445"/>
    </row>
    <row r="35" spans="1:30" x14ac:dyDescent="0.35">
      <c r="A35" s="437" t="s">
        <v>67</v>
      </c>
      <c r="B35" s="438">
        <v>12</v>
      </c>
      <c r="C35" s="446"/>
      <c r="E35" s="437" t="s">
        <v>1606</v>
      </c>
      <c r="F35" s="438">
        <f>IF(FANSWIDE=1,0.001,B18+(Z9/2)-Z7+J15)</f>
        <v>32</v>
      </c>
      <c r="G35" s="446"/>
      <c r="H35" s="447"/>
      <c r="I35" s="437" t="s">
        <v>72</v>
      </c>
      <c r="J35" s="439">
        <f>VLOOKUP(CONCATENATE(J34,MaterialStyle),Material_List_Table,MATCH(MAT_KEYT,Material_List_Column_Names,0),FALSE)</f>
        <v>6.0010000000000001E-2</v>
      </c>
      <c r="M35" s="437" t="s">
        <v>1666</v>
      </c>
      <c r="N35" s="439">
        <f>F12+F42</f>
        <v>1</v>
      </c>
      <c r="Q35" s="437" t="s">
        <v>615</v>
      </c>
      <c r="R35" s="449">
        <f>Fan_AE</f>
        <v>4.97</v>
      </c>
      <c r="V35" s="445"/>
      <c r="Z35" s="454"/>
      <c r="AA35" s="451"/>
      <c r="AD35" s="445"/>
    </row>
    <row r="36" spans="1:30" x14ac:dyDescent="0.35">
      <c r="A36" s="437" t="s">
        <v>70</v>
      </c>
      <c r="B36" s="439">
        <f>VLOOKUP(CONCATENATE(B35,MaterialStyle),Material_List_Table,MATCH(MAT_KEYT,Material_List_Column_Names,0),FALSE)</f>
        <v>0.10501000000000001</v>
      </c>
      <c r="C36" s="446"/>
      <c r="E36" s="437" t="s">
        <v>1607</v>
      </c>
      <c r="F36" s="438">
        <v>1</v>
      </c>
      <c r="G36" s="446"/>
      <c r="H36" s="447"/>
      <c r="I36" s="437" t="s">
        <v>75</v>
      </c>
      <c r="J36" s="438">
        <f>J8-2*B8</f>
        <v>23.9375</v>
      </c>
      <c r="M36" s="437" t="s">
        <v>1667</v>
      </c>
      <c r="N36" s="439">
        <f>F12-F42</f>
        <v>0.25</v>
      </c>
      <c r="P36" s="447"/>
      <c r="Q36" s="437" t="s">
        <v>616</v>
      </c>
      <c r="R36" s="449">
        <f>Fan_AF</f>
        <v>0.27832000000000001</v>
      </c>
      <c r="V36" s="445"/>
      <c r="Z36" s="454"/>
      <c r="AA36" s="451"/>
      <c r="AD36" s="445"/>
    </row>
    <row r="37" spans="1:30" x14ac:dyDescent="0.35">
      <c r="A37" s="437" t="s">
        <v>1654</v>
      </c>
      <c r="B37" s="449">
        <v>2.5</v>
      </c>
      <c r="C37" s="446"/>
      <c r="E37" s="437" t="s">
        <v>1610</v>
      </c>
      <c r="F37" s="438">
        <f>J19</f>
        <v>4.5</v>
      </c>
      <c r="G37" s="446"/>
      <c r="H37" s="447"/>
      <c r="I37" s="437" t="s">
        <v>78</v>
      </c>
      <c r="J37" s="438">
        <f>J8-2*B8</f>
        <v>23.9375</v>
      </c>
      <c r="M37" s="437" t="s">
        <v>1668</v>
      </c>
      <c r="N37" s="439">
        <f>N10-N34-N34-N19</f>
        <v>26.995019999999997</v>
      </c>
      <c r="Q37" s="437" t="s">
        <v>617</v>
      </c>
      <c r="R37" s="449">
        <v>0</v>
      </c>
      <c r="V37" s="445"/>
      <c r="Z37" s="454"/>
      <c r="AA37" s="451"/>
      <c r="AD37" s="445"/>
    </row>
    <row r="38" spans="1:30" x14ac:dyDescent="0.35">
      <c r="A38" s="437" t="s">
        <v>73</v>
      </c>
      <c r="B38" s="438">
        <f>2-2*(B36+B10)</f>
        <v>1.78942</v>
      </c>
      <c r="C38" s="446"/>
      <c r="E38" s="437" t="s">
        <v>1608</v>
      </c>
      <c r="F38" s="438">
        <f>J20</f>
        <v>2</v>
      </c>
      <c r="G38" s="446"/>
      <c r="H38" s="447"/>
      <c r="I38" s="437" t="s">
        <v>81</v>
      </c>
      <c r="J38" s="438">
        <f>F14*2+J35+J5</f>
        <v>1.2890200000000001</v>
      </c>
      <c r="M38" s="437" t="s">
        <v>1669</v>
      </c>
      <c r="N38" s="439">
        <f>N11-N34-N34-N19</f>
        <v>26.185009999999998</v>
      </c>
      <c r="Q38" s="437" t="s">
        <v>618</v>
      </c>
      <c r="R38" s="449">
        <f>Fan_AH</f>
        <v>1.5904</v>
      </c>
      <c r="V38" s="445"/>
      <c r="Z38" s="454"/>
      <c r="AA38" s="451"/>
      <c r="AD38" s="445"/>
    </row>
    <row r="39" spans="1:30" x14ac:dyDescent="0.35">
      <c r="A39" s="437" t="s">
        <v>76</v>
      </c>
      <c r="B39" s="439">
        <f>(N23-0.5)/SIN(RADIANS(B52))</f>
        <v>26.665554699190459</v>
      </c>
      <c r="C39" s="446"/>
      <c r="E39" s="437" t="s">
        <v>1611</v>
      </c>
      <c r="F39" s="438">
        <f>IF(FANSWIDE=1,1,FANSWIDE-1)</f>
        <v>4</v>
      </c>
      <c r="G39" s="446"/>
      <c r="H39" s="447"/>
      <c r="I39" s="437" t="s">
        <v>1263</v>
      </c>
      <c r="J39" s="438">
        <f>IF(FanBlockOffQty=0,1,FanBlockOffQty)</f>
        <v>1</v>
      </c>
      <c r="M39" s="437" t="s">
        <v>1687</v>
      </c>
      <c r="N39" s="439">
        <f>N12-N34-N34-N19</f>
        <v>27.935009999999998</v>
      </c>
      <c r="Q39" s="437" t="s">
        <v>619</v>
      </c>
      <c r="R39" s="449">
        <v>0</v>
      </c>
      <c r="V39" s="445"/>
      <c r="Z39" s="454"/>
      <c r="AA39" s="451"/>
      <c r="AD39" s="445"/>
    </row>
    <row r="40" spans="1:30" x14ac:dyDescent="0.35">
      <c r="A40" s="437" t="s">
        <v>79</v>
      </c>
      <c r="B40" s="438">
        <v>1</v>
      </c>
      <c r="C40" s="446"/>
      <c r="E40" s="437" t="s">
        <v>61</v>
      </c>
      <c r="F40" s="438">
        <f>B18+(B15/2)</f>
        <v>34.25</v>
      </c>
      <c r="H40" s="447"/>
      <c r="I40" s="437" t="s">
        <v>1264</v>
      </c>
      <c r="J40" s="438">
        <f>J22-B8</f>
        <v>1.46875</v>
      </c>
      <c r="M40" s="437" t="s">
        <v>1694</v>
      </c>
      <c r="N40" s="439">
        <f>ROUNDDOWN(IF(N23-2&lt;8,N23-2,8),0)</f>
        <v>8</v>
      </c>
      <c r="O40" s="447"/>
      <c r="P40" s="447"/>
      <c r="Q40" s="437" t="s">
        <v>620</v>
      </c>
      <c r="R40" s="449">
        <f>Fan_AJ</f>
        <v>12.3256</v>
      </c>
      <c r="V40" s="445"/>
      <c r="Z40" s="454"/>
      <c r="AA40" s="451"/>
      <c r="AD40" s="445"/>
    </row>
    <row r="41" spans="1:30" x14ac:dyDescent="0.35">
      <c r="A41" s="437" t="s">
        <v>82</v>
      </c>
      <c r="B41" s="438">
        <v>2.5</v>
      </c>
      <c r="C41" s="446"/>
      <c r="E41" s="437" t="s">
        <v>62</v>
      </c>
      <c r="F41" s="438">
        <v>0.75</v>
      </c>
      <c r="H41" s="447"/>
      <c r="I41" s="437" t="s">
        <v>1265</v>
      </c>
      <c r="J41" s="439">
        <f>F14+J5</f>
        <v>0.6670100000000001</v>
      </c>
      <c r="O41" s="447"/>
      <c r="P41" s="447"/>
      <c r="Q41" s="437" t="s">
        <v>621</v>
      </c>
      <c r="R41" s="449">
        <v>0</v>
      </c>
      <c r="V41" s="445"/>
      <c r="Z41" s="454"/>
      <c r="AA41" s="451"/>
      <c r="AD41" s="445"/>
    </row>
    <row r="42" spans="1:30" x14ac:dyDescent="0.35">
      <c r="A42" s="437" t="s">
        <v>1262</v>
      </c>
      <c r="B42" s="438">
        <v>3</v>
      </c>
      <c r="C42" s="446"/>
      <c r="E42" s="437" t="s">
        <v>63</v>
      </c>
      <c r="F42" s="438">
        <v>0.375</v>
      </c>
      <c r="H42" s="447"/>
      <c r="I42" s="437" t="s">
        <v>1268</v>
      </c>
      <c r="J42" s="438">
        <f>IF(FanBlockOffQty=0,0.001,FanBlockOffQty)</f>
        <v>1E-3</v>
      </c>
      <c r="O42" s="447"/>
      <c r="P42" s="447"/>
      <c r="Q42" s="437" t="s">
        <v>622</v>
      </c>
      <c r="R42" s="449">
        <v>0</v>
      </c>
      <c r="V42" s="445"/>
      <c r="Z42" s="454"/>
      <c r="AA42" s="451"/>
      <c r="AD42" s="445"/>
    </row>
    <row r="43" spans="1:30" x14ac:dyDescent="0.35">
      <c r="A43" s="437" t="s">
        <v>1656</v>
      </c>
      <c r="B43" s="438">
        <f>2+B36</f>
        <v>2.10501</v>
      </c>
      <c r="C43" s="446"/>
      <c r="E43" s="437" t="s">
        <v>1648</v>
      </c>
      <c r="F43" s="438">
        <f>IF(FANSARRAY=2,2*(J8+F8),J8)</f>
        <v>66</v>
      </c>
      <c r="I43" s="437" t="s">
        <v>1676</v>
      </c>
      <c r="J43" s="438">
        <f>IF(OR(B12=1,FanBlockOffQty=0),0.001,IF(FanBlockOffQty&lt;=FANSWIDE,0.001,1))</f>
        <v>1E-3</v>
      </c>
      <c r="M43" s="456"/>
      <c r="O43" s="447"/>
      <c r="P43" s="447"/>
      <c r="Q43" s="437" t="s">
        <v>623</v>
      </c>
      <c r="R43" s="449">
        <v>0</v>
      </c>
      <c r="V43" s="445"/>
      <c r="Z43" s="454"/>
      <c r="AA43" s="451"/>
      <c r="AD43" s="445"/>
    </row>
    <row r="44" spans="1:30" x14ac:dyDescent="0.35">
      <c r="A44" s="437" t="s">
        <v>1647</v>
      </c>
      <c r="B44" s="438">
        <v>0.312</v>
      </c>
      <c r="C44" s="446"/>
      <c r="E44" s="437" t="s">
        <v>1659</v>
      </c>
      <c r="F44" s="438">
        <f>(N23-0.5)/TAN(RADIANS(B50))+0.5+0.5+N5-0.5</f>
        <v>17.7002981660583</v>
      </c>
      <c r="I44" s="437" t="s">
        <v>1677</v>
      </c>
      <c r="J44" s="438">
        <f>IF(FanBlockOffQty=0,1,IF(FANSWIDE&gt;FanBlockOffQty,FanBlockOffQty,FANSWIDE))</f>
        <v>1</v>
      </c>
      <c r="O44" s="447"/>
      <c r="P44" s="447"/>
      <c r="Q44" s="437" t="s">
        <v>624</v>
      </c>
      <c r="R44" s="449">
        <v>0</v>
      </c>
      <c r="V44" s="445"/>
      <c r="Z44" s="454"/>
      <c r="AA44" s="451"/>
      <c r="AD44" s="445"/>
    </row>
    <row r="45" spans="1:30" x14ac:dyDescent="0.35">
      <c r="A45" s="437" t="s">
        <v>1655</v>
      </c>
      <c r="B45" s="438">
        <v>0.188</v>
      </c>
      <c r="C45" s="446"/>
      <c r="E45" s="437" t="s">
        <v>1660</v>
      </c>
      <c r="F45" s="438">
        <f>(N23-0.5)/TAN(RADIANS(B50))+0.5+0.5+0.5</f>
        <v>18.640288166058301</v>
      </c>
      <c r="I45" s="437" t="s">
        <v>1678</v>
      </c>
      <c r="J45" s="438">
        <f>IF(J43&gt;0.001,FanBlockOffQty-J44,1)</f>
        <v>1</v>
      </c>
      <c r="O45" s="447"/>
      <c r="P45" s="447"/>
      <c r="Q45" s="437" t="s">
        <v>625</v>
      </c>
      <c r="R45" s="449">
        <v>0</v>
      </c>
      <c r="V45" s="445"/>
      <c r="Z45" s="454"/>
      <c r="AA45" s="451"/>
      <c r="AD45" s="445"/>
    </row>
    <row r="46" spans="1:30" x14ac:dyDescent="0.35">
      <c r="A46" s="437" t="s">
        <v>86</v>
      </c>
      <c r="B46" s="438">
        <v>0.5</v>
      </c>
      <c r="C46" s="446"/>
      <c r="E46" s="437" t="s">
        <v>1680</v>
      </c>
      <c r="F46" s="438">
        <f>B18-J8/2-J6-N30</f>
        <v>2.4990000000000001</v>
      </c>
      <c r="I46" s="447"/>
      <c r="J46" s="446"/>
      <c r="O46" s="447"/>
      <c r="P46" s="447"/>
      <c r="Q46" s="437" t="s">
        <v>626</v>
      </c>
      <c r="R46" s="449">
        <v>0</v>
      </c>
      <c r="V46" s="445"/>
      <c r="Z46" s="454"/>
      <c r="AA46" s="451"/>
      <c r="AD46" s="445"/>
    </row>
    <row r="47" spans="1:30" x14ac:dyDescent="0.35">
      <c r="A47" s="437" t="s">
        <v>88</v>
      </c>
      <c r="B47" s="438">
        <v>1</v>
      </c>
      <c r="C47" s="446"/>
      <c r="E47" s="437" t="s">
        <v>1681</v>
      </c>
      <c r="F47" s="438">
        <f>N37</f>
        <v>26.995019999999997</v>
      </c>
      <c r="I47" s="447"/>
      <c r="J47" s="446"/>
      <c r="M47" s="447"/>
      <c r="N47" s="446"/>
      <c r="Q47" s="437" t="s">
        <v>627</v>
      </c>
      <c r="R47" s="449">
        <v>0</v>
      </c>
      <c r="V47" s="445"/>
      <c r="Z47" s="454"/>
      <c r="AA47" s="451"/>
      <c r="AD47" s="445"/>
    </row>
    <row r="48" spans="1:30" x14ac:dyDescent="0.35">
      <c r="A48" s="437" t="s">
        <v>89</v>
      </c>
      <c r="B48" s="438">
        <v>1.5</v>
      </c>
      <c r="C48" s="446"/>
      <c r="E48" s="437" t="s">
        <v>1682</v>
      </c>
      <c r="F48" s="438">
        <f>IF(FANSWIDE=2,N37,N38)</f>
        <v>26.185009999999998</v>
      </c>
      <c r="I48" s="447"/>
      <c r="J48" s="446"/>
      <c r="M48" s="457"/>
      <c r="N48" s="458"/>
      <c r="O48" s="447"/>
      <c r="P48" s="447"/>
      <c r="Q48" s="437" t="s">
        <v>628</v>
      </c>
      <c r="R48" s="449">
        <v>0</v>
      </c>
      <c r="V48" s="445"/>
      <c r="Z48" s="454"/>
      <c r="AA48" s="451"/>
      <c r="AD48" s="445"/>
    </row>
    <row r="49" spans="1:30" x14ac:dyDescent="0.35">
      <c r="A49" s="437" t="s">
        <v>1672</v>
      </c>
      <c r="B49" s="438">
        <v>2</v>
      </c>
      <c r="D49" s="447"/>
      <c r="E49" s="437" t="s">
        <v>1683</v>
      </c>
      <c r="F49" s="439">
        <f>N37</f>
        <v>26.995019999999997</v>
      </c>
      <c r="M49" s="447"/>
      <c r="N49" s="446"/>
      <c r="Q49" s="437" t="s">
        <v>629</v>
      </c>
      <c r="R49" s="449">
        <v>0</v>
      </c>
      <c r="V49" s="445"/>
      <c r="Z49" s="454"/>
      <c r="AA49" s="451"/>
      <c r="AD49" s="445"/>
    </row>
    <row r="50" spans="1:30" x14ac:dyDescent="0.35">
      <c r="A50" s="437" t="s">
        <v>1695</v>
      </c>
      <c r="B50" s="438">
        <f>IF(AND(FANSIZE=250,FanDamperOptn="NO"),30,IF(AND(FANSIZE=280,FanDamperOptn="NO"),45,50))</f>
        <v>50</v>
      </c>
      <c r="D50" s="447"/>
      <c r="E50" s="437" t="s">
        <v>1684</v>
      </c>
      <c r="F50" s="444">
        <f>N19+N34</f>
        <v>3.8149899999999999</v>
      </c>
      <c r="M50" s="447"/>
      <c r="N50" s="446"/>
      <c r="Q50" s="437" t="s">
        <v>630</v>
      </c>
      <c r="R50" s="449">
        <v>0</v>
      </c>
      <c r="V50" s="445"/>
      <c r="Z50" s="454"/>
      <c r="AA50" s="451"/>
      <c r="AD50" s="445"/>
    </row>
    <row r="51" spans="1:30" ht="18.600000000000001" thickBot="1" x14ac:dyDescent="0.4">
      <c r="A51" s="437" t="s">
        <v>1696</v>
      </c>
      <c r="B51" s="438">
        <f>DEGREES(ATAN((J26-0.5+F8+F12)/(N23-0.5)))</f>
        <v>40</v>
      </c>
      <c r="D51" s="447"/>
      <c r="E51" s="437" t="s">
        <v>1685</v>
      </c>
      <c r="F51" s="438">
        <f>F40-N34</f>
        <v>33.810009999999998</v>
      </c>
      <c r="M51" s="447"/>
      <c r="N51" s="446"/>
      <c r="Q51" s="437" t="s">
        <v>631</v>
      </c>
      <c r="R51" s="449">
        <v>0</v>
      </c>
      <c r="V51" s="445"/>
      <c r="Z51" s="454"/>
      <c r="AA51" s="451"/>
      <c r="AD51" s="445"/>
    </row>
    <row r="52" spans="1:30" x14ac:dyDescent="0.35">
      <c r="A52" s="437" t="s">
        <v>1697</v>
      </c>
      <c r="B52" s="438">
        <f>90-B51</f>
        <v>50</v>
      </c>
      <c r="C52" s="446"/>
      <c r="D52" s="447"/>
      <c r="E52" s="437" t="s">
        <v>1688</v>
      </c>
      <c r="F52" s="438">
        <f>(F9/2)+0.5</f>
        <v>78</v>
      </c>
      <c r="I52" s="473" t="s">
        <v>1</v>
      </c>
      <c r="J52" s="474" t="s">
        <v>2</v>
      </c>
      <c r="K52" s="475" t="s">
        <v>2</v>
      </c>
      <c r="L52" s="474" t="s">
        <v>2</v>
      </c>
      <c r="M52" s="475" t="s">
        <v>1</v>
      </c>
      <c r="N52" s="476" t="s">
        <v>2</v>
      </c>
      <c r="Q52" s="437" t="s">
        <v>632</v>
      </c>
      <c r="R52" s="449">
        <v>0</v>
      </c>
      <c r="V52" s="445"/>
      <c r="Z52" s="454"/>
      <c r="AA52" s="451"/>
      <c r="AD52" s="445"/>
    </row>
    <row r="53" spans="1:30" x14ac:dyDescent="0.35">
      <c r="D53" s="447"/>
      <c r="E53" s="437" t="s">
        <v>1699</v>
      </c>
      <c r="F53" s="438">
        <f>ROUNDUP((F52-(2*F20))/F24,0)+1</f>
        <v>6</v>
      </c>
      <c r="I53" s="588" t="s">
        <v>1843</v>
      </c>
      <c r="J53" s="589"/>
      <c r="K53" s="589"/>
      <c r="L53" s="589"/>
      <c r="M53" s="589"/>
      <c r="N53" s="590"/>
      <c r="Q53" s="437" t="s">
        <v>194</v>
      </c>
      <c r="R53" s="449">
        <f>FAN_AW</f>
        <v>9.1999999999999993</v>
      </c>
      <c r="V53" s="445"/>
      <c r="Z53" s="454"/>
      <c r="AA53" s="451"/>
      <c r="AD53" s="445"/>
    </row>
    <row r="54" spans="1:30" x14ac:dyDescent="0.35">
      <c r="D54" s="447"/>
      <c r="E54" s="437" t="s">
        <v>1700</v>
      </c>
      <c r="F54" s="444">
        <f>(F52-(2*F20))/(F53-1)</f>
        <v>15</v>
      </c>
      <c r="H54" s="447"/>
      <c r="I54" s="477" t="s">
        <v>1242</v>
      </c>
      <c r="J54" s="438">
        <f>FANSIZE/25.4</f>
        <v>17.716535433070867</v>
      </c>
      <c r="K54" s="438"/>
      <c r="L54" s="437"/>
      <c r="M54" s="466" t="s">
        <v>1892</v>
      </c>
      <c r="N54" s="478">
        <v>3</v>
      </c>
      <c r="Q54" s="437" t="s">
        <v>633</v>
      </c>
      <c r="R54" s="449">
        <f>R53+0.125</f>
        <v>9.3249999999999993</v>
      </c>
      <c r="V54" s="445"/>
      <c r="Z54" s="454"/>
      <c r="AA54" s="451"/>
      <c r="AD54" s="445"/>
    </row>
    <row r="55" spans="1:30" x14ac:dyDescent="0.35">
      <c r="A55" s="440" t="s">
        <v>1</v>
      </c>
      <c r="B55" s="441" t="s">
        <v>2</v>
      </c>
      <c r="C55" s="446"/>
      <c r="D55" s="447"/>
      <c r="E55" s="437" t="s">
        <v>1689</v>
      </c>
      <c r="F55" s="438">
        <f>(F9/2)-0.5</f>
        <v>77</v>
      </c>
      <c r="H55" s="447"/>
      <c r="I55" s="477" t="s">
        <v>1243</v>
      </c>
      <c r="J55" s="438">
        <f>(FAN_A-J54)/2</f>
        <v>3.5432322834645671</v>
      </c>
      <c r="K55" s="438"/>
      <c r="L55" s="437"/>
      <c r="M55" s="467" t="s">
        <v>1893</v>
      </c>
      <c r="N55" s="478">
        <v>2</v>
      </c>
      <c r="Q55" s="437" t="s">
        <v>634</v>
      </c>
      <c r="R55" s="449">
        <v>0</v>
      </c>
      <c r="V55" s="445"/>
      <c r="Z55" s="454"/>
      <c r="AA55" s="451"/>
      <c r="AD55" s="445"/>
    </row>
    <row r="56" spans="1:30" ht="18" customHeight="1" x14ac:dyDescent="0.35">
      <c r="A56" s="587" t="s">
        <v>65</v>
      </c>
      <c r="B56" s="587"/>
      <c r="C56" s="446"/>
      <c r="D56" s="447"/>
      <c r="E56" s="437" t="s">
        <v>1701</v>
      </c>
      <c r="F56" s="438">
        <f>ROUNDUP((F55-(2*F20))/F24,0)+1</f>
        <v>6</v>
      </c>
      <c r="H56" s="447"/>
      <c r="I56" s="477"/>
      <c r="J56" s="592" t="s">
        <v>1245</v>
      </c>
      <c r="K56" s="592" t="s">
        <v>1246</v>
      </c>
      <c r="L56" s="594" t="s">
        <v>1244</v>
      </c>
      <c r="M56" s="468" t="s">
        <v>1260</v>
      </c>
      <c r="N56" s="478">
        <v>0.125</v>
      </c>
      <c r="Q56" s="437" t="s">
        <v>635</v>
      </c>
      <c r="R56" s="449">
        <f>Fan_AZ</f>
        <v>7.7531999999999996</v>
      </c>
      <c r="S56" s="445">
        <v>0</v>
      </c>
      <c r="V56" s="445"/>
      <c r="Z56" s="454"/>
      <c r="AA56" s="451"/>
      <c r="AD56" s="445"/>
    </row>
    <row r="57" spans="1:30" x14ac:dyDescent="0.35">
      <c r="A57" s="437" t="s">
        <v>68</v>
      </c>
      <c r="B57" s="438">
        <v>12</v>
      </c>
      <c r="C57" s="446"/>
      <c r="D57" s="447"/>
      <c r="E57" s="437" t="s">
        <v>1702</v>
      </c>
      <c r="F57" s="444">
        <f>(F55-(2*F20))/(F56-1)</f>
        <v>14.8</v>
      </c>
      <c r="H57" s="447"/>
      <c r="I57" s="477"/>
      <c r="J57" s="593"/>
      <c r="K57" s="593"/>
      <c r="L57" s="594"/>
      <c r="M57" s="468" t="s">
        <v>1670</v>
      </c>
      <c r="N57" s="478">
        <v>6</v>
      </c>
      <c r="Q57" s="437" t="s">
        <v>636</v>
      </c>
      <c r="R57" s="449">
        <f>Fan_BA</f>
        <v>0.76800000000000002</v>
      </c>
      <c r="S57" s="445">
        <v>0</v>
      </c>
      <c r="V57" s="445"/>
      <c r="Z57" s="454"/>
      <c r="AA57" s="451"/>
      <c r="AD57" s="445"/>
    </row>
    <row r="58" spans="1:30" x14ac:dyDescent="0.35">
      <c r="A58" s="437" t="s">
        <v>71</v>
      </c>
      <c r="B58" s="439">
        <f>VLOOKUP(CONCATENATE(B57,MaterialStyle),Material_List_Table,MATCH(MAT_KEYT,Material_List_Column_Names,0),FALSE)</f>
        <v>0.10501000000000001</v>
      </c>
      <c r="C58" s="446"/>
      <c r="D58" s="447"/>
      <c r="E58" s="437" t="s">
        <v>1690</v>
      </c>
      <c r="F58" s="444">
        <f>F6+F52</f>
        <v>80.5</v>
      </c>
      <c r="I58" s="477" t="s">
        <v>1895</v>
      </c>
      <c r="J58" s="439">
        <f>N54+N55+(V11-V5-B8-FAN_C)+J55</f>
        <v>9.6417322834645649</v>
      </c>
      <c r="K58" s="438">
        <f>J54*0.5</f>
        <v>8.8582677165354333</v>
      </c>
      <c r="L58" s="471">
        <f>IF(J58&gt;K58,J58,K58)</f>
        <v>9.6417322834645649</v>
      </c>
      <c r="M58" s="447">
        <f>IF(J58&gt;K58,J58,K58)</f>
        <v>9.6417322834645649</v>
      </c>
      <c r="N58" s="479"/>
      <c r="Q58" s="437" t="s">
        <v>637</v>
      </c>
      <c r="R58" s="449">
        <f>Fan_BB</f>
        <v>27.831999999999997</v>
      </c>
      <c r="S58" s="445">
        <v>0</v>
      </c>
      <c r="V58" s="445"/>
      <c r="Z58" s="454"/>
      <c r="AA58" s="451"/>
      <c r="AD58" s="445"/>
    </row>
    <row r="59" spans="1:30" x14ac:dyDescent="0.35">
      <c r="A59" s="437" t="s">
        <v>74</v>
      </c>
      <c r="B59" s="439">
        <f>8-B58-B10</f>
        <v>7.8947099999999999</v>
      </c>
      <c r="C59" s="446"/>
      <c r="D59" s="447"/>
      <c r="E59" s="437" t="s">
        <v>1894</v>
      </c>
      <c r="F59" s="444" t="str">
        <f>'Hole Sizes'!E28</f>
        <v>0.250</v>
      </c>
      <c r="H59" s="447"/>
      <c r="I59" s="477" t="s">
        <v>1588</v>
      </c>
      <c r="J59" s="439">
        <f>(V11-V5-B8-FAN_C)+J55+N54+N55</f>
        <v>9.6417322834645649</v>
      </c>
      <c r="K59" s="438">
        <f>J54*0.5</f>
        <v>8.8582677165354333</v>
      </c>
      <c r="L59" s="437">
        <f>IF(J59&gt;K59,J59,K59)</f>
        <v>9.6417322834645649</v>
      </c>
      <c r="N59" s="480"/>
      <c r="Q59" s="437" t="s">
        <v>638</v>
      </c>
      <c r="R59" s="449">
        <f>Fan_BC</f>
        <v>10.934000000000001</v>
      </c>
      <c r="S59" s="445">
        <v>0</v>
      </c>
      <c r="V59" s="445"/>
      <c r="Z59" s="454"/>
      <c r="AA59" s="451"/>
      <c r="AD59" s="445"/>
    </row>
    <row r="60" spans="1:30" x14ac:dyDescent="0.35">
      <c r="A60" s="437" t="s">
        <v>77</v>
      </c>
      <c r="B60" s="439">
        <f>4-B58-B10</f>
        <v>3.8947099999999999</v>
      </c>
      <c r="C60" s="446"/>
      <c r="D60" s="447"/>
      <c r="I60" s="477" t="s">
        <v>1247</v>
      </c>
      <c r="J60" s="438">
        <f>N13+(N56+(V11-V5-B8-FAN_C)+J55)*2</f>
        <v>10.53346456692913</v>
      </c>
      <c r="K60" s="438">
        <f>J54*0.6</f>
        <v>10.62992125984252</v>
      </c>
      <c r="L60" s="437">
        <f>IF(J60&gt;K60,J60,K60)</f>
        <v>10.62992125984252</v>
      </c>
      <c r="M60" s="481"/>
      <c r="N60" s="479"/>
      <c r="Q60" s="437" t="s">
        <v>639</v>
      </c>
      <c r="R60" s="449">
        <f>Fan_BD</f>
        <v>18.090799999999998</v>
      </c>
      <c r="S60" s="445">
        <v>0</v>
      </c>
      <c r="V60" s="445"/>
      <c r="Z60" s="454"/>
      <c r="AA60" s="451"/>
      <c r="AD60" s="445"/>
    </row>
    <row r="61" spans="1:30" x14ac:dyDescent="0.35">
      <c r="A61" s="437" t="s">
        <v>80</v>
      </c>
      <c r="B61" s="438">
        <f>2*F12+B58</f>
        <v>1.35501</v>
      </c>
      <c r="C61" s="446"/>
      <c r="D61" s="447"/>
      <c r="I61" s="477" t="s">
        <v>1589</v>
      </c>
      <c r="J61" s="439">
        <f>N57+((V11-V5-B8-FAN_C)+J55)*2</f>
        <v>15.28346456692913</v>
      </c>
      <c r="K61" s="438">
        <f>J54*0.6</f>
        <v>10.62992125984252</v>
      </c>
      <c r="L61" s="437">
        <f>IF(J61&gt;K61,J61,K61)</f>
        <v>15.28346456692913</v>
      </c>
      <c r="M61" s="447"/>
      <c r="N61" s="479"/>
      <c r="Q61" s="437" t="s">
        <v>640</v>
      </c>
      <c r="R61" s="449">
        <v>0</v>
      </c>
      <c r="V61" s="445"/>
      <c r="Z61" s="454"/>
      <c r="AA61" s="451"/>
      <c r="AD61" s="445"/>
    </row>
    <row r="62" spans="1:30" x14ac:dyDescent="0.35">
      <c r="A62" s="437" t="s">
        <v>83</v>
      </c>
      <c r="B62" s="438">
        <v>0.312</v>
      </c>
      <c r="C62" s="446"/>
      <c r="D62" s="447"/>
      <c r="E62" s="459"/>
      <c r="F62" s="446"/>
      <c r="G62" s="446"/>
      <c r="I62" s="482"/>
      <c r="M62" s="447"/>
      <c r="N62" s="479"/>
      <c r="Q62" s="437" t="s">
        <v>180</v>
      </c>
      <c r="R62" s="449">
        <f>FAN_TL</f>
        <v>17.128</v>
      </c>
      <c r="V62" s="445"/>
      <c r="Z62" s="454"/>
      <c r="AA62" s="451"/>
      <c r="AD62" s="445"/>
    </row>
    <row r="63" spans="1:30" x14ac:dyDescent="0.35">
      <c r="A63" s="437" t="s">
        <v>84</v>
      </c>
      <c r="B63" s="438">
        <f>F12</f>
        <v>0.625</v>
      </c>
      <c r="C63" s="446"/>
      <c r="D63" s="447"/>
      <c r="F63" s="459"/>
      <c r="G63" s="446"/>
      <c r="I63" s="483" t="s">
        <v>1</v>
      </c>
      <c r="J63" s="441" t="s">
        <v>2</v>
      </c>
      <c r="K63" s="441" t="s">
        <v>2</v>
      </c>
      <c r="N63" s="480"/>
      <c r="Q63" s="437" t="s">
        <v>189</v>
      </c>
      <c r="R63" s="449">
        <f>FAN_SD</f>
        <v>0</v>
      </c>
      <c r="V63" s="445"/>
      <c r="Z63" s="454"/>
      <c r="AA63" s="451"/>
      <c r="AD63" s="445"/>
    </row>
    <row r="64" spans="1:30" x14ac:dyDescent="0.35">
      <c r="A64" s="437" t="s">
        <v>85</v>
      </c>
      <c r="B64" s="438">
        <v>1</v>
      </c>
      <c r="C64" s="446"/>
      <c r="D64" s="447"/>
      <c r="G64" s="446"/>
      <c r="I64" s="588" t="s">
        <v>1844</v>
      </c>
      <c r="J64" s="589"/>
      <c r="K64" s="591"/>
      <c r="N64" s="480"/>
      <c r="Q64" s="437" t="s">
        <v>193</v>
      </c>
      <c r="R64" s="449">
        <f>FAN_HD</f>
        <v>0.64</v>
      </c>
      <c r="V64" s="445"/>
      <c r="Z64" s="454"/>
      <c r="AA64" s="451"/>
      <c r="AD64" s="445"/>
    </row>
    <row r="65" spans="1:30" x14ac:dyDescent="0.35">
      <c r="A65" s="437" t="s">
        <v>87</v>
      </c>
      <c r="B65" s="438">
        <v>6</v>
      </c>
      <c r="C65" s="446"/>
      <c r="D65" s="447"/>
      <c r="F65" s="446"/>
      <c r="G65" s="446"/>
      <c r="I65" s="484"/>
      <c r="J65" s="438" t="s">
        <v>1249</v>
      </c>
      <c r="K65" s="438" t="s">
        <v>1250</v>
      </c>
      <c r="M65" s="485">
        <f>(L59+B120)*2+L61*(FANSARRAY-1)+J54*FANSARRAY+B121</f>
        <v>70</v>
      </c>
      <c r="N65" s="480"/>
      <c r="Q65" s="437" t="s">
        <v>641</v>
      </c>
      <c r="R65" s="449">
        <f>IF(FAN_HD&lt;0.6,   FAN_HD-((0.015+0.025+0.005)*2),    IF(FAN_HD&lt;0.7,   0.48,   0.63))</f>
        <v>0.48</v>
      </c>
      <c r="V65" s="445"/>
      <c r="Z65" s="454"/>
      <c r="AA65" s="451"/>
      <c r="AD65" s="445"/>
    </row>
    <row r="66" spans="1:30" x14ac:dyDescent="0.35">
      <c r="A66" s="437" t="s">
        <v>90</v>
      </c>
      <c r="B66" s="438">
        <v>3.5</v>
      </c>
      <c r="C66" s="446"/>
      <c r="F66" s="446"/>
      <c r="I66" s="477" t="s">
        <v>1248</v>
      </c>
      <c r="J66" s="472">
        <f>(IW-2*IF(L58=K58,ROUNDUP(L58,0),L58)-FANSWIDE*J54)/(FANSWIDE-IF(FANSWIDE=1,0,1))</f>
        <v>13.033464566929133</v>
      </c>
      <c r="K66" s="470">
        <f>IF(FANSWIDE=1,0,IF(FanSpacingHorz_O&lt;&gt;0,FanSpacingHorz_O,IF(FanToLinerHorz_O&lt;&gt;0,J76,IF(FanSpacing=0,J71+J74,IF(FanSpacing=1,J72-J75,J73)))))</f>
        <v>13.033464566929133</v>
      </c>
      <c r="M66" s="486">
        <f>(L58+B122)*2+(L60+B123)*(FANSWIDE-1)+J54*FANSWIDE</f>
        <v>150.38582677165357</v>
      </c>
      <c r="N66" s="480"/>
      <c r="Q66" s="437" t="s">
        <v>642</v>
      </c>
      <c r="R66" s="449">
        <f>IF(FAN_HD&lt;0.7,0.24,  0.32)</f>
        <v>0.24</v>
      </c>
      <c r="V66" s="445"/>
      <c r="Z66" s="454"/>
      <c r="AA66" s="451"/>
      <c r="AD66" s="445"/>
    </row>
    <row r="67" spans="1:30" x14ac:dyDescent="0.35">
      <c r="A67" s="437" t="s">
        <v>1671</v>
      </c>
      <c r="B67" s="438">
        <f>IF(AND(FANSARRAY=2,FANSWIDE=1),1,0)</f>
        <v>0</v>
      </c>
      <c r="I67" s="477" t="s">
        <v>1590</v>
      </c>
      <c r="J67" s="438">
        <f>(IL-2*L59-FANSARRAY*J54)/(FANSARRAY-IF(FANSARRAY=1,0,1))</f>
        <v>25.28346456692914</v>
      </c>
      <c r="K67" s="438">
        <f>IF(FANSARRAY=1,0,IF(FanSpacingLeng_O&lt;&gt;0,FanSpacingLeng_O,IF(FanToLinerLeng_O&lt;&gt;0,K76,IF(FanSpacing=0,K71+K74,IF(FanSpacing=1,K72-K75,K73)))))</f>
        <v>24.283464566929133</v>
      </c>
      <c r="N67" s="480"/>
      <c r="Q67" s="437" t="s">
        <v>643</v>
      </c>
      <c r="R67" s="449">
        <f>IF(FAN_HD&lt;0.7,FAN_HD,  1.181)</f>
        <v>0.64</v>
      </c>
      <c r="V67" s="445"/>
      <c r="Z67" s="454"/>
      <c r="AA67" s="451"/>
      <c r="AD67" s="445"/>
    </row>
    <row r="68" spans="1:30" x14ac:dyDescent="0.35">
      <c r="I68" s="482"/>
      <c r="N68" s="480"/>
      <c r="Q68" s="437" t="s">
        <v>644</v>
      </c>
      <c r="R68" s="449">
        <f>IF(FAN_HD&lt;0.7,0.002,  0.1)</f>
        <v>2E-3</v>
      </c>
      <c r="V68" s="445"/>
      <c r="Z68" s="454"/>
      <c r="AA68" s="451"/>
      <c r="AD68" s="445"/>
    </row>
    <row r="69" spans="1:30" x14ac:dyDescent="0.35">
      <c r="A69" s="464"/>
      <c r="B69" s="465" t="s">
        <v>1707</v>
      </c>
      <c r="C69" s="465" t="s">
        <v>1708</v>
      </c>
      <c r="D69" s="465" t="s">
        <v>1709</v>
      </c>
      <c r="E69" s="465" t="s">
        <v>1710</v>
      </c>
      <c r="F69" s="465" t="s">
        <v>1711</v>
      </c>
      <c r="G69" s="465" t="s">
        <v>1712</v>
      </c>
      <c r="I69" s="483" t="s">
        <v>1</v>
      </c>
      <c r="J69" s="441" t="s">
        <v>1591</v>
      </c>
      <c r="K69" s="441" t="s">
        <v>1592</v>
      </c>
      <c r="L69" s="447"/>
      <c r="N69" s="480"/>
      <c r="Q69" s="437" t="s">
        <v>195</v>
      </c>
      <c r="R69" s="449">
        <f>FAN_LG</f>
        <v>16.657</v>
      </c>
      <c r="V69" s="445"/>
      <c r="Z69" s="454"/>
      <c r="AA69" s="451"/>
      <c r="AD69" s="445"/>
    </row>
    <row r="70" spans="1:30" x14ac:dyDescent="0.35">
      <c r="A70" s="448" t="s">
        <v>1703</v>
      </c>
      <c r="B70" s="449">
        <f>F25</f>
        <v>8.5</v>
      </c>
      <c r="C70" s="449">
        <f>IF(OR(FANSWIDE&lt;2,B70+B15&gt;F6+F52),0.001,B70+B15)</f>
        <v>39</v>
      </c>
      <c r="D70" s="449">
        <f>IF(OR(FANSWIDE&lt;3,B70+(B15*2)&gt;F6+F52),0.001,B70+(B15*2))</f>
        <v>69.5</v>
      </c>
      <c r="E70" s="449">
        <f>IF(OR(FANSWIDE&lt;4,B70+(B15*3)&gt;F6+F52),0.001,B70+(B15*3))</f>
        <v>1E-3</v>
      </c>
      <c r="F70" s="449">
        <f>IF(OR(FANSWIDE&lt;5,B70+(B15*4)&gt;F6+F52),0.001,B70+(B15*4))</f>
        <v>1E-3</v>
      </c>
      <c r="G70" s="449">
        <f>IF(OR(FANSWIDE&lt;6,B70+(B15*5)&gt;F6+F52),0.001,B70+(B15*5))</f>
        <v>1E-3</v>
      </c>
      <c r="I70" s="588" t="s">
        <v>1844</v>
      </c>
      <c r="J70" s="589"/>
      <c r="K70" s="591"/>
      <c r="L70" s="447"/>
      <c r="M70" s="487"/>
      <c r="N70" s="480"/>
      <c r="Q70" s="437" t="s">
        <v>197</v>
      </c>
      <c r="R70" s="449">
        <f>FAN_FS</f>
        <v>1</v>
      </c>
      <c r="V70" s="445"/>
      <c r="Z70" s="454"/>
      <c r="AA70" s="451"/>
      <c r="AD70" s="445"/>
    </row>
    <row r="71" spans="1:30" x14ac:dyDescent="0.35">
      <c r="A71" s="448" t="s">
        <v>1704</v>
      </c>
      <c r="B71" s="449">
        <f>IF(F52+F6&gt;B70+2*V22+F14,3,IF(F52+F6&gt;B70+V22+F14,2,1))</f>
        <v>3</v>
      </c>
      <c r="C71" s="449">
        <f>IF(F52+F6&gt;C70+2*V22+F14,3,IF(F52+F6&gt;C70+V22+F14,2,1))</f>
        <v>3</v>
      </c>
      <c r="D71" s="449">
        <f>IF(F52+F6&gt;D70+2*V22+F14,3,IF(F52+F6&gt;D70+V22+F14,2,1))</f>
        <v>1</v>
      </c>
      <c r="E71" s="449">
        <f>IF(F52+F6&gt;E70+2*V22+F14,3,IF(F52+F6&gt;E70+V22+F14,2,1))</f>
        <v>3</v>
      </c>
      <c r="F71" s="449">
        <f>IF(F52+F6&gt;F70+2*V22+F14,3,IF(F52+F6&gt;F70+V22+F14,2,1))</f>
        <v>3</v>
      </c>
      <c r="G71" s="449">
        <f>IF(F52+F6&gt;G70+2*V22+F14,3,IF(F52+F6&gt;G70+V22+F14,2,1))</f>
        <v>3</v>
      </c>
      <c r="I71" s="477" t="s">
        <v>1252</v>
      </c>
      <c r="J71" s="438">
        <f>IF(J66&gt;L60,L60,J66)</f>
        <v>10.62992125984252</v>
      </c>
      <c r="K71" s="438">
        <f>IF(J67&gt;L61,L61,J67)</f>
        <v>15.28346456692913</v>
      </c>
      <c r="L71" s="447"/>
      <c r="N71" s="480"/>
      <c r="Q71" s="437" t="s">
        <v>198</v>
      </c>
      <c r="R71" s="449">
        <f>IF(FAN_CS=3.5,1,FAN_CS)</f>
        <v>1</v>
      </c>
      <c r="V71" s="445"/>
      <c r="Z71" s="454"/>
      <c r="AA71" s="451"/>
      <c r="AD71" s="445"/>
    </row>
    <row r="72" spans="1:30" x14ac:dyDescent="0.35">
      <c r="A72" s="448" t="s">
        <v>1705</v>
      </c>
      <c r="B72" s="438">
        <v>1E-3</v>
      </c>
      <c r="C72" s="449">
        <f>IF(OR(FANSWIDE&lt;2,B18+B15+Z16&lt;F58),0.001,B18+B15+Z16)</f>
        <v>1E-3</v>
      </c>
      <c r="D72" s="449">
        <f>IF(OR(FANSWIDE&lt;3,B18+B15*2+Z16&lt;F58),0.001,B18+B15*2+Z16)</f>
        <v>90.5</v>
      </c>
      <c r="E72" s="449">
        <f>IF(OR(FANSWIDE&lt;4,B18+B15*3+Z16&lt;F58),0.001,B18+B15*3+Z16)</f>
        <v>121</v>
      </c>
      <c r="F72" s="449">
        <f>IF(OR(FANSWIDE&lt;5,B18+B15*4+Z16&lt;F58),0.001,B18+B15*4+Z16)</f>
        <v>151.5</v>
      </c>
      <c r="G72" s="449">
        <f>IF(OR(FANSWIDE&lt;6,B18+B15*5+Z16&lt;F58),0.001,B18+B15*5+Z16)</f>
        <v>1E-3</v>
      </c>
      <c r="I72" s="477" t="s">
        <v>1251</v>
      </c>
      <c r="J72" s="438">
        <f>IF(L60&gt;J54,L60,J54)</f>
        <v>17.716535433070867</v>
      </c>
      <c r="K72" s="438">
        <f>IF(L61&gt;J54,L61,J54)</f>
        <v>17.716535433070867</v>
      </c>
      <c r="L72" s="447"/>
      <c r="N72" s="480"/>
      <c r="Q72" s="437" t="s">
        <v>645</v>
      </c>
      <c r="R72" s="449">
        <f>IF(OR(FAN_FS=4,FAN_FS=1.5),1,FAN_CS)</f>
        <v>1</v>
      </c>
      <c r="V72" s="445"/>
      <c r="Z72" s="454"/>
      <c r="AA72" s="451"/>
      <c r="AD72" s="445"/>
    </row>
    <row r="73" spans="1:30" x14ac:dyDescent="0.35">
      <c r="A73" s="448" t="s">
        <v>1706</v>
      </c>
      <c r="B73" s="438">
        <v>1E-3</v>
      </c>
      <c r="C73" s="449">
        <f>IF(C72-F58&gt;2*Z16+F14,3,IF(C72-F58&gt;Z16+F14,2,1))</f>
        <v>1</v>
      </c>
      <c r="D73" s="449">
        <f>IF(D72-F58&gt;2*Z16+F14,3,IF(D72-F58&gt;Z16+F14,2,1))</f>
        <v>1</v>
      </c>
      <c r="E73" s="449">
        <f>IF(E72-F58&gt;2*Z16+F14,3,IF(E72-F58&gt;Z16+F14,2,1))</f>
        <v>3</v>
      </c>
      <c r="F73" s="449">
        <f>IF(F72-F58&gt;2*Z16+F14,3,IF(F72-F58&gt;Z16+F14,2,1))</f>
        <v>3</v>
      </c>
      <c r="G73" s="449">
        <f>IF(G72-F58&gt;2*Z16+F14,3,IF(G72-F58&gt;Z16+F14,2,1))</f>
        <v>1</v>
      </c>
      <c r="I73" s="477" t="s">
        <v>1253</v>
      </c>
      <c r="J73" s="438">
        <f>IF(J66/2&gt;L58,(IF(L58=K58,ROUNDUP(L58,0),L58)*2+J66*(FANSWIDE-1))/FANSWIDE,J66)</f>
        <v>13.033464566929133</v>
      </c>
      <c r="K73" s="438">
        <f>(IL-2*(B17-(J54/2))-FANSARRAY*J54)/(FANSARRAY-IF(FANSARRAY=1,0,1))</f>
        <v>24.283464566929133</v>
      </c>
      <c r="L73" s="447"/>
      <c r="M73" s="487"/>
      <c r="N73" s="480"/>
      <c r="Q73" s="437" t="s">
        <v>646</v>
      </c>
      <c r="R73" s="449">
        <f>IF(FAN_CS=4,FAN_A/2-1.575,FAN_E-2)</f>
        <v>9.4169999999999998</v>
      </c>
      <c r="V73" s="445"/>
      <c r="Z73" s="454"/>
      <c r="AA73" s="451"/>
      <c r="AD73" s="445"/>
    </row>
    <row r="74" spans="1:30" x14ac:dyDescent="0.35">
      <c r="A74" s="448"/>
      <c r="B74" s="439" t="s">
        <v>1714</v>
      </c>
      <c r="C74" s="439" t="s">
        <v>1715</v>
      </c>
      <c r="D74" s="439" t="s">
        <v>1716</v>
      </c>
      <c r="E74" s="439" t="s">
        <v>1717</v>
      </c>
      <c r="F74" s="439" t="s">
        <v>1718</v>
      </c>
      <c r="G74" s="449"/>
      <c r="I74" s="477" t="s">
        <v>1254</v>
      </c>
      <c r="J74" s="438">
        <f>IF(AND(FanSpacing=0,J71&lt;L60),L60-J71,0)</f>
        <v>0</v>
      </c>
      <c r="K74" s="438">
        <f>IF(AND(FanSpacing=0,K71&lt;L61),L61-K71,0)</f>
        <v>0</v>
      </c>
      <c r="L74" s="447"/>
      <c r="N74" s="480"/>
      <c r="Q74" s="437" t="s">
        <v>647</v>
      </c>
      <c r="R74" s="449">
        <v>0</v>
      </c>
      <c r="V74" s="445"/>
      <c r="Z74" s="454"/>
      <c r="AA74" s="451"/>
      <c r="AD74" s="445"/>
    </row>
    <row r="75" spans="1:30" x14ac:dyDescent="0.35">
      <c r="A75" s="448" t="s">
        <v>1713</v>
      </c>
      <c r="B75" s="449">
        <f>IF(FANSWIDE&lt;2,0.001,F35)</f>
        <v>32</v>
      </c>
      <c r="C75" s="449">
        <f>IF(OR(FANSWIDE&lt;3,B75+(B15*1)&gt;F6+F52),0.001,B75+(B15*1))</f>
        <v>62.5</v>
      </c>
      <c r="D75" s="449">
        <f>IF(OR(FANSWIDE&lt;4,B75+(B15*2)&gt;F6+F52),0.001,B75+(B15*2))</f>
        <v>1E-3</v>
      </c>
      <c r="E75" s="449">
        <f>IF(OR(FANSWIDE&lt;5,B75+(B15*3)&gt;F6+F52),0.001,B75+(B15*3))</f>
        <v>1E-3</v>
      </c>
      <c r="F75" s="449">
        <f>IF(OR(FANSWIDE&lt;6,B75+(B15*4)&gt;F6+F52),0.001,B75+(B15*4))</f>
        <v>1E-3</v>
      </c>
      <c r="G75" s="449"/>
      <c r="I75" s="477" t="s">
        <v>1255</v>
      </c>
      <c r="J75" s="438">
        <f>IF(AND(FanSpacing=1,((IW-2*B11)-(J54*FANSWIDE+J72*(FANSWIDE-1)))/2&lt;L58),J72-J66,0)</f>
        <v>0</v>
      </c>
      <c r="K75" s="438">
        <f>IF(AND(FanSpacing=1,((IL-2*B11)-(J54*FANSARRAY+K72*(FANSARRAY-1)))/2&lt;L58),K72-J67,0)</f>
        <v>0</v>
      </c>
      <c r="L75" s="447"/>
      <c r="N75" s="480"/>
      <c r="Q75" s="437" t="s">
        <v>648</v>
      </c>
      <c r="R75" s="449">
        <f>(FAN_A-FAN_E*2)/2</f>
        <v>0.9845000000000006</v>
      </c>
      <c r="V75" s="445"/>
      <c r="Z75" s="454"/>
      <c r="AA75" s="451"/>
      <c r="AD75" s="445"/>
    </row>
    <row r="76" spans="1:30" ht="18.600000000000001" thickBot="1" x14ac:dyDescent="0.4">
      <c r="A76" s="448" t="s">
        <v>1719</v>
      </c>
      <c r="B76" s="449">
        <f>IF(F52+F6&gt;B75,MIN(ROUNDDOWN((F52+F6-B75)/J19,0)+1,J20),1)</f>
        <v>2</v>
      </c>
      <c r="C76" s="449">
        <f>IF(F52+F6&gt;C75,MIN(ROUNDDOWN((F52+F6-C75)/J19,0)+1,J20),1)</f>
        <v>2</v>
      </c>
      <c r="D76" s="449">
        <f>IF(F52+F6&gt;D75,MIN(ROUNDDOWN((F52+F6-D75)/J19,0)+1,J20),1)</f>
        <v>2</v>
      </c>
      <c r="E76" s="449">
        <f>IF(F52+F6&gt;E75,MIN(ROUNDDOWN((F52+F6-E75)/J19,0)+1,J20),1)</f>
        <v>2</v>
      </c>
      <c r="F76" s="449">
        <f>IF(F52+F6&gt;F75,MIN(ROUNDDOWN((F52+F6-F75)/J19,0)+1,J20),1)</f>
        <v>2</v>
      </c>
      <c r="G76" s="449"/>
      <c r="I76" s="488" t="s">
        <v>1256</v>
      </c>
      <c r="J76" s="493">
        <f>IF(OR(FANSWIDE=1,FanToLinerHorz_O=0),0,((IW-2*B11)-(2*FanToLinerHorz_O)-(FANSWIDE*J54))/(FANSWIDE-1))</f>
        <v>0</v>
      </c>
      <c r="K76" s="493">
        <f>IF(OR(FANSARRAY=1,FanToLinerLeng_O=0),0,((IL-2*2)-(2*FanToLinerLeng_O)-(FANSARRAY*J54))/(FANSARRAY-1))</f>
        <v>0</v>
      </c>
      <c r="L76" s="489"/>
      <c r="M76" s="490"/>
      <c r="N76" s="491"/>
      <c r="Q76" s="437" t="s">
        <v>649</v>
      </c>
      <c r="R76" s="449">
        <v>0</v>
      </c>
      <c r="V76" s="445"/>
      <c r="Z76" s="454"/>
      <c r="AA76" s="451"/>
      <c r="AD76" s="445"/>
    </row>
    <row r="77" spans="1:30" x14ac:dyDescent="0.35">
      <c r="A77" s="448" t="s">
        <v>1720</v>
      </c>
      <c r="B77" s="449">
        <f>IF(OR(FANSWIDE&lt;2,B18+(B15*1)-(Z9/2)+Z7-J15&lt;F58),0.001,B18+(B15*1)-(Z9/2)+Z7-J15)</f>
        <v>1E-3</v>
      </c>
      <c r="C77" s="449">
        <f>IF(OR(FANSWIDE&lt;3,B18+(B15*2)-(Z9/2)+Z7-J15&lt;F58),0.001,B18+(B15*2)-(Z9/2)+Z7-J15)</f>
        <v>1E-3</v>
      </c>
      <c r="D77" s="439">
        <f>IF(OR(FANSWIDE&lt;4,B18+(B15*3)-(Z9/2)+Z7-J15&lt;F58),0.001,B18+(B15*3)-(Z9/2)+Z7-J15)</f>
        <v>97.5</v>
      </c>
      <c r="E77" s="439">
        <f>IF(OR(FANSWIDE&lt;5,B18+(B15*4)-(Z9/2)+Z7-J15&lt;F58),0.001,B18+(B15*4)-(Z9/2)+Z7-J15)</f>
        <v>128</v>
      </c>
      <c r="F77" s="439">
        <f>IF(OR(FANSWIDE&lt;6,B18+(B15*5)-(Z9/2)+Z7-J15&lt;F58),0.001,B18+(B15*5)-(Z9/2)+Z7-J15)</f>
        <v>1E-3</v>
      </c>
      <c r="G77" s="449"/>
      <c r="L77" s="447"/>
      <c r="R77" s="454"/>
      <c r="V77" s="445"/>
      <c r="Z77" s="454"/>
      <c r="AA77" s="451"/>
      <c r="AD77" s="445"/>
    </row>
    <row r="78" spans="1:30" x14ac:dyDescent="0.35">
      <c r="A78" s="448" t="s">
        <v>1721</v>
      </c>
      <c r="B78" s="449">
        <f>IF(B77-F58&gt;J19+J12,MIN(ROUNDDOWN((B77-F58)/J19,0)+1,J20),1)</f>
        <v>1</v>
      </c>
      <c r="C78" s="449">
        <f>IF(C77-F58&gt;J19+J12,MIN(ROUNDDOWN((C77-F58)/J19,0)+1,J20),1)</f>
        <v>1</v>
      </c>
      <c r="D78" s="449">
        <f>IF(D77-F58&gt;J19+J12,MIN(ROUNDDOWN((D77-F58)/J19,0)+1,J20),1)</f>
        <v>2</v>
      </c>
      <c r="E78" s="449">
        <f>IF(E77-F58&gt;J19+J12,MIN(ROUNDDOWN((E77-F58)/J19,0)+1,J20),1)</f>
        <v>2</v>
      </c>
      <c r="F78" s="449">
        <f>IF(F77-F58&gt;J19+J12,MIN(ROUNDDOWN((F77-F58)/J19,0)+1,J20),1)</f>
        <v>1</v>
      </c>
      <c r="G78" s="449"/>
      <c r="I78" s="447"/>
      <c r="J78" s="446"/>
      <c r="K78" s="446"/>
      <c r="L78" s="447"/>
    </row>
    <row r="79" spans="1:30" x14ac:dyDescent="0.35">
      <c r="A79" s="448" t="s">
        <v>1738</v>
      </c>
      <c r="B79" s="449">
        <f>IF(FANSWIDE&lt;2,0.001,F40)</f>
        <v>34.25</v>
      </c>
      <c r="C79" s="449">
        <f>IF(OR(FANSWIDE&lt;3,B79+(B15*1)&gt;F6+F52),0.001,B79+(B15*1))</f>
        <v>64.75</v>
      </c>
      <c r="D79" s="449">
        <f>IF(OR(FANSWIDE&lt;4,B79+(B15*2)&gt;F6+F52),0.001,B79+(B15*2))</f>
        <v>1E-3</v>
      </c>
      <c r="E79" s="449">
        <f>IF(OR(FANSWIDE&lt;5,B79+(B15*3)&gt;F6+F52),0.001,B79+(B15*3))</f>
        <v>1E-3</v>
      </c>
      <c r="F79" s="449">
        <f>IF(OR(FANSWIDE&lt;6,B79+(B15*4)&gt;F6+F52),0.001,B79+(B15*4))</f>
        <v>1E-3</v>
      </c>
      <c r="G79" s="449"/>
      <c r="I79" s="437"/>
      <c r="J79" s="595" t="s">
        <v>1245</v>
      </c>
      <c r="K79" s="595" t="s">
        <v>1246</v>
      </c>
      <c r="L79" s="594" t="s">
        <v>1244</v>
      </c>
      <c r="M79" s="448"/>
    </row>
    <row r="80" spans="1:30" x14ac:dyDescent="0.35">
      <c r="A80" s="448" t="s">
        <v>1739</v>
      </c>
      <c r="B80" s="449">
        <f>IF(FANSWIDE&lt;2,0.001,B79+3.25)</f>
        <v>37.5</v>
      </c>
      <c r="C80" s="449">
        <f>IF(OR(FANSWIDE&lt;3,B80+(B15*1)&gt;F6+F52),0.001,B80+(B15*1))</f>
        <v>68</v>
      </c>
      <c r="D80" s="449">
        <f>IF(OR(FANSWIDE&lt;4,B80+(B15*2)&gt;F6+F52),0.001,B80+(B15*2))</f>
        <v>1E-3</v>
      </c>
      <c r="E80" s="449">
        <f>IF(OR(FANSWIDE&lt;5,B80+(B15*3)&gt;F6+F52),0.001,B80+(B15*3))</f>
        <v>1E-3</v>
      </c>
      <c r="F80" s="449">
        <f>IF(OR(FANSWIDE&lt;6,B80+(B15*4)&gt;F6+F52),0.001,B80+(B15*4))</f>
        <v>1E-3</v>
      </c>
      <c r="G80" s="449"/>
      <c r="I80" s="437"/>
      <c r="J80" s="595"/>
      <c r="K80" s="595"/>
      <c r="L80" s="594"/>
      <c r="M80" s="449" t="s">
        <v>1896</v>
      </c>
    </row>
    <row r="81" spans="1:18" x14ac:dyDescent="0.35">
      <c r="A81" s="448" t="s">
        <v>1740</v>
      </c>
      <c r="B81" s="449">
        <v>1E-3</v>
      </c>
      <c r="C81" s="449">
        <f>IF(OR(FANSWIDE&lt;3,B79+(B15*1)&lt;F58),0.001,B79+(B15*1))</f>
        <v>1E-3</v>
      </c>
      <c r="D81" s="449">
        <f>IF(OR(FANSWIDE&lt;4,B79+(B15*2)&lt;F58),0.001,B79+(B15*2))</f>
        <v>95.25</v>
      </c>
      <c r="E81" s="449">
        <f>IF(OR(FANSWIDE&lt;5,B79+(B15*3)&lt;F58),0.001,B79+(B15*3))</f>
        <v>125.75</v>
      </c>
      <c r="F81" s="449">
        <f>IF(OR(FANSWIDE&lt;6,B79+(B15*4)&lt;F58),0.001,B79+(B15*4))</f>
        <v>1E-3</v>
      </c>
      <c r="G81" s="449"/>
      <c r="I81" s="437" t="s">
        <v>1895</v>
      </c>
      <c r="J81" s="438">
        <f>J58+J54/2</f>
        <v>18.5</v>
      </c>
      <c r="K81" s="438">
        <f>K58+J54/2</f>
        <v>17.716535433070867</v>
      </c>
      <c r="L81" s="438">
        <f>MAX(J81,K81)</f>
        <v>18.5</v>
      </c>
      <c r="M81" s="571">
        <f>ROUNDUP(L81,0)+B122</f>
        <v>19</v>
      </c>
      <c r="N81" s="445" t="s">
        <v>2016</v>
      </c>
    </row>
    <row r="82" spans="1:18" x14ac:dyDescent="0.35">
      <c r="A82" s="448" t="s">
        <v>1741</v>
      </c>
      <c r="B82" s="449">
        <v>1E-3</v>
      </c>
      <c r="C82" s="449">
        <f>IF(OR(FANSWIDE&lt;3,B80+(B15*1)&lt;F58),0.001,B80+(B15*1))</f>
        <v>1E-3</v>
      </c>
      <c r="D82" s="449">
        <f>IF(OR(FANSWIDE&lt;4,B80+(B15*2)&lt;F58),0.001,B80+(B15*2))</f>
        <v>98.5</v>
      </c>
      <c r="E82" s="449">
        <f>IF(OR(FANSWIDE&lt;5,B80+(B15*3)&lt;F58),0.001,B80+(B15*3))</f>
        <v>129</v>
      </c>
      <c r="F82" s="449">
        <f>IF(OR(FANSWIDE&lt;6,B80+(B15*4)&lt;F58),0.001,B80+(B15*4))</f>
        <v>1E-3</v>
      </c>
      <c r="G82" s="449"/>
      <c r="I82" s="437" t="s">
        <v>1588</v>
      </c>
      <c r="J82" s="438">
        <f>J59+J54/2</f>
        <v>18.5</v>
      </c>
      <c r="K82" s="438">
        <f>K59+J54/2</f>
        <v>17.716535433070867</v>
      </c>
      <c r="L82" s="438">
        <f>MAX(J82,K82)</f>
        <v>18.5</v>
      </c>
      <c r="M82" s="571">
        <f>ROUNDUP(L82,0)+B120</f>
        <v>19</v>
      </c>
      <c r="N82" s="445" t="s">
        <v>2017</v>
      </c>
    </row>
    <row r="83" spans="1:18" x14ac:dyDescent="0.35">
      <c r="A83" s="448" t="s">
        <v>1768</v>
      </c>
      <c r="C83" s="449">
        <f>IF(OR(FANSWIDE&lt;3,B79+N38&gt;F6+F52),0.001,B79+N38)</f>
        <v>60.435009999999998</v>
      </c>
      <c r="D83" s="449">
        <f>IF(OR(FANSWIDE&lt;4,C83+(B15*1)&gt;F6+F52),0.001,C83+(B15*1))</f>
        <v>1E-3</v>
      </c>
      <c r="E83" s="449">
        <f>IF(OR(FANSWIDE&lt;5,C83+(B15*2)&gt;F6+F52),0.001,C83+(B15*2))</f>
        <v>1E-3</v>
      </c>
      <c r="F83" s="449">
        <f>IF(OR(FANSWIDE&lt;6,C83+(B15*4)&gt;F6+F52),0.001,C83+(B15*4))</f>
        <v>1E-3</v>
      </c>
      <c r="G83" s="449">
        <v>1E-3</v>
      </c>
      <c r="I83" s="437" t="s">
        <v>1247</v>
      </c>
      <c r="J83" s="438">
        <f>J60+J54</f>
        <v>28.249999999999996</v>
      </c>
      <c r="K83" s="438">
        <f>K60+J54</f>
        <v>28.346456692913385</v>
      </c>
      <c r="L83" s="438">
        <f>MAX(J83,K83)</f>
        <v>28.346456692913385</v>
      </c>
      <c r="M83" s="448"/>
    </row>
    <row r="84" spans="1:18" x14ac:dyDescent="0.35">
      <c r="A84" s="448" t="s">
        <v>1769</v>
      </c>
      <c r="B84" s="449">
        <v>1E-3</v>
      </c>
      <c r="C84" s="449">
        <f>IF(OR(FANSWIDE&lt;3,B79+N38&lt;F58),0.001,B79+N38)</f>
        <v>1E-3</v>
      </c>
      <c r="D84" s="449">
        <f>IF(OR(FANSWIDE&lt;4,B79+N38+(B15*1)&lt;F58),0.001,B79+N38+(B15*1))</f>
        <v>90.935010000000005</v>
      </c>
      <c r="E84" s="449">
        <f>IF(OR(FANSWIDE&lt;5,B79+N38+(B15*2)&lt;F58),0.001,B79+N38+(B15*2))</f>
        <v>121.43501000000001</v>
      </c>
      <c r="F84" s="449">
        <f>IF(OR(FANSWIDE&lt;6,B79+N38+(B15*3)&lt;F58),0.001,B79+N38+(B15*3))</f>
        <v>1E-3</v>
      </c>
      <c r="G84" s="449">
        <v>1E-3</v>
      </c>
      <c r="I84" s="437" t="s">
        <v>1589</v>
      </c>
      <c r="J84" s="439">
        <f>J61+J54</f>
        <v>33</v>
      </c>
      <c r="K84" s="438">
        <f>K61+J54</f>
        <v>28.346456692913385</v>
      </c>
      <c r="L84" s="439">
        <f>MAX(J84,K84)</f>
        <v>33</v>
      </c>
      <c r="M84" s="448"/>
      <c r="Q84" s="447"/>
      <c r="R84" s="446"/>
    </row>
    <row r="85" spans="1:18" x14ac:dyDescent="0.35">
      <c r="A85" s="448" t="s">
        <v>1770</v>
      </c>
      <c r="B85" s="449">
        <f>IF(OR(FANSWIDE&lt;3,B79+3.375+(B15*0)&gt;F6+F52),0.001,B79+3.375+(B15*0))</f>
        <v>37.625</v>
      </c>
      <c r="C85" s="449">
        <f>IF(OR(FANSWIDE&lt;4,B79+3.375+(B15*1)&gt;F6+F52),0.001,B79+3.375+(B15*1))</f>
        <v>68.125</v>
      </c>
      <c r="D85" s="449">
        <f>IF(OR(FANSWIDE&lt;5,B85+(B15*2)&gt;F6+F52),0.001,B85+(B15*2))</f>
        <v>1E-3</v>
      </c>
      <c r="E85" s="449">
        <f>IF(OR(FANSWIDE&lt;6,B85+(B15*3)&gt;F6+F52),0.001,B85+(B15*3))</f>
        <v>1E-3</v>
      </c>
      <c r="F85" s="449"/>
      <c r="G85" s="449">
        <v>1E-3</v>
      </c>
      <c r="I85" s="447"/>
      <c r="J85" s="446"/>
      <c r="K85" s="447"/>
      <c r="L85" s="447"/>
      <c r="Q85" s="447"/>
      <c r="R85" s="447"/>
    </row>
    <row r="86" spans="1:18" x14ac:dyDescent="0.35">
      <c r="A86" s="448" t="s">
        <v>1771</v>
      </c>
      <c r="B86" s="449">
        <v>1E-3</v>
      </c>
      <c r="C86" s="449">
        <f>IF(OR(FANSWIDE&lt;3,B85+(B15*0)&lt;F58),0.001,B85+(B15*0))</f>
        <v>1E-3</v>
      </c>
      <c r="D86" s="449">
        <f>IF(OR(FANSWIDE&lt;4,B85+(B15*1)&lt;F58),0.001,B85+(B15*1))</f>
        <v>1E-3</v>
      </c>
      <c r="E86" s="449">
        <f>IF(OR(FANSWIDE&lt;5,B85+(B15*2)&lt;F58),0.001,B85+(B15*2))</f>
        <v>98.625</v>
      </c>
      <c r="F86" s="449">
        <f>IF(OR(FANSWIDE&lt;6,B85+(B15*3)&lt;F58),0.001,B85+(B15*3))</f>
        <v>1E-3</v>
      </c>
      <c r="G86" s="449">
        <v>1E-3</v>
      </c>
      <c r="I86" s="440" t="s">
        <v>1</v>
      </c>
      <c r="J86" s="441" t="s">
        <v>2</v>
      </c>
      <c r="K86" s="441" t="s">
        <v>2</v>
      </c>
      <c r="L86" s="447"/>
      <c r="R86" s="460"/>
    </row>
    <row r="87" spans="1:18" x14ac:dyDescent="0.35">
      <c r="A87" s="448" t="s">
        <v>1772</v>
      </c>
      <c r="B87" s="449">
        <f>IF(OR(FANSWIDE&lt;3,B79+3.375+N38+(B15*0)&gt;F6+F52),0.001,B79+3.375+N38+(B15*0))</f>
        <v>63.810009999999998</v>
      </c>
      <c r="C87" s="449">
        <f>IF(OR(FANSWIDE&lt;4,B79+3.375+N38+(B15*1)&gt;F6+F52),0.001,B79+3.375+N38+(B15*1))</f>
        <v>1E-3</v>
      </c>
      <c r="D87" s="449">
        <f>IF(OR(FANSWIDE&lt;5,B79+3.375+N38+(B15*2)&gt;F6+F52),0.001,B79+3.375+N38+(B15*2))</f>
        <v>1E-3</v>
      </c>
      <c r="E87" s="449">
        <f>IF(OR(FANSWIDE&lt;6,B79+3.375+N38+(B15*3)&gt;F6+F52),0.001,B79+3.375+N38+(B15*3))</f>
        <v>1E-3</v>
      </c>
      <c r="F87" s="449"/>
      <c r="G87" s="449">
        <v>1E-3</v>
      </c>
      <c r="I87" s="596" t="s">
        <v>1844</v>
      </c>
      <c r="J87" s="589"/>
      <c r="K87" s="591"/>
      <c r="L87" s="447"/>
      <c r="R87" s="460"/>
    </row>
    <row r="88" spans="1:18" x14ac:dyDescent="0.35">
      <c r="A88" s="448" t="s">
        <v>1773</v>
      </c>
      <c r="B88" s="449">
        <v>1E-3</v>
      </c>
      <c r="C88" s="449">
        <f>IF(OR(FANSWIDE&lt;3,B79+3.375+N38+(B15*0)&lt;F58),0.001,B79+3.375+N38+(B15*0))</f>
        <v>1E-3</v>
      </c>
      <c r="D88" s="449">
        <f>IF(OR(FANSWIDE&lt;4,B79+3.375+N38+(B15*1)&lt;F58),0.001,B79+3.375+N38+(B15*1))</f>
        <v>94.310010000000005</v>
      </c>
      <c r="E88" s="449">
        <f>IF(OR(FANSWIDE&lt;5,B79+3.375+N38+(B15*2)&lt;F58),0.001,B79+3.375+N38+(B15*2))</f>
        <v>124.81001000000001</v>
      </c>
      <c r="F88" s="449">
        <f>IF(OR(FANSWIDE&lt;6,B79+3.375+N38+(B15*3)&lt;F58),0.001,B79+3.375+N38+(B15*3))</f>
        <v>1E-3</v>
      </c>
      <c r="G88" s="449">
        <v>1E-3</v>
      </c>
      <c r="I88" s="448"/>
      <c r="J88" s="438" t="s">
        <v>1249</v>
      </c>
      <c r="K88" s="438" t="s">
        <v>1250</v>
      </c>
      <c r="L88" s="447"/>
      <c r="R88" s="460"/>
    </row>
    <row r="89" spans="1:18" x14ac:dyDescent="0.35">
      <c r="A89" s="448" t="s">
        <v>1852</v>
      </c>
      <c r="B89" s="449">
        <f>IF(FANSWIDE&lt;2,0.001,B79+F44)</f>
        <v>51.950298166058303</v>
      </c>
      <c r="C89" s="449">
        <f>IF(OR(FANSWIDE&lt;3,B89+(B15*1)&gt;F6+F52),0.001,B89+(B15*1))</f>
        <v>1E-3</v>
      </c>
      <c r="D89" s="449"/>
      <c r="E89" s="449"/>
      <c r="F89" s="449"/>
      <c r="G89" s="449"/>
      <c r="I89" s="437" t="s">
        <v>1248</v>
      </c>
      <c r="J89" s="472">
        <f>(IW-2*M81)/(FANSWIDE-IF(FANSWIDE=1,0,1))</f>
        <v>30.5</v>
      </c>
      <c r="K89" s="470">
        <f>IF(FANSWIDE=1,0,IF(FanSpacingHorz_O&lt;&gt;0,FanSpacingHorz_O,IF(FanToLinerHorz_O&lt;&gt;0,J99,IF(FanSpacing=0,J94+J97,IF(FanSpacing=1,J95-J98,J96)))))</f>
        <v>30.5</v>
      </c>
      <c r="L89" s="447"/>
      <c r="R89" s="460"/>
    </row>
    <row r="90" spans="1:18" x14ac:dyDescent="0.35">
      <c r="A90" s="448" t="s">
        <v>1856</v>
      </c>
      <c r="B90" s="449">
        <f>IF(FANSWIDE&lt;2,0.001,B79+F44+1.5)</f>
        <v>53.450298166058303</v>
      </c>
      <c r="C90" s="449">
        <f>IF(OR(FANSWIDE&lt;3,B90+(B15*1)&gt;F6+F52),0.001,B90+(B15*1))</f>
        <v>1E-3</v>
      </c>
      <c r="D90" s="449"/>
      <c r="E90" s="449"/>
      <c r="F90" s="449"/>
      <c r="G90" s="449"/>
      <c r="I90" s="437" t="s">
        <v>1590</v>
      </c>
      <c r="J90" s="438">
        <f>(IL-2*M82)/(FANSARRAY-IF(FANSARRAY=1,0,1))</f>
        <v>42</v>
      </c>
      <c r="K90" s="438">
        <f>IF(FANSARRAY=1,0,IF(FanSpacingLeng_O&lt;&gt;0,FanSpacingLeng_O,IF(FanToLinerLeng_O&lt;&gt;0,K99,IF(FanSpacing=0,K94+K97,IF(FanSpacing=1,K95-K98,K96)))))</f>
        <v>42</v>
      </c>
      <c r="L90" s="447"/>
      <c r="R90" s="460"/>
    </row>
    <row r="91" spans="1:18" x14ac:dyDescent="0.35">
      <c r="A91" s="448" t="s">
        <v>1854</v>
      </c>
      <c r="B91" s="449"/>
      <c r="C91" s="449">
        <f>IF(OR(FANSWIDE&lt;3,B89+(B15*1)&lt;F58),0.001,B89+(B15*1))</f>
        <v>82.450298166058303</v>
      </c>
      <c r="D91" s="449">
        <f>IF(OR(FANSWIDE&lt;4,B89+(B15*2)&lt;F58),0.001,B89+(B15*2))</f>
        <v>112.9502981660583</v>
      </c>
      <c r="E91" s="449">
        <f>IF(OR(FANSWIDE&lt;5,B89+(B15*3)&lt;F58),0.001,B89+(B15*3))</f>
        <v>143.4502981660583</v>
      </c>
      <c r="F91" s="449">
        <f>IF(OR(FANSWIDE&lt;6,B89+(B15*4)&lt;F58),0.001,B89+(B15*4))</f>
        <v>1E-3</v>
      </c>
      <c r="G91" s="449"/>
      <c r="L91" s="447"/>
      <c r="R91" s="461"/>
    </row>
    <row r="92" spans="1:18" x14ac:dyDescent="0.35">
      <c r="A92" s="448" t="s">
        <v>1858</v>
      </c>
      <c r="B92" s="449"/>
      <c r="C92" s="449">
        <f>IF(OR(FANSWIDE&lt;3,B90+(B15*1)&lt;F58),0.001,B90+(B15*1))</f>
        <v>83.950298166058303</v>
      </c>
      <c r="D92" s="449">
        <f>IF(OR(FANSWIDE&lt;4,B90+(B15*2)&lt;F58),0.001,B90+(B15*2))</f>
        <v>114.4502981660583</v>
      </c>
      <c r="E92" s="449">
        <f>IF(OR(FANSWIDE&lt;5,B90+(B15*3)&lt;F58),0.001,B90+(B15*3))</f>
        <v>144.9502981660583</v>
      </c>
      <c r="F92" s="449">
        <f>IF(OR(FANSWIDE&lt;6,B90+(B15*4)&lt;F58),0.001,B90+(B15*4))</f>
        <v>1E-3</v>
      </c>
      <c r="G92" s="449"/>
      <c r="I92" s="440" t="s">
        <v>1</v>
      </c>
      <c r="J92" s="441" t="s">
        <v>1591</v>
      </c>
      <c r="K92" s="441" t="s">
        <v>1592</v>
      </c>
      <c r="L92" s="447"/>
      <c r="R92" s="461"/>
    </row>
    <row r="93" spans="1:18" x14ac:dyDescent="0.35">
      <c r="A93" s="448" t="s">
        <v>1853</v>
      </c>
      <c r="B93" s="449">
        <f>IF(FANSWIDE&lt;2,0.001,B79-F45)</f>
        <v>15.609711833941699</v>
      </c>
      <c r="C93" s="449">
        <f>IF(OR(FANSWIDE&lt;3,B93+(B15*1)&gt;F6+F52),0.001,B93+(B15*1))</f>
        <v>46.109711833941702</v>
      </c>
      <c r="D93" s="449">
        <f>IF(OR(FANSWIDE&lt;4,B93+(B15*2)&gt;F6+F52),0.001,B93+(B15*2))</f>
        <v>76.609711833941702</v>
      </c>
      <c r="E93" s="449"/>
      <c r="F93" s="449"/>
      <c r="G93" s="449"/>
      <c r="I93" s="596" t="s">
        <v>1844</v>
      </c>
      <c r="J93" s="589"/>
      <c r="K93" s="591"/>
      <c r="L93" s="447"/>
      <c r="R93" s="460"/>
    </row>
    <row r="94" spans="1:18" x14ac:dyDescent="0.35">
      <c r="A94" s="448" t="s">
        <v>1857</v>
      </c>
      <c r="B94" s="449">
        <f>IF(FANSWIDE&lt;2,0.001,B79-F45-1.5)</f>
        <v>14.109711833941699</v>
      </c>
      <c r="C94" s="449">
        <f>IF(OR(FANSWIDE&lt;3,B94+(B15*1)&gt;F6+F52),0.001,B94+(B15*1))</f>
        <v>44.609711833941702</v>
      </c>
      <c r="D94" s="449">
        <f>IF(OR(FANSWIDE&lt;4,B94+(B15*2)&gt;F6+F52),0.001,B94+(B15*2))</f>
        <v>75.109711833941702</v>
      </c>
      <c r="E94" s="449"/>
      <c r="F94" s="449"/>
      <c r="G94" s="449"/>
      <c r="I94" s="437" t="s">
        <v>1252</v>
      </c>
      <c r="J94" s="472">
        <f>MIN(L83,J89)</f>
        <v>28.346456692913385</v>
      </c>
      <c r="K94" s="439">
        <f>MIN(L84,J90)</f>
        <v>33</v>
      </c>
      <c r="L94" s="447"/>
      <c r="R94" s="460"/>
    </row>
    <row r="95" spans="1:18" x14ac:dyDescent="0.35">
      <c r="A95" s="448" t="s">
        <v>1855</v>
      </c>
      <c r="B95" s="449"/>
      <c r="C95" s="449">
        <f>IF(OR(FANSWIDE&lt;3,B93+(B15*1)&lt;F58),0.001,B93+(B15*1))</f>
        <v>1E-3</v>
      </c>
      <c r="D95" s="449">
        <f>IF(OR(FANSWIDE&lt;4,B93+(B15*2)&lt;F58),0.001,B93+(B15*2))</f>
        <v>1E-3</v>
      </c>
      <c r="E95" s="449">
        <f>IF(OR(FANSWIDE&lt;5,B93+(B15*3)&lt;F58),0.001,B93+(B15*3))</f>
        <v>107.1097118339417</v>
      </c>
      <c r="F95" s="449">
        <f>IF(OR(FANSWIDE&lt;6,B93+(B15*4)&lt;F58),0.001,B93+(B15*4))</f>
        <v>1E-3</v>
      </c>
      <c r="G95" s="449"/>
      <c r="I95" s="437" t="s">
        <v>1251</v>
      </c>
      <c r="J95" s="438">
        <f>MAX(L83,J54*2)</f>
        <v>35.433070866141733</v>
      </c>
      <c r="K95" s="438">
        <f>MAX(L84,J54*2)</f>
        <v>35.433070866141733</v>
      </c>
      <c r="L95" s="447"/>
      <c r="R95" s="460"/>
    </row>
    <row r="96" spans="1:18" x14ac:dyDescent="0.35">
      <c r="A96" s="448" t="s">
        <v>1859</v>
      </c>
      <c r="B96" s="449"/>
      <c r="C96" s="449">
        <f>IF(OR(FANSWIDE&lt;3,B94+(B15*1)&lt;F58),0.001,B94+(B15*1))</f>
        <v>1E-3</v>
      </c>
      <c r="D96" s="449">
        <f>IF(OR(FANSWIDE&lt;4,B94+(B15*2)&lt;F58),0.001,B94+(B15*2))</f>
        <v>1E-3</v>
      </c>
      <c r="E96" s="449">
        <f>IF(OR(FANSWIDE&lt;5,B94+(B15*3)&lt;F58),0.001,B94+(B15*3))</f>
        <v>105.6097118339417</v>
      </c>
      <c r="F96" s="449">
        <f>IF(OR(FANSWIDE&lt;6,B94+(B15*4)&lt;F58),0.001,B94+(B15*4))</f>
        <v>1E-3</v>
      </c>
      <c r="G96" s="449"/>
      <c r="I96" s="437" t="s">
        <v>1253</v>
      </c>
      <c r="J96" s="438">
        <f>IF(J89/2&gt;M81,IW/FANSWIDE,J89)</f>
        <v>30.5</v>
      </c>
      <c r="K96" s="438">
        <f>(IL-2*B17)/(FANSARRAY-IF(FANSARRAY=1,0,1))</f>
        <v>42</v>
      </c>
      <c r="L96" s="447"/>
      <c r="R96" s="454"/>
    </row>
    <row r="97" spans="1:18" x14ac:dyDescent="0.35">
      <c r="I97" s="437" t="s">
        <v>1254</v>
      </c>
      <c r="J97" s="438">
        <f>IF(AND(FanSpacing=0,J94&lt;L83),L83-J94,0)</f>
        <v>0</v>
      </c>
      <c r="K97" s="438">
        <f>IF(AND(FanSpacing=0,K94&lt;L84),L84-K94,0)</f>
        <v>0</v>
      </c>
      <c r="L97" s="447"/>
      <c r="R97" s="454"/>
    </row>
    <row r="98" spans="1:18" x14ac:dyDescent="0.35">
      <c r="I98" s="437" t="s">
        <v>1255</v>
      </c>
      <c r="J98" s="438">
        <f>IF(AND(FanSpacing=1,(IW-(J95*(FANSWIDE-1)))/2&lt;L81),J95-J89,0)</f>
        <v>0</v>
      </c>
      <c r="K98" s="438">
        <f>IF(AND(FanSpacing=1,(IL-(K95*(FANSARRAY-1)))/2&lt;L82),K95-K89,0)</f>
        <v>0</v>
      </c>
      <c r="L98" s="447"/>
      <c r="R98" s="454"/>
    </row>
    <row r="99" spans="1:18" x14ac:dyDescent="0.35">
      <c r="I99" s="437" t="s">
        <v>1256</v>
      </c>
      <c r="J99" s="438">
        <f>IF(OR(FANSWIDE=1,FanToLinerHorz_O=0),0,(IW-(2*FanToLinerHorz_O)-(J54))/(FANSWIDE-1))</f>
        <v>0</v>
      </c>
      <c r="K99" s="438">
        <f>IF(OR(FANSARRAY=1,FanToLinerLeng_O=0),0,(IL-(2*FanToLinerLeng_O)-(J54))/(FANSARRAY-1))</f>
        <v>0</v>
      </c>
      <c r="L99" s="447"/>
      <c r="R99" s="454"/>
    </row>
    <row r="100" spans="1:18" x14ac:dyDescent="0.35">
      <c r="L100" s="447"/>
      <c r="R100" s="454"/>
    </row>
    <row r="101" spans="1:18" x14ac:dyDescent="0.35">
      <c r="A101" s="564"/>
      <c r="B101" s="585" t="s">
        <v>2005</v>
      </c>
      <c r="C101" s="585"/>
      <c r="D101" s="585"/>
      <c r="E101" s="585"/>
      <c r="F101" s="585"/>
      <c r="G101" s="585"/>
      <c r="H101" s="585"/>
      <c r="I101" s="585"/>
      <c r="L101" s="447"/>
      <c r="Q101" s="462"/>
      <c r="R101" s="454"/>
    </row>
    <row r="102" spans="1:18" x14ac:dyDescent="0.35">
      <c r="A102" s="586" t="s">
        <v>2006</v>
      </c>
      <c r="B102" s="586"/>
      <c r="C102" s="586"/>
      <c r="D102" s="586"/>
      <c r="E102" s="586"/>
      <c r="F102" s="586"/>
      <c r="G102" s="586"/>
      <c r="H102" s="586"/>
      <c r="I102" s="586"/>
      <c r="L102" s="447"/>
      <c r="Q102" s="462"/>
      <c r="R102" s="463"/>
    </row>
    <row r="103" spans="1:18" x14ac:dyDescent="0.35">
      <c r="A103" s="565" t="s">
        <v>1397</v>
      </c>
      <c r="B103" s="585" t="s">
        <v>1522</v>
      </c>
      <c r="C103" s="585"/>
      <c r="D103" s="584" t="s">
        <v>1523</v>
      </c>
      <c r="E103" s="584"/>
      <c r="F103" s="584" t="s">
        <v>1524</v>
      </c>
      <c r="G103" s="584"/>
      <c r="H103" s="584" t="s">
        <v>1525</v>
      </c>
      <c r="I103" s="584"/>
      <c r="L103" s="447"/>
      <c r="Q103" s="462"/>
      <c r="R103" s="454"/>
    </row>
    <row r="104" spans="1:18" x14ac:dyDescent="0.35">
      <c r="A104" s="568"/>
      <c r="B104" s="566" t="s">
        <v>2007</v>
      </c>
      <c r="C104" s="566" t="s">
        <v>2008</v>
      </c>
      <c r="D104" s="566" t="s">
        <v>2007</v>
      </c>
      <c r="E104" s="566" t="s">
        <v>2008</v>
      </c>
      <c r="F104" s="566" t="s">
        <v>2007</v>
      </c>
      <c r="G104" s="566" t="s">
        <v>2008</v>
      </c>
      <c r="H104" s="566" t="s">
        <v>2007</v>
      </c>
      <c r="I104" s="566" t="s">
        <v>2008</v>
      </c>
      <c r="L104" s="447"/>
      <c r="Q104" s="462"/>
      <c r="R104" s="463"/>
    </row>
    <row r="105" spans="1:18" x14ac:dyDescent="0.35">
      <c r="A105" s="569">
        <v>250</v>
      </c>
      <c r="B105" s="567">
        <v>0</v>
      </c>
      <c r="C105" s="567">
        <v>0</v>
      </c>
      <c r="D105" s="567">
        <v>0</v>
      </c>
      <c r="E105" s="567">
        <v>0</v>
      </c>
      <c r="F105" s="567">
        <v>0</v>
      </c>
      <c r="G105" s="567">
        <v>0</v>
      </c>
      <c r="H105" s="567">
        <v>0</v>
      </c>
      <c r="I105" s="567">
        <v>0</v>
      </c>
      <c r="J105" s="575" t="s">
        <v>2020</v>
      </c>
      <c r="L105" s="447"/>
      <c r="Q105" s="462"/>
      <c r="R105" s="463"/>
    </row>
    <row r="106" spans="1:18" x14ac:dyDescent="0.35">
      <c r="A106" s="569">
        <v>280</v>
      </c>
      <c r="B106" s="567">
        <v>0</v>
      </c>
      <c r="C106" s="567">
        <v>0</v>
      </c>
      <c r="D106" s="567">
        <v>0</v>
      </c>
      <c r="E106" s="567">
        <v>0</v>
      </c>
      <c r="F106" s="567">
        <v>0</v>
      </c>
      <c r="G106" s="567">
        <v>0</v>
      </c>
      <c r="H106" s="567">
        <v>0</v>
      </c>
      <c r="I106" s="567">
        <v>0</v>
      </c>
      <c r="J106" s="575" t="s">
        <v>2020</v>
      </c>
      <c r="L106" s="447"/>
      <c r="Q106" s="462"/>
      <c r="R106" s="463"/>
    </row>
    <row r="107" spans="1:18" x14ac:dyDescent="0.35">
      <c r="A107" s="569">
        <v>310</v>
      </c>
      <c r="B107" s="567">
        <v>1</v>
      </c>
      <c r="C107" s="567">
        <v>1</v>
      </c>
      <c r="D107" s="567">
        <v>2</v>
      </c>
      <c r="E107" s="567">
        <v>3</v>
      </c>
      <c r="F107" s="567">
        <v>1</v>
      </c>
      <c r="G107" s="567">
        <v>1</v>
      </c>
      <c r="H107" s="567">
        <v>6</v>
      </c>
      <c r="I107" s="567">
        <v>7</v>
      </c>
      <c r="J107" s="575"/>
      <c r="L107" s="447"/>
      <c r="Q107" s="462"/>
      <c r="R107" s="454"/>
    </row>
    <row r="108" spans="1:18" x14ac:dyDescent="0.35">
      <c r="A108" s="569">
        <v>355</v>
      </c>
      <c r="B108" s="567">
        <v>1</v>
      </c>
      <c r="C108" s="567">
        <v>1</v>
      </c>
      <c r="D108" s="567">
        <v>2</v>
      </c>
      <c r="E108" s="567">
        <v>3</v>
      </c>
      <c r="F108" s="567">
        <v>1</v>
      </c>
      <c r="G108" s="567">
        <v>1</v>
      </c>
      <c r="H108" s="567">
        <v>6</v>
      </c>
      <c r="I108" s="567">
        <v>7</v>
      </c>
      <c r="J108" s="575"/>
      <c r="L108" s="447"/>
      <c r="Q108" s="462"/>
      <c r="R108" s="454"/>
    </row>
    <row r="109" spans="1:18" x14ac:dyDescent="0.35">
      <c r="A109" s="569">
        <v>400</v>
      </c>
      <c r="B109" s="567">
        <v>1</v>
      </c>
      <c r="C109" s="567">
        <v>1</v>
      </c>
      <c r="D109" s="567">
        <v>2</v>
      </c>
      <c r="E109" s="567">
        <v>3</v>
      </c>
      <c r="F109" s="567">
        <v>1</v>
      </c>
      <c r="G109" s="567">
        <v>1</v>
      </c>
      <c r="H109" s="567">
        <v>6</v>
      </c>
      <c r="I109" s="567">
        <v>7</v>
      </c>
      <c r="J109" s="575"/>
    </row>
    <row r="110" spans="1:18" x14ac:dyDescent="0.35">
      <c r="A110" s="569">
        <v>450</v>
      </c>
      <c r="B110" s="567">
        <v>0</v>
      </c>
      <c r="C110" s="567">
        <v>1</v>
      </c>
      <c r="D110" s="567">
        <v>2</v>
      </c>
      <c r="E110" s="567">
        <v>3</v>
      </c>
      <c r="F110" s="567">
        <v>0</v>
      </c>
      <c r="G110" s="567">
        <v>1</v>
      </c>
      <c r="H110" s="567">
        <v>6</v>
      </c>
      <c r="I110" s="567">
        <v>7</v>
      </c>
      <c r="J110" s="575"/>
    </row>
    <row r="111" spans="1:18" x14ac:dyDescent="0.35">
      <c r="A111" s="569">
        <v>500</v>
      </c>
      <c r="B111" s="567">
        <v>0</v>
      </c>
      <c r="C111" s="567">
        <v>0</v>
      </c>
      <c r="D111" s="567">
        <v>2</v>
      </c>
      <c r="E111" s="567">
        <v>3</v>
      </c>
      <c r="F111" s="567">
        <v>0</v>
      </c>
      <c r="G111" s="567">
        <v>0</v>
      </c>
      <c r="H111" s="567">
        <v>3</v>
      </c>
      <c r="I111" s="567">
        <v>4</v>
      </c>
      <c r="J111" s="575"/>
    </row>
    <row r="112" spans="1:18" x14ac:dyDescent="0.35">
      <c r="A112" s="569">
        <v>560</v>
      </c>
      <c r="B112" s="567">
        <v>0</v>
      </c>
      <c r="C112" s="567">
        <v>0</v>
      </c>
      <c r="D112" s="567">
        <v>2</v>
      </c>
      <c r="E112" s="567">
        <v>3</v>
      </c>
      <c r="F112" s="567">
        <v>0</v>
      </c>
      <c r="G112" s="567">
        <v>0</v>
      </c>
      <c r="H112" s="567">
        <v>6</v>
      </c>
      <c r="I112" s="567">
        <v>7</v>
      </c>
      <c r="J112" s="575"/>
    </row>
    <row r="113" spans="1:10" x14ac:dyDescent="0.35">
      <c r="A113" s="569">
        <v>630</v>
      </c>
      <c r="B113" s="567">
        <v>0</v>
      </c>
      <c r="C113" s="567">
        <v>0</v>
      </c>
      <c r="D113" s="567">
        <v>2</v>
      </c>
      <c r="E113" s="567">
        <v>3</v>
      </c>
      <c r="F113" s="567">
        <v>0</v>
      </c>
      <c r="G113" s="567">
        <v>0</v>
      </c>
      <c r="H113" s="567">
        <v>2</v>
      </c>
      <c r="I113" s="567">
        <v>3</v>
      </c>
      <c r="J113" s="575"/>
    </row>
    <row r="114" spans="1:10" x14ac:dyDescent="0.35">
      <c r="A114" s="569">
        <v>710</v>
      </c>
      <c r="B114" s="567">
        <v>0</v>
      </c>
      <c r="C114" s="567">
        <v>0</v>
      </c>
      <c r="D114" s="567">
        <v>2</v>
      </c>
      <c r="E114" s="567">
        <v>3</v>
      </c>
      <c r="F114" s="567">
        <v>0</v>
      </c>
      <c r="G114" s="567">
        <v>0</v>
      </c>
      <c r="H114" s="567">
        <v>3</v>
      </c>
      <c r="I114" s="567">
        <v>4</v>
      </c>
      <c r="J114" s="575"/>
    </row>
    <row r="115" spans="1:10" x14ac:dyDescent="0.35">
      <c r="A115" s="569">
        <v>800</v>
      </c>
      <c r="B115" s="567">
        <v>0</v>
      </c>
      <c r="C115" s="567">
        <v>0</v>
      </c>
      <c r="D115" s="567">
        <v>0</v>
      </c>
      <c r="E115" s="567">
        <v>0</v>
      </c>
      <c r="F115" s="567">
        <v>0</v>
      </c>
      <c r="G115" s="567">
        <v>0</v>
      </c>
      <c r="H115" s="567">
        <v>0</v>
      </c>
      <c r="I115" s="567">
        <v>0</v>
      </c>
      <c r="J115" s="575"/>
    </row>
    <row r="116" spans="1:10" x14ac:dyDescent="0.35">
      <c r="A116" s="569">
        <v>900</v>
      </c>
      <c r="B116" s="567">
        <v>0</v>
      </c>
      <c r="C116" s="567">
        <v>0</v>
      </c>
      <c r="D116" s="567">
        <v>0</v>
      </c>
      <c r="E116" s="567">
        <v>0</v>
      </c>
      <c r="F116" s="567">
        <v>0</v>
      </c>
      <c r="G116" s="567">
        <v>0</v>
      </c>
      <c r="H116" s="567">
        <v>0</v>
      </c>
      <c r="I116" s="567">
        <v>0</v>
      </c>
      <c r="J116" s="575" t="s">
        <v>2020</v>
      </c>
    </row>
    <row r="117" spans="1:10" x14ac:dyDescent="0.35">
      <c r="A117" s="570" t="s">
        <v>2015</v>
      </c>
      <c r="B117" s="567">
        <f>HT</f>
        <v>2</v>
      </c>
    </row>
    <row r="118" spans="1:10" x14ac:dyDescent="0.35">
      <c r="A118" s="570" t="s">
        <v>2009</v>
      </c>
      <c r="B118" s="567">
        <f>IF(OR(DoorPlacement="Side",DoorPlacement="Both"),1,0)</f>
        <v>0</v>
      </c>
    </row>
    <row r="119" spans="1:10" x14ac:dyDescent="0.35">
      <c r="A119" s="570" t="s">
        <v>2010</v>
      </c>
      <c r="B119" s="567">
        <f>IF(OR(DoorPlacement="End",DoorPlacement="Both"),1,0)</f>
        <v>0</v>
      </c>
    </row>
    <row r="120" spans="1:10" x14ac:dyDescent="0.35">
      <c r="A120" s="570" t="s">
        <v>2011</v>
      </c>
      <c r="B120" s="567">
        <f>IF(B118=1,VLOOKUP(FANSIZE,A107:I115,CHOOSE(B117,0,2,2,3),FALSE),0)</f>
        <v>0</v>
      </c>
    </row>
    <row r="121" spans="1:10" x14ac:dyDescent="0.35">
      <c r="A121" s="570" t="s">
        <v>2012</v>
      </c>
      <c r="B121" s="567">
        <f>IF(AND(B118=1,B12&gt;1),VLOOKUP(FANSIZE,A107:I115,CHOOSE(B117,0,4,4,5),FALSE),0)</f>
        <v>0</v>
      </c>
    </row>
    <row r="122" spans="1:10" x14ac:dyDescent="0.35">
      <c r="A122" s="570" t="s">
        <v>2013</v>
      </c>
      <c r="B122" s="567">
        <f>IF(B119=1,VLOOKUP(FANSIZE,A107:I115,CHOOSE(B117,0,6,6,7),FALSE),0)</f>
        <v>0</v>
      </c>
    </row>
    <row r="123" spans="1:10" x14ac:dyDescent="0.35">
      <c r="A123" s="570" t="s">
        <v>2014</v>
      </c>
      <c r="B123" s="567">
        <f>IF(AND(B119=1,B13&gt;1),VLOOKUP(FANSIZE,A107:I115,CHOOSE(B117,0,8,8,9),FALSE),0)</f>
        <v>0</v>
      </c>
    </row>
  </sheetData>
  <mergeCells count="28">
    <mergeCell ref="J79:J80"/>
    <mergeCell ref="K79:K80"/>
    <mergeCell ref="L79:L80"/>
    <mergeCell ref="I87:K87"/>
    <mergeCell ref="I93:K93"/>
    <mergeCell ref="I53:N53"/>
    <mergeCell ref="A56:B56"/>
    <mergeCell ref="I64:K64"/>
    <mergeCell ref="I70:K70"/>
    <mergeCell ref="J56:J57"/>
    <mergeCell ref="K56:K57"/>
    <mergeCell ref="L56:L57"/>
    <mergeCell ref="Y3:Z3"/>
    <mergeCell ref="A34:B34"/>
    <mergeCell ref="A26:B26"/>
    <mergeCell ref="I33:J33"/>
    <mergeCell ref="U3:V3"/>
    <mergeCell ref="E3:F3"/>
    <mergeCell ref="I3:J3"/>
    <mergeCell ref="M3:N3"/>
    <mergeCell ref="A3:B3"/>
    <mergeCell ref="Q3:R3"/>
    <mergeCell ref="F103:G103"/>
    <mergeCell ref="H103:I103"/>
    <mergeCell ref="B101:I101"/>
    <mergeCell ref="A102:I102"/>
    <mergeCell ref="B103:C103"/>
    <mergeCell ref="D103:E103"/>
  </mergeCells>
  <phoneticPr fontId="72" type="noConversion"/>
  <pageMargins left="0.7" right="0.7" top="0.75" bottom="0.75" header="0.3" footer="0.3"/>
  <pageSetup orientation="portrait" r:id="rId1"/>
  <ignoredErrors>
    <ignoredError sqref="N6" formula="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49DCB-55B7-492B-978C-C8E12A00E49E}">
  <sheetPr>
    <pageSetUpPr autoPageBreaks="0"/>
  </sheetPr>
  <dimension ref="A1:BV39"/>
  <sheetViews>
    <sheetView showGridLines="0" zoomScale="80" zoomScaleNormal="80" workbookViewId="0">
      <selection activeCell="B39" sqref="B39"/>
    </sheetView>
  </sheetViews>
  <sheetFormatPr defaultRowHeight="14.4" x14ac:dyDescent="0.3"/>
  <cols>
    <col min="1" max="1" width="8.5546875" style="11" customWidth="1"/>
    <col min="2" max="2" width="6.44140625" style="11" customWidth="1"/>
    <col min="3" max="3" width="6.5546875" style="11" customWidth="1"/>
    <col min="4" max="4" width="5.5546875" style="11" customWidth="1"/>
    <col min="5" max="5" width="7.109375" style="11" customWidth="1"/>
    <col min="6" max="6" width="7.33203125" style="11" customWidth="1"/>
    <col min="7" max="7" width="5.6640625" style="11" customWidth="1"/>
    <col min="8" max="8" width="5.88671875" style="11" bestFit="1" customWidth="1"/>
    <col min="9" max="9" width="6.5546875" style="11" customWidth="1"/>
    <col min="10" max="10" width="8" style="11" customWidth="1"/>
    <col min="11" max="11" width="7.5546875" style="11" customWidth="1"/>
    <col min="12" max="12" width="6.109375" style="11" customWidth="1"/>
    <col min="13" max="14" width="8.88671875" style="11" customWidth="1"/>
    <col min="15" max="15" width="8.33203125" style="11" customWidth="1"/>
    <col min="16" max="16" width="7.6640625" style="11" customWidth="1"/>
    <col min="17" max="17" width="8.33203125" style="11" customWidth="1"/>
    <col min="18" max="18" width="6.6640625" style="11" customWidth="1"/>
    <col min="19" max="20" width="8.109375" style="11" customWidth="1"/>
    <col min="21" max="21" width="6.6640625" style="11" customWidth="1"/>
    <col min="22" max="22" width="6.5546875" style="11" customWidth="1"/>
    <col min="23" max="23" width="5.88671875" style="11" customWidth="1"/>
    <col min="24" max="24" width="6.33203125" style="11" customWidth="1"/>
    <col min="25" max="25" width="7.33203125" style="11" customWidth="1"/>
    <col min="26" max="26" width="6.88671875" style="11" customWidth="1"/>
    <col min="27" max="29" width="6.6640625" style="11" customWidth="1"/>
    <col min="30" max="34" width="6.33203125" style="11" customWidth="1"/>
    <col min="35" max="35" width="15.33203125" style="11" bestFit="1" customWidth="1"/>
    <col min="36" max="38" width="6.33203125" style="11" customWidth="1"/>
    <col min="39" max="39" width="6.6640625" style="11" customWidth="1"/>
    <col min="40" max="41" width="6.33203125" style="11" customWidth="1"/>
    <col min="42" max="42" width="4.6640625" style="11" hidden="1" customWidth="1"/>
    <col min="43" max="43" width="7.109375" style="11" customWidth="1"/>
    <col min="44" max="46" width="6.33203125" style="11" customWidth="1"/>
    <col min="47" max="47" width="4.88671875" style="11" customWidth="1"/>
    <col min="48" max="48" width="4.6640625" style="11" customWidth="1"/>
    <col min="49" max="49" width="6.33203125" style="11" customWidth="1"/>
    <col min="50" max="51" width="6.6640625" style="11" customWidth="1"/>
    <col min="52" max="54" width="6.33203125" style="11" customWidth="1"/>
    <col min="55" max="55" width="5.5546875" style="11" customWidth="1"/>
    <col min="56" max="56" width="4.6640625" style="11" customWidth="1"/>
    <col min="57" max="57" width="8.33203125" style="11" customWidth="1"/>
    <col min="58" max="59" width="8" style="11" customWidth="1"/>
    <col min="60" max="60" width="2.6640625" style="11" customWidth="1"/>
    <col min="61" max="62" width="8.88671875" style="11"/>
    <col min="63" max="63" width="10.44140625" style="11" bestFit="1" customWidth="1"/>
    <col min="64" max="64" width="10.5546875" style="11" bestFit="1" customWidth="1"/>
    <col min="65" max="65" width="7.33203125" style="11" bestFit="1" customWidth="1"/>
    <col min="66" max="66" width="7.44140625" style="11" bestFit="1" customWidth="1"/>
    <col min="67" max="67" width="10.33203125" style="11" customWidth="1"/>
    <col min="68" max="68" width="8.88671875" style="11"/>
    <col min="69" max="69" width="4.88671875" style="11" bestFit="1" customWidth="1"/>
    <col min="70" max="70" width="5.5546875" style="11" customWidth="1"/>
    <col min="71" max="256" width="8.88671875" style="11"/>
    <col min="257" max="257" width="8.5546875" style="11" customWidth="1"/>
    <col min="258" max="258" width="6.44140625" style="11" customWidth="1"/>
    <col min="259" max="259" width="6.5546875" style="11" customWidth="1"/>
    <col min="260" max="260" width="5.5546875" style="11" customWidth="1"/>
    <col min="261" max="261" width="7.109375" style="11" customWidth="1"/>
    <col min="262" max="262" width="7.33203125" style="11" customWidth="1"/>
    <col min="263" max="263" width="5.6640625" style="11" customWidth="1"/>
    <col min="264" max="264" width="5.88671875" style="11" bestFit="1" customWidth="1"/>
    <col min="265" max="265" width="6.5546875" style="11" customWidth="1"/>
    <col min="266" max="266" width="8" style="11" customWidth="1"/>
    <col min="267" max="267" width="7.5546875" style="11" customWidth="1"/>
    <col min="268" max="268" width="6.109375" style="11" customWidth="1"/>
    <col min="269" max="270" width="8.88671875" style="11"/>
    <col min="271" max="271" width="8.33203125" style="11" customWidth="1"/>
    <col min="272" max="272" width="7.6640625" style="11" customWidth="1"/>
    <col min="273" max="273" width="8.33203125" style="11" customWidth="1"/>
    <col min="274" max="274" width="6.6640625" style="11" customWidth="1"/>
    <col min="275" max="276" width="8.109375" style="11" customWidth="1"/>
    <col min="277" max="277" width="6.6640625" style="11" customWidth="1"/>
    <col min="278" max="278" width="6.5546875" style="11" customWidth="1"/>
    <col min="279" max="279" width="5.88671875" style="11" customWidth="1"/>
    <col min="280" max="280" width="6.33203125" style="11" customWidth="1"/>
    <col min="281" max="281" width="7.33203125" style="11" customWidth="1"/>
    <col min="282" max="282" width="6.88671875" style="11" customWidth="1"/>
    <col min="283" max="285" width="6.6640625" style="11" customWidth="1"/>
    <col min="286" max="290" width="6.33203125" style="11" customWidth="1"/>
    <col min="291" max="291" width="15.33203125" style="11" bestFit="1" customWidth="1"/>
    <col min="292" max="294" width="6.33203125" style="11" customWidth="1"/>
    <col min="295" max="295" width="6.6640625" style="11" customWidth="1"/>
    <col min="296" max="297" width="6.33203125" style="11" customWidth="1"/>
    <col min="298" max="298" width="0" style="11" hidden="1" customWidth="1"/>
    <col min="299" max="299" width="7.109375" style="11" customWidth="1"/>
    <col min="300" max="302" width="6.33203125" style="11" customWidth="1"/>
    <col min="303" max="303" width="4.88671875" style="11" customWidth="1"/>
    <col min="304" max="304" width="4.6640625" style="11" customWidth="1"/>
    <col min="305" max="305" width="6.33203125" style="11" customWidth="1"/>
    <col min="306" max="307" width="6.6640625" style="11" customWidth="1"/>
    <col min="308" max="310" width="6.33203125" style="11" customWidth="1"/>
    <col min="311" max="311" width="5.5546875" style="11" customWidth="1"/>
    <col min="312" max="312" width="4.6640625" style="11" customWidth="1"/>
    <col min="313" max="313" width="8.33203125" style="11" customWidth="1"/>
    <col min="314" max="315" width="8" style="11" customWidth="1"/>
    <col min="316" max="316" width="2.6640625" style="11" customWidth="1"/>
    <col min="317" max="318" width="8.88671875" style="11"/>
    <col min="319" max="319" width="10.44140625" style="11" bestFit="1" customWidth="1"/>
    <col min="320" max="320" width="10.5546875" style="11" bestFit="1" customWidth="1"/>
    <col min="321" max="321" width="7.33203125" style="11" bestFit="1" customWidth="1"/>
    <col min="322" max="322" width="7.44140625" style="11" bestFit="1" customWidth="1"/>
    <col min="323" max="323" width="10.33203125" style="11" customWidth="1"/>
    <col min="324" max="324" width="8.88671875" style="11"/>
    <col min="325" max="325" width="4.88671875" style="11" bestFit="1" customWidth="1"/>
    <col min="326" max="326" width="5.5546875" style="11" customWidth="1"/>
    <col min="327" max="512" width="8.88671875" style="11"/>
    <col min="513" max="513" width="8.5546875" style="11" customWidth="1"/>
    <col min="514" max="514" width="6.44140625" style="11" customWidth="1"/>
    <col min="515" max="515" width="6.5546875" style="11" customWidth="1"/>
    <col min="516" max="516" width="5.5546875" style="11" customWidth="1"/>
    <col min="517" max="517" width="7.109375" style="11" customWidth="1"/>
    <col min="518" max="518" width="7.33203125" style="11" customWidth="1"/>
    <col min="519" max="519" width="5.6640625" style="11" customWidth="1"/>
    <col min="520" max="520" width="5.88671875" style="11" bestFit="1" customWidth="1"/>
    <col min="521" max="521" width="6.5546875" style="11" customWidth="1"/>
    <col min="522" max="522" width="8" style="11" customWidth="1"/>
    <col min="523" max="523" width="7.5546875" style="11" customWidth="1"/>
    <col min="524" max="524" width="6.109375" style="11" customWidth="1"/>
    <col min="525" max="526" width="8.88671875" style="11"/>
    <col min="527" max="527" width="8.33203125" style="11" customWidth="1"/>
    <col min="528" max="528" width="7.6640625" style="11" customWidth="1"/>
    <col min="529" max="529" width="8.33203125" style="11" customWidth="1"/>
    <col min="530" max="530" width="6.6640625" style="11" customWidth="1"/>
    <col min="531" max="532" width="8.109375" style="11" customWidth="1"/>
    <col min="533" max="533" width="6.6640625" style="11" customWidth="1"/>
    <col min="534" max="534" width="6.5546875" style="11" customWidth="1"/>
    <col min="535" max="535" width="5.88671875" style="11" customWidth="1"/>
    <col min="536" max="536" width="6.33203125" style="11" customWidth="1"/>
    <col min="537" max="537" width="7.33203125" style="11" customWidth="1"/>
    <col min="538" max="538" width="6.88671875" style="11" customWidth="1"/>
    <col min="539" max="541" width="6.6640625" style="11" customWidth="1"/>
    <col min="542" max="546" width="6.33203125" style="11" customWidth="1"/>
    <col min="547" max="547" width="15.33203125" style="11" bestFit="1" customWidth="1"/>
    <col min="548" max="550" width="6.33203125" style="11" customWidth="1"/>
    <col min="551" max="551" width="6.6640625" style="11" customWidth="1"/>
    <col min="552" max="553" width="6.33203125" style="11" customWidth="1"/>
    <col min="554" max="554" width="0" style="11" hidden="1" customWidth="1"/>
    <col min="555" max="555" width="7.109375" style="11" customWidth="1"/>
    <col min="556" max="558" width="6.33203125" style="11" customWidth="1"/>
    <col min="559" max="559" width="4.88671875" style="11" customWidth="1"/>
    <col min="560" max="560" width="4.6640625" style="11" customWidth="1"/>
    <col min="561" max="561" width="6.33203125" style="11" customWidth="1"/>
    <col min="562" max="563" width="6.6640625" style="11" customWidth="1"/>
    <col min="564" max="566" width="6.33203125" style="11" customWidth="1"/>
    <col min="567" max="567" width="5.5546875" style="11" customWidth="1"/>
    <col min="568" max="568" width="4.6640625" style="11" customWidth="1"/>
    <col min="569" max="569" width="8.33203125" style="11" customWidth="1"/>
    <col min="570" max="571" width="8" style="11" customWidth="1"/>
    <col min="572" max="572" width="2.6640625" style="11" customWidth="1"/>
    <col min="573" max="574" width="8.88671875" style="11"/>
    <col min="575" max="575" width="10.44140625" style="11" bestFit="1" customWidth="1"/>
    <col min="576" max="576" width="10.5546875" style="11" bestFit="1" customWidth="1"/>
    <col min="577" max="577" width="7.33203125" style="11" bestFit="1" customWidth="1"/>
    <col min="578" max="578" width="7.44140625" style="11" bestFit="1" customWidth="1"/>
    <col min="579" max="579" width="10.33203125" style="11" customWidth="1"/>
    <col min="580" max="580" width="8.88671875" style="11"/>
    <col min="581" max="581" width="4.88671875" style="11" bestFit="1" customWidth="1"/>
    <col min="582" max="582" width="5.5546875" style="11" customWidth="1"/>
    <col min="583" max="768" width="8.88671875" style="11"/>
    <col min="769" max="769" width="8.5546875" style="11" customWidth="1"/>
    <col min="770" max="770" width="6.44140625" style="11" customWidth="1"/>
    <col min="771" max="771" width="6.5546875" style="11" customWidth="1"/>
    <col min="772" max="772" width="5.5546875" style="11" customWidth="1"/>
    <col min="773" max="773" width="7.109375" style="11" customWidth="1"/>
    <col min="774" max="774" width="7.33203125" style="11" customWidth="1"/>
    <col min="775" max="775" width="5.6640625" style="11" customWidth="1"/>
    <col min="776" max="776" width="5.88671875" style="11" bestFit="1" customWidth="1"/>
    <col min="777" max="777" width="6.5546875" style="11" customWidth="1"/>
    <col min="778" max="778" width="8" style="11" customWidth="1"/>
    <col min="779" max="779" width="7.5546875" style="11" customWidth="1"/>
    <col min="780" max="780" width="6.109375" style="11" customWidth="1"/>
    <col min="781" max="782" width="8.88671875" style="11"/>
    <col min="783" max="783" width="8.33203125" style="11" customWidth="1"/>
    <col min="784" max="784" width="7.6640625" style="11" customWidth="1"/>
    <col min="785" max="785" width="8.33203125" style="11" customWidth="1"/>
    <col min="786" max="786" width="6.6640625" style="11" customWidth="1"/>
    <col min="787" max="788" width="8.109375" style="11" customWidth="1"/>
    <col min="789" max="789" width="6.6640625" style="11" customWidth="1"/>
    <col min="790" max="790" width="6.5546875" style="11" customWidth="1"/>
    <col min="791" max="791" width="5.88671875" style="11" customWidth="1"/>
    <col min="792" max="792" width="6.33203125" style="11" customWidth="1"/>
    <col min="793" max="793" width="7.33203125" style="11" customWidth="1"/>
    <col min="794" max="794" width="6.88671875" style="11" customWidth="1"/>
    <col min="795" max="797" width="6.6640625" style="11" customWidth="1"/>
    <col min="798" max="802" width="6.33203125" style="11" customWidth="1"/>
    <col min="803" max="803" width="15.33203125" style="11" bestFit="1" customWidth="1"/>
    <col min="804" max="806" width="6.33203125" style="11" customWidth="1"/>
    <col min="807" max="807" width="6.6640625" style="11" customWidth="1"/>
    <col min="808" max="809" width="6.33203125" style="11" customWidth="1"/>
    <col min="810" max="810" width="0" style="11" hidden="1" customWidth="1"/>
    <col min="811" max="811" width="7.109375" style="11" customWidth="1"/>
    <col min="812" max="814" width="6.33203125" style="11" customWidth="1"/>
    <col min="815" max="815" width="4.88671875" style="11" customWidth="1"/>
    <col min="816" max="816" width="4.6640625" style="11" customWidth="1"/>
    <col min="817" max="817" width="6.33203125" style="11" customWidth="1"/>
    <col min="818" max="819" width="6.6640625" style="11" customWidth="1"/>
    <col min="820" max="822" width="6.33203125" style="11" customWidth="1"/>
    <col min="823" max="823" width="5.5546875" style="11" customWidth="1"/>
    <col min="824" max="824" width="4.6640625" style="11" customWidth="1"/>
    <col min="825" max="825" width="8.33203125" style="11" customWidth="1"/>
    <col min="826" max="827" width="8" style="11" customWidth="1"/>
    <col min="828" max="828" width="2.6640625" style="11" customWidth="1"/>
    <col min="829" max="830" width="8.88671875" style="11"/>
    <col min="831" max="831" width="10.44140625" style="11" bestFit="1" customWidth="1"/>
    <col min="832" max="832" width="10.5546875" style="11" bestFit="1" customWidth="1"/>
    <col min="833" max="833" width="7.33203125" style="11" bestFit="1" customWidth="1"/>
    <col min="834" max="834" width="7.44140625" style="11" bestFit="1" customWidth="1"/>
    <col min="835" max="835" width="10.33203125" style="11" customWidth="1"/>
    <col min="836" max="836" width="8.88671875" style="11"/>
    <col min="837" max="837" width="4.88671875" style="11" bestFit="1" customWidth="1"/>
    <col min="838" max="838" width="5.5546875" style="11" customWidth="1"/>
    <col min="839" max="1024" width="8.88671875" style="11"/>
    <col min="1025" max="1025" width="8.5546875" style="11" customWidth="1"/>
    <col min="1026" max="1026" width="6.44140625" style="11" customWidth="1"/>
    <col min="1027" max="1027" width="6.5546875" style="11" customWidth="1"/>
    <col min="1028" max="1028" width="5.5546875" style="11" customWidth="1"/>
    <col min="1029" max="1029" width="7.109375" style="11" customWidth="1"/>
    <col min="1030" max="1030" width="7.33203125" style="11" customWidth="1"/>
    <col min="1031" max="1031" width="5.6640625" style="11" customWidth="1"/>
    <col min="1032" max="1032" width="5.88671875" style="11" bestFit="1" customWidth="1"/>
    <col min="1033" max="1033" width="6.5546875" style="11" customWidth="1"/>
    <col min="1034" max="1034" width="8" style="11" customWidth="1"/>
    <col min="1035" max="1035" width="7.5546875" style="11" customWidth="1"/>
    <col min="1036" max="1036" width="6.109375" style="11" customWidth="1"/>
    <col min="1037" max="1038" width="8.88671875" style="11"/>
    <col min="1039" max="1039" width="8.33203125" style="11" customWidth="1"/>
    <col min="1040" max="1040" width="7.6640625" style="11" customWidth="1"/>
    <col min="1041" max="1041" width="8.33203125" style="11" customWidth="1"/>
    <col min="1042" max="1042" width="6.6640625" style="11" customWidth="1"/>
    <col min="1043" max="1044" width="8.109375" style="11" customWidth="1"/>
    <col min="1045" max="1045" width="6.6640625" style="11" customWidth="1"/>
    <col min="1046" max="1046" width="6.5546875" style="11" customWidth="1"/>
    <col min="1047" max="1047" width="5.88671875" style="11" customWidth="1"/>
    <col min="1048" max="1048" width="6.33203125" style="11" customWidth="1"/>
    <col min="1049" max="1049" width="7.33203125" style="11" customWidth="1"/>
    <col min="1050" max="1050" width="6.88671875" style="11" customWidth="1"/>
    <col min="1051" max="1053" width="6.6640625" style="11" customWidth="1"/>
    <col min="1054" max="1058" width="6.33203125" style="11" customWidth="1"/>
    <col min="1059" max="1059" width="15.33203125" style="11" bestFit="1" customWidth="1"/>
    <col min="1060" max="1062" width="6.33203125" style="11" customWidth="1"/>
    <col min="1063" max="1063" width="6.6640625" style="11" customWidth="1"/>
    <col min="1064" max="1065" width="6.33203125" style="11" customWidth="1"/>
    <col min="1066" max="1066" width="0" style="11" hidden="1" customWidth="1"/>
    <col min="1067" max="1067" width="7.109375" style="11" customWidth="1"/>
    <col min="1068" max="1070" width="6.33203125" style="11" customWidth="1"/>
    <col min="1071" max="1071" width="4.88671875" style="11" customWidth="1"/>
    <col min="1072" max="1072" width="4.6640625" style="11" customWidth="1"/>
    <col min="1073" max="1073" width="6.33203125" style="11" customWidth="1"/>
    <col min="1074" max="1075" width="6.6640625" style="11" customWidth="1"/>
    <col min="1076" max="1078" width="6.33203125" style="11" customWidth="1"/>
    <col min="1079" max="1079" width="5.5546875" style="11" customWidth="1"/>
    <col min="1080" max="1080" width="4.6640625" style="11" customWidth="1"/>
    <col min="1081" max="1081" width="8.33203125" style="11" customWidth="1"/>
    <col min="1082" max="1083" width="8" style="11" customWidth="1"/>
    <col min="1084" max="1084" width="2.6640625" style="11" customWidth="1"/>
    <col min="1085" max="1086" width="8.88671875" style="11"/>
    <col min="1087" max="1087" width="10.44140625" style="11" bestFit="1" customWidth="1"/>
    <col min="1088" max="1088" width="10.5546875" style="11" bestFit="1" customWidth="1"/>
    <col min="1089" max="1089" width="7.33203125" style="11" bestFit="1" customWidth="1"/>
    <col min="1090" max="1090" width="7.44140625" style="11" bestFit="1" customWidth="1"/>
    <col min="1091" max="1091" width="10.33203125" style="11" customWidth="1"/>
    <col min="1092" max="1092" width="8.88671875" style="11"/>
    <col min="1093" max="1093" width="4.88671875" style="11" bestFit="1" customWidth="1"/>
    <col min="1094" max="1094" width="5.5546875" style="11" customWidth="1"/>
    <col min="1095" max="1280" width="8.88671875" style="11"/>
    <col min="1281" max="1281" width="8.5546875" style="11" customWidth="1"/>
    <col min="1282" max="1282" width="6.44140625" style="11" customWidth="1"/>
    <col min="1283" max="1283" width="6.5546875" style="11" customWidth="1"/>
    <col min="1284" max="1284" width="5.5546875" style="11" customWidth="1"/>
    <col min="1285" max="1285" width="7.109375" style="11" customWidth="1"/>
    <col min="1286" max="1286" width="7.33203125" style="11" customWidth="1"/>
    <col min="1287" max="1287" width="5.6640625" style="11" customWidth="1"/>
    <col min="1288" max="1288" width="5.88671875" style="11" bestFit="1" customWidth="1"/>
    <col min="1289" max="1289" width="6.5546875" style="11" customWidth="1"/>
    <col min="1290" max="1290" width="8" style="11" customWidth="1"/>
    <col min="1291" max="1291" width="7.5546875" style="11" customWidth="1"/>
    <col min="1292" max="1292" width="6.109375" style="11" customWidth="1"/>
    <col min="1293" max="1294" width="8.88671875" style="11"/>
    <col min="1295" max="1295" width="8.33203125" style="11" customWidth="1"/>
    <col min="1296" max="1296" width="7.6640625" style="11" customWidth="1"/>
    <col min="1297" max="1297" width="8.33203125" style="11" customWidth="1"/>
    <col min="1298" max="1298" width="6.6640625" style="11" customWidth="1"/>
    <col min="1299" max="1300" width="8.109375" style="11" customWidth="1"/>
    <col min="1301" max="1301" width="6.6640625" style="11" customWidth="1"/>
    <col min="1302" max="1302" width="6.5546875" style="11" customWidth="1"/>
    <col min="1303" max="1303" width="5.88671875" style="11" customWidth="1"/>
    <col min="1304" max="1304" width="6.33203125" style="11" customWidth="1"/>
    <col min="1305" max="1305" width="7.33203125" style="11" customWidth="1"/>
    <col min="1306" max="1306" width="6.88671875" style="11" customWidth="1"/>
    <col min="1307" max="1309" width="6.6640625" style="11" customWidth="1"/>
    <col min="1310" max="1314" width="6.33203125" style="11" customWidth="1"/>
    <col min="1315" max="1315" width="15.33203125" style="11" bestFit="1" customWidth="1"/>
    <col min="1316" max="1318" width="6.33203125" style="11" customWidth="1"/>
    <col min="1319" max="1319" width="6.6640625" style="11" customWidth="1"/>
    <col min="1320" max="1321" width="6.33203125" style="11" customWidth="1"/>
    <col min="1322" max="1322" width="0" style="11" hidden="1" customWidth="1"/>
    <col min="1323" max="1323" width="7.109375" style="11" customWidth="1"/>
    <col min="1324" max="1326" width="6.33203125" style="11" customWidth="1"/>
    <col min="1327" max="1327" width="4.88671875" style="11" customWidth="1"/>
    <col min="1328" max="1328" width="4.6640625" style="11" customWidth="1"/>
    <col min="1329" max="1329" width="6.33203125" style="11" customWidth="1"/>
    <col min="1330" max="1331" width="6.6640625" style="11" customWidth="1"/>
    <col min="1332" max="1334" width="6.33203125" style="11" customWidth="1"/>
    <col min="1335" max="1335" width="5.5546875" style="11" customWidth="1"/>
    <col min="1336" max="1336" width="4.6640625" style="11" customWidth="1"/>
    <col min="1337" max="1337" width="8.33203125" style="11" customWidth="1"/>
    <col min="1338" max="1339" width="8" style="11" customWidth="1"/>
    <col min="1340" max="1340" width="2.6640625" style="11" customWidth="1"/>
    <col min="1341" max="1342" width="8.88671875" style="11"/>
    <col min="1343" max="1343" width="10.44140625" style="11" bestFit="1" customWidth="1"/>
    <col min="1344" max="1344" width="10.5546875" style="11" bestFit="1" customWidth="1"/>
    <col min="1345" max="1345" width="7.33203125" style="11" bestFit="1" customWidth="1"/>
    <col min="1346" max="1346" width="7.44140625" style="11" bestFit="1" customWidth="1"/>
    <col min="1347" max="1347" width="10.33203125" style="11" customWidth="1"/>
    <col min="1348" max="1348" width="8.88671875" style="11"/>
    <col min="1349" max="1349" width="4.88671875" style="11" bestFit="1" customWidth="1"/>
    <col min="1350" max="1350" width="5.5546875" style="11" customWidth="1"/>
    <col min="1351" max="1536" width="8.88671875" style="11"/>
    <col min="1537" max="1537" width="8.5546875" style="11" customWidth="1"/>
    <col min="1538" max="1538" width="6.44140625" style="11" customWidth="1"/>
    <col min="1539" max="1539" width="6.5546875" style="11" customWidth="1"/>
    <col min="1540" max="1540" width="5.5546875" style="11" customWidth="1"/>
    <col min="1541" max="1541" width="7.109375" style="11" customWidth="1"/>
    <col min="1542" max="1542" width="7.33203125" style="11" customWidth="1"/>
    <col min="1543" max="1543" width="5.6640625" style="11" customWidth="1"/>
    <col min="1544" max="1544" width="5.88671875" style="11" bestFit="1" customWidth="1"/>
    <col min="1545" max="1545" width="6.5546875" style="11" customWidth="1"/>
    <col min="1546" max="1546" width="8" style="11" customWidth="1"/>
    <col min="1547" max="1547" width="7.5546875" style="11" customWidth="1"/>
    <col min="1548" max="1548" width="6.109375" style="11" customWidth="1"/>
    <col min="1549" max="1550" width="8.88671875" style="11"/>
    <col min="1551" max="1551" width="8.33203125" style="11" customWidth="1"/>
    <col min="1552" max="1552" width="7.6640625" style="11" customWidth="1"/>
    <col min="1553" max="1553" width="8.33203125" style="11" customWidth="1"/>
    <col min="1554" max="1554" width="6.6640625" style="11" customWidth="1"/>
    <col min="1555" max="1556" width="8.109375" style="11" customWidth="1"/>
    <col min="1557" max="1557" width="6.6640625" style="11" customWidth="1"/>
    <col min="1558" max="1558" width="6.5546875" style="11" customWidth="1"/>
    <col min="1559" max="1559" width="5.88671875" style="11" customWidth="1"/>
    <col min="1560" max="1560" width="6.33203125" style="11" customWidth="1"/>
    <col min="1561" max="1561" width="7.33203125" style="11" customWidth="1"/>
    <col min="1562" max="1562" width="6.88671875" style="11" customWidth="1"/>
    <col min="1563" max="1565" width="6.6640625" style="11" customWidth="1"/>
    <col min="1566" max="1570" width="6.33203125" style="11" customWidth="1"/>
    <col min="1571" max="1571" width="15.33203125" style="11" bestFit="1" customWidth="1"/>
    <col min="1572" max="1574" width="6.33203125" style="11" customWidth="1"/>
    <col min="1575" max="1575" width="6.6640625" style="11" customWidth="1"/>
    <col min="1576" max="1577" width="6.33203125" style="11" customWidth="1"/>
    <col min="1578" max="1578" width="0" style="11" hidden="1" customWidth="1"/>
    <col min="1579" max="1579" width="7.109375" style="11" customWidth="1"/>
    <col min="1580" max="1582" width="6.33203125" style="11" customWidth="1"/>
    <col min="1583" max="1583" width="4.88671875" style="11" customWidth="1"/>
    <col min="1584" max="1584" width="4.6640625" style="11" customWidth="1"/>
    <col min="1585" max="1585" width="6.33203125" style="11" customWidth="1"/>
    <col min="1586" max="1587" width="6.6640625" style="11" customWidth="1"/>
    <col min="1588" max="1590" width="6.33203125" style="11" customWidth="1"/>
    <col min="1591" max="1591" width="5.5546875" style="11" customWidth="1"/>
    <col min="1592" max="1592" width="4.6640625" style="11" customWidth="1"/>
    <col min="1593" max="1593" width="8.33203125" style="11" customWidth="1"/>
    <col min="1594" max="1595" width="8" style="11" customWidth="1"/>
    <col min="1596" max="1596" width="2.6640625" style="11" customWidth="1"/>
    <col min="1597" max="1598" width="8.88671875" style="11"/>
    <col min="1599" max="1599" width="10.44140625" style="11" bestFit="1" customWidth="1"/>
    <col min="1600" max="1600" width="10.5546875" style="11" bestFit="1" customWidth="1"/>
    <col min="1601" max="1601" width="7.33203125" style="11" bestFit="1" customWidth="1"/>
    <col min="1602" max="1602" width="7.44140625" style="11" bestFit="1" customWidth="1"/>
    <col min="1603" max="1603" width="10.33203125" style="11" customWidth="1"/>
    <col min="1604" max="1604" width="8.88671875" style="11"/>
    <col min="1605" max="1605" width="4.88671875" style="11" bestFit="1" customWidth="1"/>
    <col min="1606" max="1606" width="5.5546875" style="11" customWidth="1"/>
    <col min="1607" max="1792" width="8.88671875" style="11"/>
    <col min="1793" max="1793" width="8.5546875" style="11" customWidth="1"/>
    <col min="1794" max="1794" width="6.44140625" style="11" customWidth="1"/>
    <col min="1795" max="1795" width="6.5546875" style="11" customWidth="1"/>
    <col min="1796" max="1796" width="5.5546875" style="11" customWidth="1"/>
    <col min="1797" max="1797" width="7.109375" style="11" customWidth="1"/>
    <col min="1798" max="1798" width="7.33203125" style="11" customWidth="1"/>
    <col min="1799" max="1799" width="5.6640625" style="11" customWidth="1"/>
    <col min="1800" max="1800" width="5.88671875" style="11" bestFit="1" customWidth="1"/>
    <col min="1801" max="1801" width="6.5546875" style="11" customWidth="1"/>
    <col min="1802" max="1802" width="8" style="11" customWidth="1"/>
    <col min="1803" max="1803" width="7.5546875" style="11" customWidth="1"/>
    <col min="1804" max="1804" width="6.109375" style="11" customWidth="1"/>
    <col min="1805" max="1806" width="8.88671875" style="11"/>
    <col min="1807" max="1807" width="8.33203125" style="11" customWidth="1"/>
    <col min="1808" max="1808" width="7.6640625" style="11" customWidth="1"/>
    <col min="1809" max="1809" width="8.33203125" style="11" customWidth="1"/>
    <col min="1810" max="1810" width="6.6640625" style="11" customWidth="1"/>
    <col min="1811" max="1812" width="8.109375" style="11" customWidth="1"/>
    <col min="1813" max="1813" width="6.6640625" style="11" customWidth="1"/>
    <col min="1814" max="1814" width="6.5546875" style="11" customWidth="1"/>
    <col min="1815" max="1815" width="5.88671875" style="11" customWidth="1"/>
    <col min="1816" max="1816" width="6.33203125" style="11" customWidth="1"/>
    <col min="1817" max="1817" width="7.33203125" style="11" customWidth="1"/>
    <col min="1818" max="1818" width="6.88671875" style="11" customWidth="1"/>
    <col min="1819" max="1821" width="6.6640625" style="11" customWidth="1"/>
    <col min="1822" max="1826" width="6.33203125" style="11" customWidth="1"/>
    <col min="1827" max="1827" width="15.33203125" style="11" bestFit="1" customWidth="1"/>
    <col min="1828" max="1830" width="6.33203125" style="11" customWidth="1"/>
    <col min="1831" max="1831" width="6.6640625" style="11" customWidth="1"/>
    <col min="1832" max="1833" width="6.33203125" style="11" customWidth="1"/>
    <col min="1834" max="1834" width="0" style="11" hidden="1" customWidth="1"/>
    <col min="1835" max="1835" width="7.109375" style="11" customWidth="1"/>
    <col min="1836" max="1838" width="6.33203125" style="11" customWidth="1"/>
    <col min="1839" max="1839" width="4.88671875" style="11" customWidth="1"/>
    <col min="1840" max="1840" width="4.6640625" style="11" customWidth="1"/>
    <col min="1841" max="1841" width="6.33203125" style="11" customWidth="1"/>
    <col min="1842" max="1843" width="6.6640625" style="11" customWidth="1"/>
    <col min="1844" max="1846" width="6.33203125" style="11" customWidth="1"/>
    <col min="1847" max="1847" width="5.5546875" style="11" customWidth="1"/>
    <col min="1848" max="1848" width="4.6640625" style="11" customWidth="1"/>
    <col min="1849" max="1849" width="8.33203125" style="11" customWidth="1"/>
    <col min="1850" max="1851" width="8" style="11" customWidth="1"/>
    <col min="1852" max="1852" width="2.6640625" style="11" customWidth="1"/>
    <col min="1853" max="1854" width="8.88671875" style="11"/>
    <col min="1855" max="1855" width="10.44140625" style="11" bestFit="1" customWidth="1"/>
    <col min="1856" max="1856" width="10.5546875" style="11" bestFit="1" customWidth="1"/>
    <col min="1857" max="1857" width="7.33203125" style="11" bestFit="1" customWidth="1"/>
    <col min="1858" max="1858" width="7.44140625" style="11" bestFit="1" customWidth="1"/>
    <col min="1859" max="1859" width="10.33203125" style="11" customWidth="1"/>
    <col min="1860" max="1860" width="8.88671875" style="11"/>
    <col min="1861" max="1861" width="4.88671875" style="11" bestFit="1" customWidth="1"/>
    <col min="1862" max="1862" width="5.5546875" style="11" customWidth="1"/>
    <col min="1863" max="2048" width="8.88671875" style="11"/>
    <col min="2049" max="2049" width="8.5546875" style="11" customWidth="1"/>
    <col min="2050" max="2050" width="6.44140625" style="11" customWidth="1"/>
    <col min="2051" max="2051" width="6.5546875" style="11" customWidth="1"/>
    <col min="2052" max="2052" width="5.5546875" style="11" customWidth="1"/>
    <col min="2053" max="2053" width="7.109375" style="11" customWidth="1"/>
    <col min="2054" max="2054" width="7.33203125" style="11" customWidth="1"/>
    <col min="2055" max="2055" width="5.6640625" style="11" customWidth="1"/>
    <col min="2056" max="2056" width="5.88671875" style="11" bestFit="1" customWidth="1"/>
    <col min="2057" max="2057" width="6.5546875" style="11" customWidth="1"/>
    <col min="2058" max="2058" width="8" style="11" customWidth="1"/>
    <col min="2059" max="2059" width="7.5546875" style="11" customWidth="1"/>
    <col min="2060" max="2060" width="6.109375" style="11" customWidth="1"/>
    <col min="2061" max="2062" width="8.88671875" style="11"/>
    <col min="2063" max="2063" width="8.33203125" style="11" customWidth="1"/>
    <col min="2064" max="2064" width="7.6640625" style="11" customWidth="1"/>
    <col min="2065" max="2065" width="8.33203125" style="11" customWidth="1"/>
    <col min="2066" max="2066" width="6.6640625" style="11" customWidth="1"/>
    <col min="2067" max="2068" width="8.109375" style="11" customWidth="1"/>
    <col min="2069" max="2069" width="6.6640625" style="11" customWidth="1"/>
    <col min="2070" max="2070" width="6.5546875" style="11" customWidth="1"/>
    <col min="2071" max="2071" width="5.88671875" style="11" customWidth="1"/>
    <col min="2072" max="2072" width="6.33203125" style="11" customWidth="1"/>
    <col min="2073" max="2073" width="7.33203125" style="11" customWidth="1"/>
    <col min="2074" max="2074" width="6.88671875" style="11" customWidth="1"/>
    <col min="2075" max="2077" width="6.6640625" style="11" customWidth="1"/>
    <col min="2078" max="2082" width="6.33203125" style="11" customWidth="1"/>
    <col min="2083" max="2083" width="15.33203125" style="11" bestFit="1" customWidth="1"/>
    <col min="2084" max="2086" width="6.33203125" style="11" customWidth="1"/>
    <col min="2087" max="2087" width="6.6640625" style="11" customWidth="1"/>
    <col min="2088" max="2089" width="6.33203125" style="11" customWidth="1"/>
    <col min="2090" max="2090" width="0" style="11" hidden="1" customWidth="1"/>
    <col min="2091" max="2091" width="7.109375" style="11" customWidth="1"/>
    <col min="2092" max="2094" width="6.33203125" style="11" customWidth="1"/>
    <col min="2095" max="2095" width="4.88671875" style="11" customWidth="1"/>
    <col min="2096" max="2096" width="4.6640625" style="11" customWidth="1"/>
    <col min="2097" max="2097" width="6.33203125" style="11" customWidth="1"/>
    <col min="2098" max="2099" width="6.6640625" style="11" customWidth="1"/>
    <col min="2100" max="2102" width="6.33203125" style="11" customWidth="1"/>
    <col min="2103" max="2103" width="5.5546875" style="11" customWidth="1"/>
    <col min="2104" max="2104" width="4.6640625" style="11" customWidth="1"/>
    <col min="2105" max="2105" width="8.33203125" style="11" customWidth="1"/>
    <col min="2106" max="2107" width="8" style="11" customWidth="1"/>
    <col min="2108" max="2108" width="2.6640625" style="11" customWidth="1"/>
    <col min="2109" max="2110" width="8.88671875" style="11"/>
    <col min="2111" max="2111" width="10.44140625" style="11" bestFit="1" customWidth="1"/>
    <col min="2112" max="2112" width="10.5546875" style="11" bestFit="1" customWidth="1"/>
    <col min="2113" max="2113" width="7.33203125" style="11" bestFit="1" customWidth="1"/>
    <col min="2114" max="2114" width="7.44140625" style="11" bestFit="1" customWidth="1"/>
    <col min="2115" max="2115" width="10.33203125" style="11" customWidth="1"/>
    <col min="2116" max="2116" width="8.88671875" style="11"/>
    <col min="2117" max="2117" width="4.88671875" style="11" bestFit="1" customWidth="1"/>
    <col min="2118" max="2118" width="5.5546875" style="11" customWidth="1"/>
    <col min="2119" max="2304" width="8.88671875" style="11"/>
    <col min="2305" max="2305" width="8.5546875" style="11" customWidth="1"/>
    <col min="2306" max="2306" width="6.44140625" style="11" customWidth="1"/>
    <col min="2307" max="2307" width="6.5546875" style="11" customWidth="1"/>
    <col min="2308" max="2308" width="5.5546875" style="11" customWidth="1"/>
    <col min="2309" max="2309" width="7.109375" style="11" customWidth="1"/>
    <col min="2310" max="2310" width="7.33203125" style="11" customWidth="1"/>
    <col min="2311" max="2311" width="5.6640625" style="11" customWidth="1"/>
    <col min="2312" max="2312" width="5.88671875" style="11" bestFit="1" customWidth="1"/>
    <col min="2313" max="2313" width="6.5546875" style="11" customWidth="1"/>
    <col min="2314" max="2314" width="8" style="11" customWidth="1"/>
    <col min="2315" max="2315" width="7.5546875" style="11" customWidth="1"/>
    <col min="2316" max="2316" width="6.109375" style="11" customWidth="1"/>
    <col min="2317" max="2318" width="8.88671875" style="11"/>
    <col min="2319" max="2319" width="8.33203125" style="11" customWidth="1"/>
    <col min="2320" max="2320" width="7.6640625" style="11" customWidth="1"/>
    <col min="2321" max="2321" width="8.33203125" style="11" customWidth="1"/>
    <col min="2322" max="2322" width="6.6640625" style="11" customWidth="1"/>
    <col min="2323" max="2324" width="8.109375" style="11" customWidth="1"/>
    <col min="2325" max="2325" width="6.6640625" style="11" customWidth="1"/>
    <col min="2326" max="2326" width="6.5546875" style="11" customWidth="1"/>
    <col min="2327" max="2327" width="5.88671875" style="11" customWidth="1"/>
    <col min="2328" max="2328" width="6.33203125" style="11" customWidth="1"/>
    <col min="2329" max="2329" width="7.33203125" style="11" customWidth="1"/>
    <col min="2330" max="2330" width="6.88671875" style="11" customWidth="1"/>
    <col min="2331" max="2333" width="6.6640625" style="11" customWidth="1"/>
    <col min="2334" max="2338" width="6.33203125" style="11" customWidth="1"/>
    <col min="2339" max="2339" width="15.33203125" style="11" bestFit="1" customWidth="1"/>
    <col min="2340" max="2342" width="6.33203125" style="11" customWidth="1"/>
    <col min="2343" max="2343" width="6.6640625" style="11" customWidth="1"/>
    <col min="2344" max="2345" width="6.33203125" style="11" customWidth="1"/>
    <col min="2346" max="2346" width="0" style="11" hidden="1" customWidth="1"/>
    <col min="2347" max="2347" width="7.109375" style="11" customWidth="1"/>
    <col min="2348" max="2350" width="6.33203125" style="11" customWidth="1"/>
    <col min="2351" max="2351" width="4.88671875" style="11" customWidth="1"/>
    <col min="2352" max="2352" width="4.6640625" style="11" customWidth="1"/>
    <col min="2353" max="2353" width="6.33203125" style="11" customWidth="1"/>
    <col min="2354" max="2355" width="6.6640625" style="11" customWidth="1"/>
    <col min="2356" max="2358" width="6.33203125" style="11" customWidth="1"/>
    <col min="2359" max="2359" width="5.5546875" style="11" customWidth="1"/>
    <col min="2360" max="2360" width="4.6640625" style="11" customWidth="1"/>
    <col min="2361" max="2361" width="8.33203125" style="11" customWidth="1"/>
    <col min="2362" max="2363" width="8" style="11" customWidth="1"/>
    <col min="2364" max="2364" width="2.6640625" style="11" customWidth="1"/>
    <col min="2365" max="2366" width="8.88671875" style="11"/>
    <col min="2367" max="2367" width="10.44140625" style="11" bestFit="1" customWidth="1"/>
    <col min="2368" max="2368" width="10.5546875" style="11" bestFit="1" customWidth="1"/>
    <col min="2369" max="2369" width="7.33203125" style="11" bestFit="1" customWidth="1"/>
    <col min="2370" max="2370" width="7.44140625" style="11" bestFit="1" customWidth="1"/>
    <col min="2371" max="2371" width="10.33203125" style="11" customWidth="1"/>
    <col min="2372" max="2372" width="8.88671875" style="11"/>
    <col min="2373" max="2373" width="4.88671875" style="11" bestFit="1" customWidth="1"/>
    <col min="2374" max="2374" width="5.5546875" style="11" customWidth="1"/>
    <col min="2375" max="2560" width="8.88671875" style="11"/>
    <col min="2561" max="2561" width="8.5546875" style="11" customWidth="1"/>
    <col min="2562" max="2562" width="6.44140625" style="11" customWidth="1"/>
    <col min="2563" max="2563" width="6.5546875" style="11" customWidth="1"/>
    <col min="2564" max="2564" width="5.5546875" style="11" customWidth="1"/>
    <col min="2565" max="2565" width="7.109375" style="11" customWidth="1"/>
    <col min="2566" max="2566" width="7.33203125" style="11" customWidth="1"/>
    <col min="2567" max="2567" width="5.6640625" style="11" customWidth="1"/>
    <col min="2568" max="2568" width="5.88671875" style="11" bestFit="1" customWidth="1"/>
    <col min="2569" max="2569" width="6.5546875" style="11" customWidth="1"/>
    <col min="2570" max="2570" width="8" style="11" customWidth="1"/>
    <col min="2571" max="2571" width="7.5546875" style="11" customWidth="1"/>
    <col min="2572" max="2572" width="6.109375" style="11" customWidth="1"/>
    <col min="2573" max="2574" width="8.88671875" style="11"/>
    <col min="2575" max="2575" width="8.33203125" style="11" customWidth="1"/>
    <col min="2576" max="2576" width="7.6640625" style="11" customWidth="1"/>
    <col min="2577" max="2577" width="8.33203125" style="11" customWidth="1"/>
    <col min="2578" max="2578" width="6.6640625" style="11" customWidth="1"/>
    <col min="2579" max="2580" width="8.109375" style="11" customWidth="1"/>
    <col min="2581" max="2581" width="6.6640625" style="11" customWidth="1"/>
    <col min="2582" max="2582" width="6.5546875" style="11" customWidth="1"/>
    <col min="2583" max="2583" width="5.88671875" style="11" customWidth="1"/>
    <col min="2584" max="2584" width="6.33203125" style="11" customWidth="1"/>
    <col min="2585" max="2585" width="7.33203125" style="11" customWidth="1"/>
    <col min="2586" max="2586" width="6.88671875" style="11" customWidth="1"/>
    <col min="2587" max="2589" width="6.6640625" style="11" customWidth="1"/>
    <col min="2590" max="2594" width="6.33203125" style="11" customWidth="1"/>
    <col min="2595" max="2595" width="15.33203125" style="11" bestFit="1" customWidth="1"/>
    <col min="2596" max="2598" width="6.33203125" style="11" customWidth="1"/>
    <col min="2599" max="2599" width="6.6640625" style="11" customWidth="1"/>
    <col min="2600" max="2601" width="6.33203125" style="11" customWidth="1"/>
    <col min="2602" max="2602" width="0" style="11" hidden="1" customWidth="1"/>
    <col min="2603" max="2603" width="7.109375" style="11" customWidth="1"/>
    <col min="2604" max="2606" width="6.33203125" style="11" customWidth="1"/>
    <col min="2607" max="2607" width="4.88671875" style="11" customWidth="1"/>
    <col min="2608" max="2608" width="4.6640625" style="11" customWidth="1"/>
    <col min="2609" max="2609" width="6.33203125" style="11" customWidth="1"/>
    <col min="2610" max="2611" width="6.6640625" style="11" customWidth="1"/>
    <col min="2612" max="2614" width="6.33203125" style="11" customWidth="1"/>
    <col min="2615" max="2615" width="5.5546875" style="11" customWidth="1"/>
    <col min="2616" max="2616" width="4.6640625" style="11" customWidth="1"/>
    <col min="2617" max="2617" width="8.33203125" style="11" customWidth="1"/>
    <col min="2618" max="2619" width="8" style="11" customWidth="1"/>
    <col min="2620" max="2620" width="2.6640625" style="11" customWidth="1"/>
    <col min="2621" max="2622" width="8.88671875" style="11"/>
    <col min="2623" max="2623" width="10.44140625" style="11" bestFit="1" customWidth="1"/>
    <col min="2624" max="2624" width="10.5546875" style="11" bestFit="1" customWidth="1"/>
    <col min="2625" max="2625" width="7.33203125" style="11" bestFit="1" customWidth="1"/>
    <col min="2626" max="2626" width="7.44140625" style="11" bestFit="1" customWidth="1"/>
    <col min="2627" max="2627" width="10.33203125" style="11" customWidth="1"/>
    <col min="2628" max="2628" width="8.88671875" style="11"/>
    <col min="2629" max="2629" width="4.88671875" style="11" bestFit="1" customWidth="1"/>
    <col min="2630" max="2630" width="5.5546875" style="11" customWidth="1"/>
    <col min="2631" max="2816" width="8.88671875" style="11"/>
    <col min="2817" max="2817" width="8.5546875" style="11" customWidth="1"/>
    <col min="2818" max="2818" width="6.44140625" style="11" customWidth="1"/>
    <col min="2819" max="2819" width="6.5546875" style="11" customWidth="1"/>
    <col min="2820" max="2820" width="5.5546875" style="11" customWidth="1"/>
    <col min="2821" max="2821" width="7.109375" style="11" customWidth="1"/>
    <col min="2822" max="2822" width="7.33203125" style="11" customWidth="1"/>
    <col min="2823" max="2823" width="5.6640625" style="11" customWidth="1"/>
    <col min="2824" max="2824" width="5.88671875" style="11" bestFit="1" customWidth="1"/>
    <col min="2825" max="2825" width="6.5546875" style="11" customWidth="1"/>
    <col min="2826" max="2826" width="8" style="11" customWidth="1"/>
    <col min="2827" max="2827" width="7.5546875" style="11" customWidth="1"/>
    <col min="2828" max="2828" width="6.109375" style="11" customWidth="1"/>
    <col min="2829" max="2830" width="8.88671875" style="11"/>
    <col min="2831" max="2831" width="8.33203125" style="11" customWidth="1"/>
    <col min="2832" max="2832" width="7.6640625" style="11" customWidth="1"/>
    <col min="2833" max="2833" width="8.33203125" style="11" customWidth="1"/>
    <col min="2834" max="2834" width="6.6640625" style="11" customWidth="1"/>
    <col min="2835" max="2836" width="8.109375" style="11" customWidth="1"/>
    <col min="2837" max="2837" width="6.6640625" style="11" customWidth="1"/>
    <col min="2838" max="2838" width="6.5546875" style="11" customWidth="1"/>
    <col min="2839" max="2839" width="5.88671875" style="11" customWidth="1"/>
    <col min="2840" max="2840" width="6.33203125" style="11" customWidth="1"/>
    <col min="2841" max="2841" width="7.33203125" style="11" customWidth="1"/>
    <col min="2842" max="2842" width="6.88671875" style="11" customWidth="1"/>
    <col min="2843" max="2845" width="6.6640625" style="11" customWidth="1"/>
    <col min="2846" max="2850" width="6.33203125" style="11" customWidth="1"/>
    <col min="2851" max="2851" width="15.33203125" style="11" bestFit="1" customWidth="1"/>
    <col min="2852" max="2854" width="6.33203125" style="11" customWidth="1"/>
    <col min="2855" max="2855" width="6.6640625" style="11" customWidth="1"/>
    <col min="2856" max="2857" width="6.33203125" style="11" customWidth="1"/>
    <col min="2858" max="2858" width="0" style="11" hidden="1" customWidth="1"/>
    <col min="2859" max="2859" width="7.109375" style="11" customWidth="1"/>
    <col min="2860" max="2862" width="6.33203125" style="11" customWidth="1"/>
    <col min="2863" max="2863" width="4.88671875" style="11" customWidth="1"/>
    <col min="2864" max="2864" width="4.6640625" style="11" customWidth="1"/>
    <col min="2865" max="2865" width="6.33203125" style="11" customWidth="1"/>
    <col min="2866" max="2867" width="6.6640625" style="11" customWidth="1"/>
    <col min="2868" max="2870" width="6.33203125" style="11" customWidth="1"/>
    <col min="2871" max="2871" width="5.5546875" style="11" customWidth="1"/>
    <col min="2872" max="2872" width="4.6640625" style="11" customWidth="1"/>
    <col min="2873" max="2873" width="8.33203125" style="11" customWidth="1"/>
    <col min="2874" max="2875" width="8" style="11" customWidth="1"/>
    <col min="2876" max="2876" width="2.6640625" style="11" customWidth="1"/>
    <col min="2877" max="2878" width="8.88671875" style="11"/>
    <col min="2879" max="2879" width="10.44140625" style="11" bestFit="1" customWidth="1"/>
    <col min="2880" max="2880" width="10.5546875" style="11" bestFit="1" customWidth="1"/>
    <col min="2881" max="2881" width="7.33203125" style="11" bestFit="1" customWidth="1"/>
    <col min="2882" max="2882" width="7.44140625" style="11" bestFit="1" customWidth="1"/>
    <col min="2883" max="2883" width="10.33203125" style="11" customWidth="1"/>
    <col min="2884" max="2884" width="8.88671875" style="11"/>
    <col min="2885" max="2885" width="4.88671875" style="11" bestFit="1" customWidth="1"/>
    <col min="2886" max="2886" width="5.5546875" style="11" customWidth="1"/>
    <col min="2887" max="3072" width="8.88671875" style="11"/>
    <col min="3073" max="3073" width="8.5546875" style="11" customWidth="1"/>
    <col min="3074" max="3074" width="6.44140625" style="11" customWidth="1"/>
    <col min="3075" max="3075" width="6.5546875" style="11" customWidth="1"/>
    <col min="3076" max="3076" width="5.5546875" style="11" customWidth="1"/>
    <col min="3077" max="3077" width="7.109375" style="11" customWidth="1"/>
    <col min="3078" max="3078" width="7.33203125" style="11" customWidth="1"/>
    <col min="3079" max="3079" width="5.6640625" style="11" customWidth="1"/>
    <col min="3080" max="3080" width="5.88671875" style="11" bestFit="1" customWidth="1"/>
    <col min="3081" max="3081" width="6.5546875" style="11" customWidth="1"/>
    <col min="3082" max="3082" width="8" style="11" customWidth="1"/>
    <col min="3083" max="3083" width="7.5546875" style="11" customWidth="1"/>
    <col min="3084" max="3084" width="6.109375" style="11" customWidth="1"/>
    <col min="3085" max="3086" width="8.88671875" style="11"/>
    <col min="3087" max="3087" width="8.33203125" style="11" customWidth="1"/>
    <col min="3088" max="3088" width="7.6640625" style="11" customWidth="1"/>
    <col min="3089" max="3089" width="8.33203125" style="11" customWidth="1"/>
    <col min="3090" max="3090" width="6.6640625" style="11" customWidth="1"/>
    <col min="3091" max="3092" width="8.109375" style="11" customWidth="1"/>
    <col min="3093" max="3093" width="6.6640625" style="11" customWidth="1"/>
    <col min="3094" max="3094" width="6.5546875" style="11" customWidth="1"/>
    <col min="3095" max="3095" width="5.88671875" style="11" customWidth="1"/>
    <col min="3096" max="3096" width="6.33203125" style="11" customWidth="1"/>
    <col min="3097" max="3097" width="7.33203125" style="11" customWidth="1"/>
    <col min="3098" max="3098" width="6.88671875" style="11" customWidth="1"/>
    <col min="3099" max="3101" width="6.6640625" style="11" customWidth="1"/>
    <col min="3102" max="3106" width="6.33203125" style="11" customWidth="1"/>
    <col min="3107" max="3107" width="15.33203125" style="11" bestFit="1" customWidth="1"/>
    <col min="3108" max="3110" width="6.33203125" style="11" customWidth="1"/>
    <col min="3111" max="3111" width="6.6640625" style="11" customWidth="1"/>
    <col min="3112" max="3113" width="6.33203125" style="11" customWidth="1"/>
    <col min="3114" max="3114" width="0" style="11" hidden="1" customWidth="1"/>
    <col min="3115" max="3115" width="7.109375" style="11" customWidth="1"/>
    <col min="3116" max="3118" width="6.33203125" style="11" customWidth="1"/>
    <col min="3119" max="3119" width="4.88671875" style="11" customWidth="1"/>
    <col min="3120" max="3120" width="4.6640625" style="11" customWidth="1"/>
    <col min="3121" max="3121" width="6.33203125" style="11" customWidth="1"/>
    <col min="3122" max="3123" width="6.6640625" style="11" customWidth="1"/>
    <col min="3124" max="3126" width="6.33203125" style="11" customWidth="1"/>
    <col min="3127" max="3127" width="5.5546875" style="11" customWidth="1"/>
    <col min="3128" max="3128" width="4.6640625" style="11" customWidth="1"/>
    <col min="3129" max="3129" width="8.33203125" style="11" customWidth="1"/>
    <col min="3130" max="3131" width="8" style="11" customWidth="1"/>
    <col min="3132" max="3132" width="2.6640625" style="11" customWidth="1"/>
    <col min="3133" max="3134" width="8.88671875" style="11"/>
    <col min="3135" max="3135" width="10.44140625" style="11" bestFit="1" customWidth="1"/>
    <col min="3136" max="3136" width="10.5546875" style="11" bestFit="1" customWidth="1"/>
    <col min="3137" max="3137" width="7.33203125" style="11" bestFit="1" customWidth="1"/>
    <col min="3138" max="3138" width="7.44140625" style="11" bestFit="1" customWidth="1"/>
    <col min="3139" max="3139" width="10.33203125" style="11" customWidth="1"/>
    <col min="3140" max="3140" width="8.88671875" style="11"/>
    <col min="3141" max="3141" width="4.88671875" style="11" bestFit="1" customWidth="1"/>
    <col min="3142" max="3142" width="5.5546875" style="11" customWidth="1"/>
    <col min="3143" max="3328" width="8.88671875" style="11"/>
    <col min="3329" max="3329" width="8.5546875" style="11" customWidth="1"/>
    <col min="3330" max="3330" width="6.44140625" style="11" customWidth="1"/>
    <col min="3331" max="3331" width="6.5546875" style="11" customWidth="1"/>
    <col min="3332" max="3332" width="5.5546875" style="11" customWidth="1"/>
    <col min="3333" max="3333" width="7.109375" style="11" customWidth="1"/>
    <col min="3334" max="3334" width="7.33203125" style="11" customWidth="1"/>
    <col min="3335" max="3335" width="5.6640625" style="11" customWidth="1"/>
    <col min="3336" max="3336" width="5.88671875" style="11" bestFit="1" customWidth="1"/>
    <col min="3337" max="3337" width="6.5546875" style="11" customWidth="1"/>
    <col min="3338" max="3338" width="8" style="11" customWidth="1"/>
    <col min="3339" max="3339" width="7.5546875" style="11" customWidth="1"/>
    <col min="3340" max="3340" width="6.109375" style="11" customWidth="1"/>
    <col min="3341" max="3342" width="8.88671875" style="11"/>
    <col min="3343" max="3343" width="8.33203125" style="11" customWidth="1"/>
    <col min="3344" max="3344" width="7.6640625" style="11" customWidth="1"/>
    <col min="3345" max="3345" width="8.33203125" style="11" customWidth="1"/>
    <col min="3346" max="3346" width="6.6640625" style="11" customWidth="1"/>
    <col min="3347" max="3348" width="8.109375" style="11" customWidth="1"/>
    <col min="3349" max="3349" width="6.6640625" style="11" customWidth="1"/>
    <col min="3350" max="3350" width="6.5546875" style="11" customWidth="1"/>
    <col min="3351" max="3351" width="5.88671875" style="11" customWidth="1"/>
    <col min="3352" max="3352" width="6.33203125" style="11" customWidth="1"/>
    <col min="3353" max="3353" width="7.33203125" style="11" customWidth="1"/>
    <col min="3354" max="3354" width="6.88671875" style="11" customWidth="1"/>
    <col min="3355" max="3357" width="6.6640625" style="11" customWidth="1"/>
    <col min="3358" max="3362" width="6.33203125" style="11" customWidth="1"/>
    <col min="3363" max="3363" width="15.33203125" style="11" bestFit="1" customWidth="1"/>
    <col min="3364" max="3366" width="6.33203125" style="11" customWidth="1"/>
    <col min="3367" max="3367" width="6.6640625" style="11" customWidth="1"/>
    <col min="3368" max="3369" width="6.33203125" style="11" customWidth="1"/>
    <col min="3370" max="3370" width="0" style="11" hidden="1" customWidth="1"/>
    <col min="3371" max="3371" width="7.109375" style="11" customWidth="1"/>
    <col min="3372" max="3374" width="6.33203125" style="11" customWidth="1"/>
    <col min="3375" max="3375" width="4.88671875" style="11" customWidth="1"/>
    <col min="3376" max="3376" width="4.6640625" style="11" customWidth="1"/>
    <col min="3377" max="3377" width="6.33203125" style="11" customWidth="1"/>
    <col min="3378" max="3379" width="6.6640625" style="11" customWidth="1"/>
    <col min="3380" max="3382" width="6.33203125" style="11" customWidth="1"/>
    <col min="3383" max="3383" width="5.5546875" style="11" customWidth="1"/>
    <col min="3384" max="3384" width="4.6640625" style="11" customWidth="1"/>
    <col min="3385" max="3385" width="8.33203125" style="11" customWidth="1"/>
    <col min="3386" max="3387" width="8" style="11" customWidth="1"/>
    <col min="3388" max="3388" width="2.6640625" style="11" customWidth="1"/>
    <col min="3389" max="3390" width="8.88671875" style="11"/>
    <col min="3391" max="3391" width="10.44140625" style="11" bestFit="1" customWidth="1"/>
    <col min="3392" max="3392" width="10.5546875" style="11" bestFit="1" customWidth="1"/>
    <col min="3393" max="3393" width="7.33203125" style="11" bestFit="1" customWidth="1"/>
    <col min="3394" max="3394" width="7.44140625" style="11" bestFit="1" customWidth="1"/>
    <col min="3395" max="3395" width="10.33203125" style="11" customWidth="1"/>
    <col min="3396" max="3396" width="8.88671875" style="11"/>
    <col min="3397" max="3397" width="4.88671875" style="11" bestFit="1" customWidth="1"/>
    <col min="3398" max="3398" width="5.5546875" style="11" customWidth="1"/>
    <col min="3399" max="3584" width="8.88671875" style="11"/>
    <col min="3585" max="3585" width="8.5546875" style="11" customWidth="1"/>
    <col min="3586" max="3586" width="6.44140625" style="11" customWidth="1"/>
    <col min="3587" max="3587" width="6.5546875" style="11" customWidth="1"/>
    <col min="3588" max="3588" width="5.5546875" style="11" customWidth="1"/>
    <col min="3589" max="3589" width="7.109375" style="11" customWidth="1"/>
    <col min="3590" max="3590" width="7.33203125" style="11" customWidth="1"/>
    <col min="3591" max="3591" width="5.6640625" style="11" customWidth="1"/>
    <col min="3592" max="3592" width="5.88671875" style="11" bestFit="1" customWidth="1"/>
    <col min="3593" max="3593" width="6.5546875" style="11" customWidth="1"/>
    <col min="3594" max="3594" width="8" style="11" customWidth="1"/>
    <col min="3595" max="3595" width="7.5546875" style="11" customWidth="1"/>
    <col min="3596" max="3596" width="6.109375" style="11" customWidth="1"/>
    <col min="3597" max="3598" width="8.88671875" style="11"/>
    <col min="3599" max="3599" width="8.33203125" style="11" customWidth="1"/>
    <col min="3600" max="3600" width="7.6640625" style="11" customWidth="1"/>
    <col min="3601" max="3601" width="8.33203125" style="11" customWidth="1"/>
    <col min="3602" max="3602" width="6.6640625" style="11" customWidth="1"/>
    <col min="3603" max="3604" width="8.109375" style="11" customWidth="1"/>
    <col min="3605" max="3605" width="6.6640625" style="11" customWidth="1"/>
    <col min="3606" max="3606" width="6.5546875" style="11" customWidth="1"/>
    <col min="3607" max="3607" width="5.88671875" style="11" customWidth="1"/>
    <col min="3608" max="3608" width="6.33203125" style="11" customWidth="1"/>
    <col min="3609" max="3609" width="7.33203125" style="11" customWidth="1"/>
    <col min="3610" max="3610" width="6.88671875" style="11" customWidth="1"/>
    <col min="3611" max="3613" width="6.6640625" style="11" customWidth="1"/>
    <col min="3614" max="3618" width="6.33203125" style="11" customWidth="1"/>
    <col min="3619" max="3619" width="15.33203125" style="11" bestFit="1" customWidth="1"/>
    <col min="3620" max="3622" width="6.33203125" style="11" customWidth="1"/>
    <col min="3623" max="3623" width="6.6640625" style="11" customWidth="1"/>
    <col min="3624" max="3625" width="6.33203125" style="11" customWidth="1"/>
    <col min="3626" max="3626" width="0" style="11" hidden="1" customWidth="1"/>
    <col min="3627" max="3627" width="7.109375" style="11" customWidth="1"/>
    <col min="3628" max="3630" width="6.33203125" style="11" customWidth="1"/>
    <col min="3631" max="3631" width="4.88671875" style="11" customWidth="1"/>
    <col min="3632" max="3632" width="4.6640625" style="11" customWidth="1"/>
    <col min="3633" max="3633" width="6.33203125" style="11" customWidth="1"/>
    <col min="3634" max="3635" width="6.6640625" style="11" customWidth="1"/>
    <col min="3636" max="3638" width="6.33203125" style="11" customWidth="1"/>
    <col min="3639" max="3639" width="5.5546875" style="11" customWidth="1"/>
    <col min="3640" max="3640" width="4.6640625" style="11" customWidth="1"/>
    <col min="3641" max="3641" width="8.33203125" style="11" customWidth="1"/>
    <col min="3642" max="3643" width="8" style="11" customWidth="1"/>
    <col min="3644" max="3644" width="2.6640625" style="11" customWidth="1"/>
    <col min="3645" max="3646" width="8.88671875" style="11"/>
    <col min="3647" max="3647" width="10.44140625" style="11" bestFit="1" customWidth="1"/>
    <col min="3648" max="3648" width="10.5546875" style="11" bestFit="1" customWidth="1"/>
    <col min="3649" max="3649" width="7.33203125" style="11" bestFit="1" customWidth="1"/>
    <col min="3650" max="3650" width="7.44140625" style="11" bestFit="1" customWidth="1"/>
    <col min="3651" max="3651" width="10.33203125" style="11" customWidth="1"/>
    <col min="3652" max="3652" width="8.88671875" style="11"/>
    <col min="3653" max="3653" width="4.88671875" style="11" bestFit="1" customWidth="1"/>
    <col min="3654" max="3654" width="5.5546875" style="11" customWidth="1"/>
    <col min="3655" max="3840" width="8.88671875" style="11"/>
    <col min="3841" max="3841" width="8.5546875" style="11" customWidth="1"/>
    <col min="3842" max="3842" width="6.44140625" style="11" customWidth="1"/>
    <col min="3843" max="3843" width="6.5546875" style="11" customWidth="1"/>
    <col min="3844" max="3844" width="5.5546875" style="11" customWidth="1"/>
    <col min="3845" max="3845" width="7.109375" style="11" customWidth="1"/>
    <col min="3846" max="3846" width="7.33203125" style="11" customWidth="1"/>
    <col min="3847" max="3847" width="5.6640625" style="11" customWidth="1"/>
    <col min="3848" max="3848" width="5.88671875" style="11" bestFit="1" customWidth="1"/>
    <col min="3849" max="3849" width="6.5546875" style="11" customWidth="1"/>
    <col min="3850" max="3850" width="8" style="11" customWidth="1"/>
    <col min="3851" max="3851" width="7.5546875" style="11" customWidth="1"/>
    <col min="3852" max="3852" width="6.109375" style="11" customWidth="1"/>
    <col min="3853" max="3854" width="8.88671875" style="11"/>
    <col min="3855" max="3855" width="8.33203125" style="11" customWidth="1"/>
    <col min="3856" max="3856" width="7.6640625" style="11" customWidth="1"/>
    <col min="3857" max="3857" width="8.33203125" style="11" customWidth="1"/>
    <col min="3858" max="3858" width="6.6640625" style="11" customWidth="1"/>
    <col min="3859" max="3860" width="8.109375" style="11" customWidth="1"/>
    <col min="3861" max="3861" width="6.6640625" style="11" customWidth="1"/>
    <col min="3862" max="3862" width="6.5546875" style="11" customWidth="1"/>
    <col min="3863" max="3863" width="5.88671875" style="11" customWidth="1"/>
    <col min="3864" max="3864" width="6.33203125" style="11" customWidth="1"/>
    <col min="3865" max="3865" width="7.33203125" style="11" customWidth="1"/>
    <col min="3866" max="3866" width="6.88671875" style="11" customWidth="1"/>
    <col min="3867" max="3869" width="6.6640625" style="11" customWidth="1"/>
    <col min="3870" max="3874" width="6.33203125" style="11" customWidth="1"/>
    <col min="3875" max="3875" width="15.33203125" style="11" bestFit="1" customWidth="1"/>
    <col min="3876" max="3878" width="6.33203125" style="11" customWidth="1"/>
    <col min="3879" max="3879" width="6.6640625" style="11" customWidth="1"/>
    <col min="3880" max="3881" width="6.33203125" style="11" customWidth="1"/>
    <col min="3882" max="3882" width="0" style="11" hidden="1" customWidth="1"/>
    <col min="3883" max="3883" width="7.109375" style="11" customWidth="1"/>
    <col min="3884" max="3886" width="6.33203125" style="11" customWidth="1"/>
    <col min="3887" max="3887" width="4.88671875" style="11" customWidth="1"/>
    <col min="3888" max="3888" width="4.6640625" style="11" customWidth="1"/>
    <col min="3889" max="3889" width="6.33203125" style="11" customWidth="1"/>
    <col min="3890" max="3891" width="6.6640625" style="11" customWidth="1"/>
    <col min="3892" max="3894" width="6.33203125" style="11" customWidth="1"/>
    <col min="3895" max="3895" width="5.5546875" style="11" customWidth="1"/>
    <col min="3896" max="3896" width="4.6640625" style="11" customWidth="1"/>
    <col min="3897" max="3897" width="8.33203125" style="11" customWidth="1"/>
    <col min="3898" max="3899" width="8" style="11" customWidth="1"/>
    <col min="3900" max="3900" width="2.6640625" style="11" customWidth="1"/>
    <col min="3901" max="3902" width="8.88671875" style="11"/>
    <col min="3903" max="3903" width="10.44140625" style="11" bestFit="1" customWidth="1"/>
    <col min="3904" max="3904" width="10.5546875" style="11" bestFit="1" customWidth="1"/>
    <col min="3905" max="3905" width="7.33203125" style="11" bestFit="1" customWidth="1"/>
    <col min="3906" max="3906" width="7.44140625" style="11" bestFit="1" customWidth="1"/>
    <col min="3907" max="3907" width="10.33203125" style="11" customWidth="1"/>
    <col min="3908" max="3908" width="8.88671875" style="11"/>
    <col min="3909" max="3909" width="4.88671875" style="11" bestFit="1" customWidth="1"/>
    <col min="3910" max="3910" width="5.5546875" style="11" customWidth="1"/>
    <col min="3911" max="4096" width="8.88671875" style="11"/>
    <col min="4097" max="4097" width="8.5546875" style="11" customWidth="1"/>
    <col min="4098" max="4098" width="6.44140625" style="11" customWidth="1"/>
    <col min="4099" max="4099" width="6.5546875" style="11" customWidth="1"/>
    <col min="4100" max="4100" width="5.5546875" style="11" customWidth="1"/>
    <col min="4101" max="4101" width="7.109375" style="11" customWidth="1"/>
    <col min="4102" max="4102" width="7.33203125" style="11" customWidth="1"/>
    <col min="4103" max="4103" width="5.6640625" style="11" customWidth="1"/>
    <col min="4104" max="4104" width="5.88671875" style="11" bestFit="1" customWidth="1"/>
    <col min="4105" max="4105" width="6.5546875" style="11" customWidth="1"/>
    <col min="4106" max="4106" width="8" style="11" customWidth="1"/>
    <col min="4107" max="4107" width="7.5546875" style="11" customWidth="1"/>
    <col min="4108" max="4108" width="6.109375" style="11" customWidth="1"/>
    <col min="4109" max="4110" width="8.88671875" style="11"/>
    <col min="4111" max="4111" width="8.33203125" style="11" customWidth="1"/>
    <col min="4112" max="4112" width="7.6640625" style="11" customWidth="1"/>
    <col min="4113" max="4113" width="8.33203125" style="11" customWidth="1"/>
    <col min="4114" max="4114" width="6.6640625" style="11" customWidth="1"/>
    <col min="4115" max="4116" width="8.109375" style="11" customWidth="1"/>
    <col min="4117" max="4117" width="6.6640625" style="11" customWidth="1"/>
    <col min="4118" max="4118" width="6.5546875" style="11" customWidth="1"/>
    <col min="4119" max="4119" width="5.88671875" style="11" customWidth="1"/>
    <col min="4120" max="4120" width="6.33203125" style="11" customWidth="1"/>
    <col min="4121" max="4121" width="7.33203125" style="11" customWidth="1"/>
    <col min="4122" max="4122" width="6.88671875" style="11" customWidth="1"/>
    <col min="4123" max="4125" width="6.6640625" style="11" customWidth="1"/>
    <col min="4126" max="4130" width="6.33203125" style="11" customWidth="1"/>
    <col min="4131" max="4131" width="15.33203125" style="11" bestFit="1" customWidth="1"/>
    <col min="4132" max="4134" width="6.33203125" style="11" customWidth="1"/>
    <col min="4135" max="4135" width="6.6640625" style="11" customWidth="1"/>
    <col min="4136" max="4137" width="6.33203125" style="11" customWidth="1"/>
    <col min="4138" max="4138" width="0" style="11" hidden="1" customWidth="1"/>
    <col min="4139" max="4139" width="7.109375" style="11" customWidth="1"/>
    <col min="4140" max="4142" width="6.33203125" style="11" customWidth="1"/>
    <col min="4143" max="4143" width="4.88671875" style="11" customWidth="1"/>
    <col min="4144" max="4144" width="4.6640625" style="11" customWidth="1"/>
    <col min="4145" max="4145" width="6.33203125" style="11" customWidth="1"/>
    <col min="4146" max="4147" width="6.6640625" style="11" customWidth="1"/>
    <col min="4148" max="4150" width="6.33203125" style="11" customWidth="1"/>
    <col min="4151" max="4151" width="5.5546875" style="11" customWidth="1"/>
    <col min="4152" max="4152" width="4.6640625" style="11" customWidth="1"/>
    <col min="4153" max="4153" width="8.33203125" style="11" customWidth="1"/>
    <col min="4154" max="4155" width="8" style="11" customWidth="1"/>
    <col min="4156" max="4156" width="2.6640625" style="11" customWidth="1"/>
    <col min="4157" max="4158" width="8.88671875" style="11"/>
    <col min="4159" max="4159" width="10.44140625" style="11" bestFit="1" customWidth="1"/>
    <col min="4160" max="4160" width="10.5546875" style="11" bestFit="1" customWidth="1"/>
    <col min="4161" max="4161" width="7.33203125" style="11" bestFit="1" customWidth="1"/>
    <col min="4162" max="4162" width="7.44140625" style="11" bestFit="1" customWidth="1"/>
    <col min="4163" max="4163" width="10.33203125" style="11" customWidth="1"/>
    <col min="4164" max="4164" width="8.88671875" style="11"/>
    <col min="4165" max="4165" width="4.88671875" style="11" bestFit="1" customWidth="1"/>
    <col min="4166" max="4166" width="5.5546875" style="11" customWidth="1"/>
    <col min="4167" max="4352" width="8.88671875" style="11"/>
    <col min="4353" max="4353" width="8.5546875" style="11" customWidth="1"/>
    <col min="4354" max="4354" width="6.44140625" style="11" customWidth="1"/>
    <col min="4355" max="4355" width="6.5546875" style="11" customWidth="1"/>
    <col min="4356" max="4356" width="5.5546875" style="11" customWidth="1"/>
    <col min="4357" max="4357" width="7.109375" style="11" customWidth="1"/>
    <col min="4358" max="4358" width="7.33203125" style="11" customWidth="1"/>
    <col min="4359" max="4359" width="5.6640625" style="11" customWidth="1"/>
    <col min="4360" max="4360" width="5.88671875" style="11" bestFit="1" customWidth="1"/>
    <col min="4361" max="4361" width="6.5546875" style="11" customWidth="1"/>
    <col min="4362" max="4362" width="8" style="11" customWidth="1"/>
    <col min="4363" max="4363" width="7.5546875" style="11" customWidth="1"/>
    <col min="4364" max="4364" width="6.109375" style="11" customWidth="1"/>
    <col min="4365" max="4366" width="8.88671875" style="11"/>
    <col min="4367" max="4367" width="8.33203125" style="11" customWidth="1"/>
    <col min="4368" max="4368" width="7.6640625" style="11" customWidth="1"/>
    <col min="4369" max="4369" width="8.33203125" style="11" customWidth="1"/>
    <col min="4370" max="4370" width="6.6640625" style="11" customWidth="1"/>
    <col min="4371" max="4372" width="8.109375" style="11" customWidth="1"/>
    <col min="4373" max="4373" width="6.6640625" style="11" customWidth="1"/>
    <col min="4374" max="4374" width="6.5546875" style="11" customWidth="1"/>
    <col min="4375" max="4375" width="5.88671875" style="11" customWidth="1"/>
    <col min="4376" max="4376" width="6.33203125" style="11" customWidth="1"/>
    <col min="4377" max="4377" width="7.33203125" style="11" customWidth="1"/>
    <col min="4378" max="4378" width="6.88671875" style="11" customWidth="1"/>
    <col min="4379" max="4381" width="6.6640625" style="11" customWidth="1"/>
    <col min="4382" max="4386" width="6.33203125" style="11" customWidth="1"/>
    <col min="4387" max="4387" width="15.33203125" style="11" bestFit="1" customWidth="1"/>
    <col min="4388" max="4390" width="6.33203125" style="11" customWidth="1"/>
    <col min="4391" max="4391" width="6.6640625" style="11" customWidth="1"/>
    <col min="4392" max="4393" width="6.33203125" style="11" customWidth="1"/>
    <col min="4394" max="4394" width="0" style="11" hidden="1" customWidth="1"/>
    <col min="4395" max="4395" width="7.109375" style="11" customWidth="1"/>
    <col min="4396" max="4398" width="6.33203125" style="11" customWidth="1"/>
    <col min="4399" max="4399" width="4.88671875" style="11" customWidth="1"/>
    <col min="4400" max="4400" width="4.6640625" style="11" customWidth="1"/>
    <col min="4401" max="4401" width="6.33203125" style="11" customWidth="1"/>
    <col min="4402" max="4403" width="6.6640625" style="11" customWidth="1"/>
    <col min="4404" max="4406" width="6.33203125" style="11" customWidth="1"/>
    <col min="4407" max="4407" width="5.5546875" style="11" customWidth="1"/>
    <col min="4408" max="4408" width="4.6640625" style="11" customWidth="1"/>
    <col min="4409" max="4409" width="8.33203125" style="11" customWidth="1"/>
    <col min="4410" max="4411" width="8" style="11" customWidth="1"/>
    <col min="4412" max="4412" width="2.6640625" style="11" customWidth="1"/>
    <col min="4413" max="4414" width="8.88671875" style="11"/>
    <col min="4415" max="4415" width="10.44140625" style="11" bestFit="1" customWidth="1"/>
    <col min="4416" max="4416" width="10.5546875" style="11" bestFit="1" customWidth="1"/>
    <col min="4417" max="4417" width="7.33203125" style="11" bestFit="1" customWidth="1"/>
    <col min="4418" max="4418" width="7.44140625" style="11" bestFit="1" customWidth="1"/>
    <col min="4419" max="4419" width="10.33203125" style="11" customWidth="1"/>
    <col min="4420" max="4420" width="8.88671875" style="11"/>
    <col min="4421" max="4421" width="4.88671875" style="11" bestFit="1" customWidth="1"/>
    <col min="4422" max="4422" width="5.5546875" style="11" customWidth="1"/>
    <col min="4423" max="4608" width="8.88671875" style="11"/>
    <col min="4609" max="4609" width="8.5546875" style="11" customWidth="1"/>
    <col min="4610" max="4610" width="6.44140625" style="11" customWidth="1"/>
    <col min="4611" max="4611" width="6.5546875" style="11" customWidth="1"/>
    <col min="4612" max="4612" width="5.5546875" style="11" customWidth="1"/>
    <col min="4613" max="4613" width="7.109375" style="11" customWidth="1"/>
    <col min="4614" max="4614" width="7.33203125" style="11" customWidth="1"/>
    <col min="4615" max="4615" width="5.6640625" style="11" customWidth="1"/>
    <col min="4616" max="4616" width="5.88671875" style="11" bestFit="1" customWidth="1"/>
    <col min="4617" max="4617" width="6.5546875" style="11" customWidth="1"/>
    <col min="4618" max="4618" width="8" style="11" customWidth="1"/>
    <col min="4619" max="4619" width="7.5546875" style="11" customWidth="1"/>
    <col min="4620" max="4620" width="6.109375" style="11" customWidth="1"/>
    <col min="4621" max="4622" width="8.88671875" style="11"/>
    <col min="4623" max="4623" width="8.33203125" style="11" customWidth="1"/>
    <col min="4624" max="4624" width="7.6640625" style="11" customWidth="1"/>
    <col min="4625" max="4625" width="8.33203125" style="11" customWidth="1"/>
    <col min="4626" max="4626" width="6.6640625" style="11" customWidth="1"/>
    <col min="4627" max="4628" width="8.109375" style="11" customWidth="1"/>
    <col min="4629" max="4629" width="6.6640625" style="11" customWidth="1"/>
    <col min="4630" max="4630" width="6.5546875" style="11" customWidth="1"/>
    <col min="4631" max="4631" width="5.88671875" style="11" customWidth="1"/>
    <col min="4632" max="4632" width="6.33203125" style="11" customWidth="1"/>
    <col min="4633" max="4633" width="7.33203125" style="11" customWidth="1"/>
    <col min="4634" max="4634" width="6.88671875" style="11" customWidth="1"/>
    <col min="4635" max="4637" width="6.6640625" style="11" customWidth="1"/>
    <col min="4638" max="4642" width="6.33203125" style="11" customWidth="1"/>
    <col min="4643" max="4643" width="15.33203125" style="11" bestFit="1" customWidth="1"/>
    <col min="4644" max="4646" width="6.33203125" style="11" customWidth="1"/>
    <col min="4647" max="4647" width="6.6640625" style="11" customWidth="1"/>
    <col min="4648" max="4649" width="6.33203125" style="11" customWidth="1"/>
    <col min="4650" max="4650" width="0" style="11" hidden="1" customWidth="1"/>
    <col min="4651" max="4651" width="7.109375" style="11" customWidth="1"/>
    <col min="4652" max="4654" width="6.33203125" style="11" customWidth="1"/>
    <col min="4655" max="4655" width="4.88671875" style="11" customWidth="1"/>
    <col min="4656" max="4656" width="4.6640625" style="11" customWidth="1"/>
    <col min="4657" max="4657" width="6.33203125" style="11" customWidth="1"/>
    <col min="4658" max="4659" width="6.6640625" style="11" customWidth="1"/>
    <col min="4660" max="4662" width="6.33203125" style="11" customWidth="1"/>
    <col min="4663" max="4663" width="5.5546875" style="11" customWidth="1"/>
    <col min="4664" max="4664" width="4.6640625" style="11" customWidth="1"/>
    <col min="4665" max="4665" width="8.33203125" style="11" customWidth="1"/>
    <col min="4666" max="4667" width="8" style="11" customWidth="1"/>
    <col min="4668" max="4668" width="2.6640625" style="11" customWidth="1"/>
    <col min="4669" max="4670" width="8.88671875" style="11"/>
    <col min="4671" max="4671" width="10.44140625" style="11" bestFit="1" customWidth="1"/>
    <col min="4672" max="4672" width="10.5546875" style="11" bestFit="1" customWidth="1"/>
    <col min="4673" max="4673" width="7.33203125" style="11" bestFit="1" customWidth="1"/>
    <col min="4674" max="4674" width="7.44140625" style="11" bestFit="1" customWidth="1"/>
    <col min="4675" max="4675" width="10.33203125" style="11" customWidth="1"/>
    <col min="4676" max="4676" width="8.88671875" style="11"/>
    <col min="4677" max="4677" width="4.88671875" style="11" bestFit="1" customWidth="1"/>
    <col min="4678" max="4678" width="5.5546875" style="11" customWidth="1"/>
    <col min="4679" max="4864" width="8.88671875" style="11"/>
    <col min="4865" max="4865" width="8.5546875" style="11" customWidth="1"/>
    <col min="4866" max="4866" width="6.44140625" style="11" customWidth="1"/>
    <col min="4867" max="4867" width="6.5546875" style="11" customWidth="1"/>
    <col min="4868" max="4868" width="5.5546875" style="11" customWidth="1"/>
    <col min="4869" max="4869" width="7.109375" style="11" customWidth="1"/>
    <col min="4870" max="4870" width="7.33203125" style="11" customWidth="1"/>
    <col min="4871" max="4871" width="5.6640625" style="11" customWidth="1"/>
    <col min="4872" max="4872" width="5.88671875" style="11" bestFit="1" customWidth="1"/>
    <col min="4873" max="4873" width="6.5546875" style="11" customWidth="1"/>
    <col min="4874" max="4874" width="8" style="11" customWidth="1"/>
    <col min="4875" max="4875" width="7.5546875" style="11" customWidth="1"/>
    <col min="4876" max="4876" width="6.109375" style="11" customWidth="1"/>
    <col min="4877" max="4878" width="8.88671875" style="11"/>
    <col min="4879" max="4879" width="8.33203125" style="11" customWidth="1"/>
    <col min="4880" max="4880" width="7.6640625" style="11" customWidth="1"/>
    <col min="4881" max="4881" width="8.33203125" style="11" customWidth="1"/>
    <col min="4882" max="4882" width="6.6640625" style="11" customWidth="1"/>
    <col min="4883" max="4884" width="8.109375" style="11" customWidth="1"/>
    <col min="4885" max="4885" width="6.6640625" style="11" customWidth="1"/>
    <col min="4886" max="4886" width="6.5546875" style="11" customWidth="1"/>
    <col min="4887" max="4887" width="5.88671875" style="11" customWidth="1"/>
    <col min="4888" max="4888" width="6.33203125" style="11" customWidth="1"/>
    <col min="4889" max="4889" width="7.33203125" style="11" customWidth="1"/>
    <col min="4890" max="4890" width="6.88671875" style="11" customWidth="1"/>
    <col min="4891" max="4893" width="6.6640625" style="11" customWidth="1"/>
    <col min="4894" max="4898" width="6.33203125" style="11" customWidth="1"/>
    <col min="4899" max="4899" width="15.33203125" style="11" bestFit="1" customWidth="1"/>
    <col min="4900" max="4902" width="6.33203125" style="11" customWidth="1"/>
    <col min="4903" max="4903" width="6.6640625" style="11" customWidth="1"/>
    <col min="4904" max="4905" width="6.33203125" style="11" customWidth="1"/>
    <col min="4906" max="4906" width="0" style="11" hidden="1" customWidth="1"/>
    <col min="4907" max="4907" width="7.109375" style="11" customWidth="1"/>
    <col min="4908" max="4910" width="6.33203125" style="11" customWidth="1"/>
    <col min="4911" max="4911" width="4.88671875" style="11" customWidth="1"/>
    <col min="4912" max="4912" width="4.6640625" style="11" customWidth="1"/>
    <col min="4913" max="4913" width="6.33203125" style="11" customWidth="1"/>
    <col min="4914" max="4915" width="6.6640625" style="11" customWidth="1"/>
    <col min="4916" max="4918" width="6.33203125" style="11" customWidth="1"/>
    <col min="4919" max="4919" width="5.5546875" style="11" customWidth="1"/>
    <col min="4920" max="4920" width="4.6640625" style="11" customWidth="1"/>
    <col min="4921" max="4921" width="8.33203125" style="11" customWidth="1"/>
    <col min="4922" max="4923" width="8" style="11" customWidth="1"/>
    <col min="4924" max="4924" width="2.6640625" style="11" customWidth="1"/>
    <col min="4925" max="4926" width="8.88671875" style="11"/>
    <col min="4927" max="4927" width="10.44140625" style="11" bestFit="1" customWidth="1"/>
    <col min="4928" max="4928" width="10.5546875" style="11" bestFit="1" customWidth="1"/>
    <col min="4929" max="4929" width="7.33203125" style="11" bestFit="1" customWidth="1"/>
    <col min="4930" max="4930" width="7.44140625" style="11" bestFit="1" customWidth="1"/>
    <col min="4931" max="4931" width="10.33203125" style="11" customWidth="1"/>
    <col min="4932" max="4932" width="8.88671875" style="11"/>
    <col min="4933" max="4933" width="4.88671875" style="11" bestFit="1" customWidth="1"/>
    <col min="4934" max="4934" width="5.5546875" style="11" customWidth="1"/>
    <col min="4935" max="5120" width="8.88671875" style="11"/>
    <col min="5121" max="5121" width="8.5546875" style="11" customWidth="1"/>
    <col min="5122" max="5122" width="6.44140625" style="11" customWidth="1"/>
    <col min="5123" max="5123" width="6.5546875" style="11" customWidth="1"/>
    <col min="5124" max="5124" width="5.5546875" style="11" customWidth="1"/>
    <col min="5125" max="5125" width="7.109375" style="11" customWidth="1"/>
    <col min="5126" max="5126" width="7.33203125" style="11" customWidth="1"/>
    <col min="5127" max="5127" width="5.6640625" style="11" customWidth="1"/>
    <col min="5128" max="5128" width="5.88671875" style="11" bestFit="1" customWidth="1"/>
    <col min="5129" max="5129" width="6.5546875" style="11" customWidth="1"/>
    <col min="5130" max="5130" width="8" style="11" customWidth="1"/>
    <col min="5131" max="5131" width="7.5546875" style="11" customWidth="1"/>
    <col min="5132" max="5132" width="6.109375" style="11" customWidth="1"/>
    <col min="5133" max="5134" width="8.88671875" style="11"/>
    <col min="5135" max="5135" width="8.33203125" style="11" customWidth="1"/>
    <col min="5136" max="5136" width="7.6640625" style="11" customWidth="1"/>
    <col min="5137" max="5137" width="8.33203125" style="11" customWidth="1"/>
    <col min="5138" max="5138" width="6.6640625" style="11" customWidth="1"/>
    <col min="5139" max="5140" width="8.109375" style="11" customWidth="1"/>
    <col min="5141" max="5141" width="6.6640625" style="11" customWidth="1"/>
    <col min="5142" max="5142" width="6.5546875" style="11" customWidth="1"/>
    <col min="5143" max="5143" width="5.88671875" style="11" customWidth="1"/>
    <col min="5144" max="5144" width="6.33203125" style="11" customWidth="1"/>
    <col min="5145" max="5145" width="7.33203125" style="11" customWidth="1"/>
    <col min="5146" max="5146" width="6.88671875" style="11" customWidth="1"/>
    <col min="5147" max="5149" width="6.6640625" style="11" customWidth="1"/>
    <col min="5150" max="5154" width="6.33203125" style="11" customWidth="1"/>
    <col min="5155" max="5155" width="15.33203125" style="11" bestFit="1" customWidth="1"/>
    <col min="5156" max="5158" width="6.33203125" style="11" customWidth="1"/>
    <col min="5159" max="5159" width="6.6640625" style="11" customWidth="1"/>
    <col min="5160" max="5161" width="6.33203125" style="11" customWidth="1"/>
    <col min="5162" max="5162" width="0" style="11" hidden="1" customWidth="1"/>
    <col min="5163" max="5163" width="7.109375" style="11" customWidth="1"/>
    <col min="5164" max="5166" width="6.33203125" style="11" customWidth="1"/>
    <col min="5167" max="5167" width="4.88671875" style="11" customWidth="1"/>
    <col min="5168" max="5168" width="4.6640625" style="11" customWidth="1"/>
    <col min="5169" max="5169" width="6.33203125" style="11" customWidth="1"/>
    <col min="5170" max="5171" width="6.6640625" style="11" customWidth="1"/>
    <col min="5172" max="5174" width="6.33203125" style="11" customWidth="1"/>
    <col min="5175" max="5175" width="5.5546875" style="11" customWidth="1"/>
    <col min="5176" max="5176" width="4.6640625" style="11" customWidth="1"/>
    <col min="5177" max="5177" width="8.33203125" style="11" customWidth="1"/>
    <col min="5178" max="5179" width="8" style="11" customWidth="1"/>
    <col min="5180" max="5180" width="2.6640625" style="11" customWidth="1"/>
    <col min="5181" max="5182" width="8.88671875" style="11"/>
    <col min="5183" max="5183" width="10.44140625" style="11" bestFit="1" customWidth="1"/>
    <col min="5184" max="5184" width="10.5546875" style="11" bestFit="1" customWidth="1"/>
    <col min="5185" max="5185" width="7.33203125" style="11" bestFit="1" customWidth="1"/>
    <col min="5186" max="5186" width="7.44140625" style="11" bestFit="1" customWidth="1"/>
    <col min="5187" max="5187" width="10.33203125" style="11" customWidth="1"/>
    <col min="5188" max="5188" width="8.88671875" style="11"/>
    <col min="5189" max="5189" width="4.88671875" style="11" bestFit="1" customWidth="1"/>
    <col min="5190" max="5190" width="5.5546875" style="11" customWidth="1"/>
    <col min="5191" max="5376" width="8.88671875" style="11"/>
    <col min="5377" max="5377" width="8.5546875" style="11" customWidth="1"/>
    <col min="5378" max="5378" width="6.44140625" style="11" customWidth="1"/>
    <col min="5379" max="5379" width="6.5546875" style="11" customWidth="1"/>
    <col min="5380" max="5380" width="5.5546875" style="11" customWidth="1"/>
    <col min="5381" max="5381" width="7.109375" style="11" customWidth="1"/>
    <col min="5382" max="5382" width="7.33203125" style="11" customWidth="1"/>
    <col min="5383" max="5383" width="5.6640625" style="11" customWidth="1"/>
    <col min="5384" max="5384" width="5.88671875" style="11" bestFit="1" customWidth="1"/>
    <col min="5385" max="5385" width="6.5546875" style="11" customWidth="1"/>
    <col min="5386" max="5386" width="8" style="11" customWidth="1"/>
    <col min="5387" max="5387" width="7.5546875" style="11" customWidth="1"/>
    <col min="5388" max="5388" width="6.109375" style="11" customWidth="1"/>
    <col min="5389" max="5390" width="8.88671875" style="11"/>
    <col min="5391" max="5391" width="8.33203125" style="11" customWidth="1"/>
    <col min="5392" max="5392" width="7.6640625" style="11" customWidth="1"/>
    <col min="5393" max="5393" width="8.33203125" style="11" customWidth="1"/>
    <col min="5394" max="5394" width="6.6640625" style="11" customWidth="1"/>
    <col min="5395" max="5396" width="8.109375" style="11" customWidth="1"/>
    <col min="5397" max="5397" width="6.6640625" style="11" customWidth="1"/>
    <col min="5398" max="5398" width="6.5546875" style="11" customWidth="1"/>
    <col min="5399" max="5399" width="5.88671875" style="11" customWidth="1"/>
    <col min="5400" max="5400" width="6.33203125" style="11" customWidth="1"/>
    <col min="5401" max="5401" width="7.33203125" style="11" customWidth="1"/>
    <col min="5402" max="5402" width="6.88671875" style="11" customWidth="1"/>
    <col min="5403" max="5405" width="6.6640625" style="11" customWidth="1"/>
    <col min="5406" max="5410" width="6.33203125" style="11" customWidth="1"/>
    <col min="5411" max="5411" width="15.33203125" style="11" bestFit="1" customWidth="1"/>
    <col min="5412" max="5414" width="6.33203125" style="11" customWidth="1"/>
    <col min="5415" max="5415" width="6.6640625" style="11" customWidth="1"/>
    <col min="5416" max="5417" width="6.33203125" style="11" customWidth="1"/>
    <col min="5418" max="5418" width="0" style="11" hidden="1" customWidth="1"/>
    <col min="5419" max="5419" width="7.109375" style="11" customWidth="1"/>
    <col min="5420" max="5422" width="6.33203125" style="11" customWidth="1"/>
    <col min="5423" max="5423" width="4.88671875" style="11" customWidth="1"/>
    <col min="5424" max="5424" width="4.6640625" style="11" customWidth="1"/>
    <col min="5425" max="5425" width="6.33203125" style="11" customWidth="1"/>
    <col min="5426" max="5427" width="6.6640625" style="11" customWidth="1"/>
    <col min="5428" max="5430" width="6.33203125" style="11" customWidth="1"/>
    <col min="5431" max="5431" width="5.5546875" style="11" customWidth="1"/>
    <col min="5432" max="5432" width="4.6640625" style="11" customWidth="1"/>
    <col min="5433" max="5433" width="8.33203125" style="11" customWidth="1"/>
    <col min="5434" max="5435" width="8" style="11" customWidth="1"/>
    <col min="5436" max="5436" width="2.6640625" style="11" customWidth="1"/>
    <col min="5437" max="5438" width="8.88671875" style="11"/>
    <col min="5439" max="5439" width="10.44140625" style="11" bestFit="1" customWidth="1"/>
    <col min="5440" max="5440" width="10.5546875" style="11" bestFit="1" customWidth="1"/>
    <col min="5441" max="5441" width="7.33203125" style="11" bestFit="1" customWidth="1"/>
    <col min="5442" max="5442" width="7.44140625" style="11" bestFit="1" customWidth="1"/>
    <col min="5443" max="5443" width="10.33203125" style="11" customWidth="1"/>
    <col min="5444" max="5444" width="8.88671875" style="11"/>
    <col min="5445" max="5445" width="4.88671875" style="11" bestFit="1" customWidth="1"/>
    <col min="5446" max="5446" width="5.5546875" style="11" customWidth="1"/>
    <col min="5447" max="5632" width="8.88671875" style="11"/>
    <col min="5633" max="5633" width="8.5546875" style="11" customWidth="1"/>
    <col min="5634" max="5634" width="6.44140625" style="11" customWidth="1"/>
    <col min="5635" max="5635" width="6.5546875" style="11" customWidth="1"/>
    <col min="5636" max="5636" width="5.5546875" style="11" customWidth="1"/>
    <col min="5637" max="5637" width="7.109375" style="11" customWidth="1"/>
    <col min="5638" max="5638" width="7.33203125" style="11" customWidth="1"/>
    <col min="5639" max="5639" width="5.6640625" style="11" customWidth="1"/>
    <col min="5640" max="5640" width="5.88671875" style="11" bestFit="1" customWidth="1"/>
    <col min="5641" max="5641" width="6.5546875" style="11" customWidth="1"/>
    <col min="5642" max="5642" width="8" style="11" customWidth="1"/>
    <col min="5643" max="5643" width="7.5546875" style="11" customWidth="1"/>
    <col min="5644" max="5644" width="6.109375" style="11" customWidth="1"/>
    <col min="5645" max="5646" width="8.88671875" style="11"/>
    <col min="5647" max="5647" width="8.33203125" style="11" customWidth="1"/>
    <col min="5648" max="5648" width="7.6640625" style="11" customWidth="1"/>
    <col min="5649" max="5649" width="8.33203125" style="11" customWidth="1"/>
    <col min="5650" max="5650" width="6.6640625" style="11" customWidth="1"/>
    <col min="5651" max="5652" width="8.109375" style="11" customWidth="1"/>
    <col min="5653" max="5653" width="6.6640625" style="11" customWidth="1"/>
    <col min="5654" max="5654" width="6.5546875" style="11" customWidth="1"/>
    <col min="5655" max="5655" width="5.88671875" style="11" customWidth="1"/>
    <col min="5656" max="5656" width="6.33203125" style="11" customWidth="1"/>
    <col min="5657" max="5657" width="7.33203125" style="11" customWidth="1"/>
    <col min="5658" max="5658" width="6.88671875" style="11" customWidth="1"/>
    <col min="5659" max="5661" width="6.6640625" style="11" customWidth="1"/>
    <col min="5662" max="5666" width="6.33203125" style="11" customWidth="1"/>
    <col min="5667" max="5667" width="15.33203125" style="11" bestFit="1" customWidth="1"/>
    <col min="5668" max="5670" width="6.33203125" style="11" customWidth="1"/>
    <col min="5671" max="5671" width="6.6640625" style="11" customWidth="1"/>
    <col min="5672" max="5673" width="6.33203125" style="11" customWidth="1"/>
    <col min="5674" max="5674" width="0" style="11" hidden="1" customWidth="1"/>
    <col min="5675" max="5675" width="7.109375" style="11" customWidth="1"/>
    <col min="5676" max="5678" width="6.33203125" style="11" customWidth="1"/>
    <col min="5679" max="5679" width="4.88671875" style="11" customWidth="1"/>
    <col min="5680" max="5680" width="4.6640625" style="11" customWidth="1"/>
    <col min="5681" max="5681" width="6.33203125" style="11" customWidth="1"/>
    <col min="5682" max="5683" width="6.6640625" style="11" customWidth="1"/>
    <col min="5684" max="5686" width="6.33203125" style="11" customWidth="1"/>
    <col min="5687" max="5687" width="5.5546875" style="11" customWidth="1"/>
    <col min="5688" max="5688" width="4.6640625" style="11" customWidth="1"/>
    <col min="5689" max="5689" width="8.33203125" style="11" customWidth="1"/>
    <col min="5690" max="5691" width="8" style="11" customWidth="1"/>
    <col min="5692" max="5692" width="2.6640625" style="11" customWidth="1"/>
    <col min="5693" max="5694" width="8.88671875" style="11"/>
    <col min="5695" max="5695" width="10.44140625" style="11" bestFit="1" customWidth="1"/>
    <col min="5696" max="5696" width="10.5546875" style="11" bestFit="1" customWidth="1"/>
    <col min="5697" max="5697" width="7.33203125" style="11" bestFit="1" customWidth="1"/>
    <col min="5698" max="5698" width="7.44140625" style="11" bestFit="1" customWidth="1"/>
    <col min="5699" max="5699" width="10.33203125" style="11" customWidth="1"/>
    <col min="5700" max="5700" width="8.88671875" style="11"/>
    <col min="5701" max="5701" width="4.88671875" style="11" bestFit="1" customWidth="1"/>
    <col min="5702" max="5702" width="5.5546875" style="11" customWidth="1"/>
    <col min="5703" max="5888" width="8.88671875" style="11"/>
    <col min="5889" max="5889" width="8.5546875" style="11" customWidth="1"/>
    <col min="5890" max="5890" width="6.44140625" style="11" customWidth="1"/>
    <col min="5891" max="5891" width="6.5546875" style="11" customWidth="1"/>
    <col min="5892" max="5892" width="5.5546875" style="11" customWidth="1"/>
    <col min="5893" max="5893" width="7.109375" style="11" customWidth="1"/>
    <col min="5894" max="5894" width="7.33203125" style="11" customWidth="1"/>
    <col min="5895" max="5895" width="5.6640625" style="11" customWidth="1"/>
    <col min="5896" max="5896" width="5.88671875" style="11" bestFit="1" customWidth="1"/>
    <col min="5897" max="5897" width="6.5546875" style="11" customWidth="1"/>
    <col min="5898" max="5898" width="8" style="11" customWidth="1"/>
    <col min="5899" max="5899" width="7.5546875" style="11" customWidth="1"/>
    <col min="5900" max="5900" width="6.109375" style="11" customWidth="1"/>
    <col min="5901" max="5902" width="8.88671875" style="11"/>
    <col min="5903" max="5903" width="8.33203125" style="11" customWidth="1"/>
    <col min="5904" max="5904" width="7.6640625" style="11" customWidth="1"/>
    <col min="5905" max="5905" width="8.33203125" style="11" customWidth="1"/>
    <col min="5906" max="5906" width="6.6640625" style="11" customWidth="1"/>
    <col min="5907" max="5908" width="8.109375" style="11" customWidth="1"/>
    <col min="5909" max="5909" width="6.6640625" style="11" customWidth="1"/>
    <col min="5910" max="5910" width="6.5546875" style="11" customWidth="1"/>
    <col min="5911" max="5911" width="5.88671875" style="11" customWidth="1"/>
    <col min="5912" max="5912" width="6.33203125" style="11" customWidth="1"/>
    <col min="5913" max="5913" width="7.33203125" style="11" customWidth="1"/>
    <col min="5914" max="5914" width="6.88671875" style="11" customWidth="1"/>
    <col min="5915" max="5917" width="6.6640625" style="11" customWidth="1"/>
    <col min="5918" max="5922" width="6.33203125" style="11" customWidth="1"/>
    <col min="5923" max="5923" width="15.33203125" style="11" bestFit="1" customWidth="1"/>
    <col min="5924" max="5926" width="6.33203125" style="11" customWidth="1"/>
    <col min="5927" max="5927" width="6.6640625" style="11" customWidth="1"/>
    <col min="5928" max="5929" width="6.33203125" style="11" customWidth="1"/>
    <col min="5930" max="5930" width="0" style="11" hidden="1" customWidth="1"/>
    <col min="5931" max="5931" width="7.109375" style="11" customWidth="1"/>
    <col min="5932" max="5934" width="6.33203125" style="11" customWidth="1"/>
    <col min="5935" max="5935" width="4.88671875" style="11" customWidth="1"/>
    <col min="5936" max="5936" width="4.6640625" style="11" customWidth="1"/>
    <col min="5937" max="5937" width="6.33203125" style="11" customWidth="1"/>
    <col min="5938" max="5939" width="6.6640625" style="11" customWidth="1"/>
    <col min="5940" max="5942" width="6.33203125" style="11" customWidth="1"/>
    <col min="5943" max="5943" width="5.5546875" style="11" customWidth="1"/>
    <col min="5944" max="5944" width="4.6640625" style="11" customWidth="1"/>
    <col min="5945" max="5945" width="8.33203125" style="11" customWidth="1"/>
    <col min="5946" max="5947" width="8" style="11" customWidth="1"/>
    <col min="5948" max="5948" width="2.6640625" style="11" customWidth="1"/>
    <col min="5949" max="5950" width="8.88671875" style="11"/>
    <col min="5951" max="5951" width="10.44140625" style="11" bestFit="1" customWidth="1"/>
    <col min="5952" max="5952" width="10.5546875" style="11" bestFit="1" customWidth="1"/>
    <col min="5953" max="5953" width="7.33203125" style="11" bestFit="1" customWidth="1"/>
    <col min="5954" max="5954" width="7.44140625" style="11" bestFit="1" customWidth="1"/>
    <col min="5955" max="5955" width="10.33203125" style="11" customWidth="1"/>
    <col min="5956" max="5956" width="8.88671875" style="11"/>
    <col min="5957" max="5957" width="4.88671875" style="11" bestFit="1" customWidth="1"/>
    <col min="5958" max="5958" width="5.5546875" style="11" customWidth="1"/>
    <col min="5959" max="6144" width="8.88671875" style="11"/>
    <col min="6145" max="6145" width="8.5546875" style="11" customWidth="1"/>
    <col min="6146" max="6146" width="6.44140625" style="11" customWidth="1"/>
    <col min="6147" max="6147" width="6.5546875" style="11" customWidth="1"/>
    <col min="6148" max="6148" width="5.5546875" style="11" customWidth="1"/>
    <col min="6149" max="6149" width="7.109375" style="11" customWidth="1"/>
    <col min="6150" max="6150" width="7.33203125" style="11" customWidth="1"/>
    <col min="6151" max="6151" width="5.6640625" style="11" customWidth="1"/>
    <col min="6152" max="6152" width="5.88671875" style="11" bestFit="1" customWidth="1"/>
    <col min="6153" max="6153" width="6.5546875" style="11" customWidth="1"/>
    <col min="6154" max="6154" width="8" style="11" customWidth="1"/>
    <col min="6155" max="6155" width="7.5546875" style="11" customWidth="1"/>
    <col min="6156" max="6156" width="6.109375" style="11" customWidth="1"/>
    <col min="6157" max="6158" width="8.88671875" style="11"/>
    <col min="6159" max="6159" width="8.33203125" style="11" customWidth="1"/>
    <col min="6160" max="6160" width="7.6640625" style="11" customWidth="1"/>
    <col min="6161" max="6161" width="8.33203125" style="11" customWidth="1"/>
    <col min="6162" max="6162" width="6.6640625" style="11" customWidth="1"/>
    <col min="6163" max="6164" width="8.109375" style="11" customWidth="1"/>
    <col min="6165" max="6165" width="6.6640625" style="11" customWidth="1"/>
    <col min="6166" max="6166" width="6.5546875" style="11" customWidth="1"/>
    <col min="6167" max="6167" width="5.88671875" style="11" customWidth="1"/>
    <col min="6168" max="6168" width="6.33203125" style="11" customWidth="1"/>
    <col min="6169" max="6169" width="7.33203125" style="11" customWidth="1"/>
    <col min="6170" max="6170" width="6.88671875" style="11" customWidth="1"/>
    <col min="6171" max="6173" width="6.6640625" style="11" customWidth="1"/>
    <col min="6174" max="6178" width="6.33203125" style="11" customWidth="1"/>
    <col min="6179" max="6179" width="15.33203125" style="11" bestFit="1" customWidth="1"/>
    <col min="6180" max="6182" width="6.33203125" style="11" customWidth="1"/>
    <col min="6183" max="6183" width="6.6640625" style="11" customWidth="1"/>
    <col min="6184" max="6185" width="6.33203125" style="11" customWidth="1"/>
    <col min="6186" max="6186" width="0" style="11" hidden="1" customWidth="1"/>
    <col min="6187" max="6187" width="7.109375" style="11" customWidth="1"/>
    <col min="6188" max="6190" width="6.33203125" style="11" customWidth="1"/>
    <col min="6191" max="6191" width="4.88671875" style="11" customWidth="1"/>
    <col min="6192" max="6192" width="4.6640625" style="11" customWidth="1"/>
    <col min="6193" max="6193" width="6.33203125" style="11" customWidth="1"/>
    <col min="6194" max="6195" width="6.6640625" style="11" customWidth="1"/>
    <col min="6196" max="6198" width="6.33203125" style="11" customWidth="1"/>
    <col min="6199" max="6199" width="5.5546875" style="11" customWidth="1"/>
    <col min="6200" max="6200" width="4.6640625" style="11" customWidth="1"/>
    <col min="6201" max="6201" width="8.33203125" style="11" customWidth="1"/>
    <col min="6202" max="6203" width="8" style="11" customWidth="1"/>
    <col min="6204" max="6204" width="2.6640625" style="11" customWidth="1"/>
    <col min="6205" max="6206" width="8.88671875" style="11"/>
    <col min="6207" max="6207" width="10.44140625" style="11" bestFit="1" customWidth="1"/>
    <col min="6208" max="6208" width="10.5546875" style="11" bestFit="1" customWidth="1"/>
    <col min="6209" max="6209" width="7.33203125" style="11" bestFit="1" customWidth="1"/>
    <col min="6210" max="6210" width="7.44140625" style="11" bestFit="1" customWidth="1"/>
    <col min="6211" max="6211" width="10.33203125" style="11" customWidth="1"/>
    <col min="6212" max="6212" width="8.88671875" style="11"/>
    <col min="6213" max="6213" width="4.88671875" style="11" bestFit="1" customWidth="1"/>
    <col min="6214" max="6214" width="5.5546875" style="11" customWidth="1"/>
    <col min="6215" max="6400" width="8.88671875" style="11"/>
    <col min="6401" max="6401" width="8.5546875" style="11" customWidth="1"/>
    <col min="6402" max="6402" width="6.44140625" style="11" customWidth="1"/>
    <col min="6403" max="6403" width="6.5546875" style="11" customWidth="1"/>
    <col min="6404" max="6404" width="5.5546875" style="11" customWidth="1"/>
    <col min="6405" max="6405" width="7.109375" style="11" customWidth="1"/>
    <col min="6406" max="6406" width="7.33203125" style="11" customWidth="1"/>
    <col min="6407" max="6407" width="5.6640625" style="11" customWidth="1"/>
    <col min="6408" max="6408" width="5.88671875" style="11" bestFit="1" customWidth="1"/>
    <col min="6409" max="6409" width="6.5546875" style="11" customWidth="1"/>
    <col min="6410" max="6410" width="8" style="11" customWidth="1"/>
    <col min="6411" max="6411" width="7.5546875" style="11" customWidth="1"/>
    <col min="6412" max="6412" width="6.109375" style="11" customWidth="1"/>
    <col min="6413" max="6414" width="8.88671875" style="11"/>
    <col min="6415" max="6415" width="8.33203125" style="11" customWidth="1"/>
    <col min="6416" max="6416" width="7.6640625" style="11" customWidth="1"/>
    <col min="6417" max="6417" width="8.33203125" style="11" customWidth="1"/>
    <col min="6418" max="6418" width="6.6640625" style="11" customWidth="1"/>
    <col min="6419" max="6420" width="8.109375" style="11" customWidth="1"/>
    <col min="6421" max="6421" width="6.6640625" style="11" customWidth="1"/>
    <col min="6422" max="6422" width="6.5546875" style="11" customWidth="1"/>
    <col min="6423" max="6423" width="5.88671875" style="11" customWidth="1"/>
    <col min="6424" max="6424" width="6.33203125" style="11" customWidth="1"/>
    <col min="6425" max="6425" width="7.33203125" style="11" customWidth="1"/>
    <col min="6426" max="6426" width="6.88671875" style="11" customWidth="1"/>
    <col min="6427" max="6429" width="6.6640625" style="11" customWidth="1"/>
    <col min="6430" max="6434" width="6.33203125" style="11" customWidth="1"/>
    <col min="6435" max="6435" width="15.33203125" style="11" bestFit="1" customWidth="1"/>
    <col min="6436" max="6438" width="6.33203125" style="11" customWidth="1"/>
    <col min="6439" max="6439" width="6.6640625" style="11" customWidth="1"/>
    <col min="6440" max="6441" width="6.33203125" style="11" customWidth="1"/>
    <col min="6442" max="6442" width="0" style="11" hidden="1" customWidth="1"/>
    <col min="6443" max="6443" width="7.109375" style="11" customWidth="1"/>
    <col min="6444" max="6446" width="6.33203125" style="11" customWidth="1"/>
    <col min="6447" max="6447" width="4.88671875" style="11" customWidth="1"/>
    <col min="6448" max="6448" width="4.6640625" style="11" customWidth="1"/>
    <col min="6449" max="6449" width="6.33203125" style="11" customWidth="1"/>
    <col min="6450" max="6451" width="6.6640625" style="11" customWidth="1"/>
    <col min="6452" max="6454" width="6.33203125" style="11" customWidth="1"/>
    <col min="6455" max="6455" width="5.5546875" style="11" customWidth="1"/>
    <col min="6456" max="6456" width="4.6640625" style="11" customWidth="1"/>
    <col min="6457" max="6457" width="8.33203125" style="11" customWidth="1"/>
    <col min="6458" max="6459" width="8" style="11" customWidth="1"/>
    <col min="6460" max="6460" width="2.6640625" style="11" customWidth="1"/>
    <col min="6461" max="6462" width="8.88671875" style="11"/>
    <col min="6463" max="6463" width="10.44140625" style="11" bestFit="1" customWidth="1"/>
    <col min="6464" max="6464" width="10.5546875" style="11" bestFit="1" customWidth="1"/>
    <col min="6465" max="6465" width="7.33203125" style="11" bestFit="1" customWidth="1"/>
    <col min="6466" max="6466" width="7.44140625" style="11" bestFit="1" customWidth="1"/>
    <col min="6467" max="6467" width="10.33203125" style="11" customWidth="1"/>
    <col min="6468" max="6468" width="8.88671875" style="11"/>
    <col min="6469" max="6469" width="4.88671875" style="11" bestFit="1" customWidth="1"/>
    <col min="6470" max="6470" width="5.5546875" style="11" customWidth="1"/>
    <col min="6471" max="6656" width="8.88671875" style="11"/>
    <col min="6657" max="6657" width="8.5546875" style="11" customWidth="1"/>
    <col min="6658" max="6658" width="6.44140625" style="11" customWidth="1"/>
    <col min="6659" max="6659" width="6.5546875" style="11" customWidth="1"/>
    <col min="6660" max="6660" width="5.5546875" style="11" customWidth="1"/>
    <col min="6661" max="6661" width="7.109375" style="11" customWidth="1"/>
    <col min="6662" max="6662" width="7.33203125" style="11" customWidth="1"/>
    <col min="6663" max="6663" width="5.6640625" style="11" customWidth="1"/>
    <col min="6664" max="6664" width="5.88671875" style="11" bestFit="1" customWidth="1"/>
    <col min="6665" max="6665" width="6.5546875" style="11" customWidth="1"/>
    <col min="6666" max="6666" width="8" style="11" customWidth="1"/>
    <col min="6667" max="6667" width="7.5546875" style="11" customWidth="1"/>
    <col min="6668" max="6668" width="6.109375" style="11" customWidth="1"/>
    <col min="6669" max="6670" width="8.88671875" style="11"/>
    <col min="6671" max="6671" width="8.33203125" style="11" customWidth="1"/>
    <col min="6672" max="6672" width="7.6640625" style="11" customWidth="1"/>
    <col min="6673" max="6673" width="8.33203125" style="11" customWidth="1"/>
    <col min="6674" max="6674" width="6.6640625" style="11" customWidth="1"/>
    <col min="6675" max="6676" width="8.109375" style="11" customWidth="1"/>
    <col min="6677" max="6677" width="6.6640625" style="11" customWidth="1"/>
    <col min="6678" max="6678" width="6.5546875" style="11" customWidth="1"/>
    <col min="6679" max="6679" width="5.88671875" style="11" customWidth="1"/>
    <col min="6680" max="6680" width="6.33203125" style="11" customWidth="1"/>
    <col min="6681" max="6681" width="7.33203125" style="11" customWidth="1"/>
    <col min="6682" max="6682" width="6.88671875" style="11" customWidth="1"/>
    <col min="6683" max="6685" width="6.6640625" style="11" customWidth="1"/>
    <col min="6686" max="6690" width="6.33203125" style="11" customWidth="1"/>
    <col min="6691" max="6691" width="15.33203125" style="11" bestFit="1" customWidth="1"/>
    <col min="6692" max="6694" width="6.33203125" style="11" customWidth="1"/>
    <col min="6695" max="6695" width="6.6640625" style="11" customWidth="1"/>
    <col min="6696" max="6697" width="6.33203125" style="11" customWidth="1"/>
    <col min="6698" max="6698" width="0" style="11" hidden="1" customWidth="1"/>
    <col min="6699" max="6699" width="7.109375" style="11" customWidth="1"/>
    <col min="6700" max="6702" width="6.33203125" style="11" customWidth="1"/>
    <col min="6703" max="6703" width="4.88671875" style="11" customWidth="1"/>
    <col min="6704" max="6704" width="4.6640625" style="11" customWidth="1"/>
    <col min="6705" max="6705" width="6.33203125" style="11" customWidth="1"/>
    <col min="6706" max="6707" width="6.6640625" style="11" customWidth="1"/>
    <col min="6708" max="6710" width="6.33203125" style="11" customWidth="1"/>
    <col min="6711" max="6711" width="5.5546875" style="11" customWidth="1"/>
    <col min="6712" max="6712" width="4.6640625" style="11" customWidth="1"/>
    <col min="6713" max="6713" width="8.33203125" style="11" customWidth="1"/>
    <col min="6714" max="6715" width="8" style="11" customWidth="1"/>
    <col min="6716" max="6716" width="2.6640625" style="11" customWidth="1"/>
    <col min="6717" max="6718" width="8.88671875" style="11"/>
    <col min="6719" max="6719" width="10.44140625" style="11" bestFit="1" customWidth="1"/>
    <col min="6720" max="6720" width="10.5546875" style="11" bestFit="1" customWidth="1"/>
    <col min="6721" max="6721" width="7.33203125" style="11" bestFit="1" customWidth="1"/>
    <col min="6722" max="6722" width="7.44140625" style="11" bestFit="1" customWidth="1"/>
    <col min="6723" max="6723" width="10.33203125" style="11" customWidth="1"/>
    <col min="6724" max="6724" width="8.88671875" style="11"/>
    <col min="6725" max="6725" width="4.88671875" style="11" bestFit="1" customWidth="1"/>
    <col min="6726" max="6726" width="5.5546875" style="11" customWidth="1"/>
    <col min="6727" max="6912" width="8.88671875" style="11"/>
    <col min="6913" max="6913" width="8.5546875" style="11" customWidth="1"/>
    <col min="6914" max="6914" width="6.44140625" style="11" customWidth="1"/>
    <col min="6915" max="6915" width="6.5546875" style="11" customWidth="1"/>
    <col min="6916" max="6916" width="5.5546875" style="11" customWidth="1"/>
    <col min="6917" max="6917" width="7.109375" style="11" customWidth="1"/>
    <col min="6918" max="6918" width="7.33203125" style="11" customWidth="1"/>
    <col min="6919" max="6919" width="5.6640625" style="11" customWidth="1"/>
    <col min="6920" max="6920" width="5.88671875" style="11" bestFit="1" customWidth="1"/>
    <col min="6921" max="6921" width="6.5546875" style="11" customWidth="1"/>
    <col min="6922" max="6922" width="8" style="11" customWidth="1"/>
    <col min="6923" max="6923" width="7.5546875" style="11" customWidth="1"/>
    <col min="6924" max="6924" width="6.109375" style="11" customWidth="1"/>
    <col min="6925" max="6926" width="8.88671875" style="11"/>
    <col min="6927" max="6927" width="8.33203125" style="11" customWidth="1"/>
    <col min="6928" max="6928" width="7.6640625" style="11" customWidth="1"/>
    <col min="6929" max="6929" width="8.33203125" style="11" customWidth="1"/>
    <col min="6930" max="6930" width="6.6640625" style="11" customWidth="1"/>
    <col min="6931" max="6932" width="8.109375" style="11" customWidth="1"/>
    <col min="6933" max="6933" width="6.6640625" style="11" customWidth="1"/>
    <col min="6934" max="6934" width="6.5546875" style="11" customWidth="1"/>
    <col min="6935" max="6935" width="5.88671875" style="11" customWidth="1"/>
    <col min="6936" max="6936" width="6.33203125" style="11" customWidth="1"/>
    <col min="6937" max="6937" width="7.33203125" style="11" customWidth="1"/>
    <col min="6938" max="6938" width="6.88671875" style="11" customWidth="1"/>
    <col min="6939" max="6941" width="6.6640625" style="11" customWidth="1"/>
    <col min="6942" max="6946" width="6.33203125" style="11" customWidth="1"/>
    <col min="6947" max="6947" width="15.33203125" style="11" bestFit="1" customWidth="1"/>
    <col min="6948" max="6950" width="6.33203125" style="11" customWidth="1"/>
    <col min="6951" max="6951" width="6.6640625" style="11" customWidth="1"/>
    <col min="6952" max="6953" width="6.33203125" style="11" customWidth="1"/>
    <col min="6954" max="6954" width="0" style="11" hidden="1" customWidth="1"/>
    <col min="6955" max="6955" width="7.109375" style="11" customWidth="1"/>
    <col min="6956" max="6958" width="6.33203125" style="11" customWidth="1"/>
    <col min="6959" max="6959" width="4.88671875" style="11" customWidth="1"/>
    <col min="6960" max="6960" width="4.6640625" style="11" customWidth="1"/>
    <col min="6961" max="6961" width="6.33203125" style="11" customWidth="1"/>
    <col min="6962" max="6963" width="6.6640625" style="11" customWidth="1"/>
    <col min="6964" max="6966" width="6.33203125" style="11" customWidth="1"/>
    <col min="6967" max="6967" width="5.5546875" style="11" customWidth="1"/>
    <col min="6968" max="6968" width="4.6640625" style="11" customWidth="1"/>
    <col min="6969" max="6969" width="8.33203125" style="11" customWidth="1"/>
    <col min="6970" max="6971" width="8" style="11" customWidth="1"/>
    <col min="6972" max="6972" width="2.6640625" style="11" customWidth="1"/>
    <col min="6973" max="6974" width="8.88671875" style="11"/>
    <col min="6975" max="6975" width="10.44140625" style="11" bestFit="1" customWidth="1"/>
    <col min="6976" max="6976" width="10.5546875" style="11" bestFit="1" customWidth="1"/>
    <col min="6977" max="6977" width="7.33203125" style="11" bestFit="1" customWidth="1"/>
    <col min="6978" max="6978" width="7.44140625" style="11" bestFit="1" customWidth="1"/>
    <col min="6979" max="6979" width="10.33203125" style="11" customWidth="1"/>
    <col min="6980" max="6980" width="8.88671875" style="11"/>
    <col min="6981" max="6981" width="4.88671875" style="11" bestFit="1" customWidth="1"/>
    <col min="6982" max="6982" width="5.5546875" style="11" customWidth="1"/>
    <col min="6983" max="7168" width="8.88671875" style="11"/>
    <col min="7169" max="7169" width="8.5546875" style="11" customWidth="1"/>
    <col min="7170" max="7170" width="6.44140625" style="11" customWidth="1"/>
    <col min="7171" max="7171" width="6.5546875" style="11" customWidth="1"/>
    <col min="7172" max="7172" width="5.5546875" style="11" customWidth="1"/>
    <col min="7173" max="7173" width="7.109375" style="11" customWidth="1"/>
    <col min="7174" max="7174" width="7.33203125" style="11" customWidth="1"/>
    <col min="7175" max="7175" width="5.6640625" style="11" customWidth="1"/>
    <col min="7176" max="7176" width="5.88671875" style="11" bestFit="1" customWidth="1"/>
    <col min="7177" max="7177" width="6.5546875" style="11" customWidth="1"/>
    <col min="7178" max="7178" width="8" style="11" customWidth="1"/>
    <col min="7179" max="7179" width="7.5546875" style="11" customWidth="1"/>
    <col min="7180" max="7180" width="6.109375" style="11" customWidth="1"/>
    <col min="7181" max="7182" width="8.88671875" style="11"/>
    <col min="7183" max="7183" width="8.33203125" style="11" customWidth="1"/>
    <col min="7184" max="7184" width="7.6640625" style="11" customWidth="1"/>
    <col min="7185" max="7185" width="8.33203125" style="11" customWidth="1"/>
    <col min="7186" max="7186" width="6.6640625" style="11" customWidth="1"/>
    <col min="7187" max="7188" width="8.109375" style="11" customWidth="1"/>
    <col min="7189" max="7189" width="6.6640625" style="11" customWidth="1"/>
    <col min="7190" max="7190" width="6.5546875" style="11" customWidth="1"/>
    <col min="7191" max="7191" width="5.88671875" style="11" customWidth="1"/>
    <col min="7192" max="7192" width="6.33203125" style="11" customWidth="1"/>
    <col min="7193" max="7193" width="7.33203125" style="11" customWidth="1"/>
    <col min="7194" max="7194" width="6.88671875" style="11" customWidth="1"/>
    <col min="7195" max="7197" width="6.6640625" style="11" customWidth="1"/>
    <col min="7198" max="7202" width="6.33203125" style="11" customWidth="1"/>
    <col min="7203" max="7203" width="15.33203125" style="11" bestFit="1" customWidth="1"/>
    <col min="7204" max="7206" width="6.33203125" style="11" customWidth="1"/>
    <col min="7207" max="7207" width="6.6640625" style="11" customWidth="1"/>
    <col min="7208" max="7209" width="6.33203125" style="11" customWidth="1"/>
    <col min="7210" max="7210" width="0" style="11" hidden="1" customWidth="1"/>
    <col min="7211" max="7211" width="7.109375" style="11" customWidth="1"/>
    <col min="7212" max="7214" width="6.33203125" style="11" customWidth="1"/>
    <col min="7215" max="7215" width="4.88671875" style="11" customWidth="1"/>
    <col min="7216" max="7216" width="4.6640625" style="11" customWidth="1"/>
    <col min="7217" max="7217" width="6.33203125" style="11" customWidth="1"/>
    <col min="7218" max="7219" width="6.6640625" style="11" customWidth="1"/>
    <col min="7220" max="7222" width="6.33203125" style="11" customWidth="1"/>
    <col min="7223" max="7223" width="5.5546875" style="11" customWidth="1"/>
    <col min="7224" max="7224" width="4.6640625" style="11" customWidth="1"/>
    <col min="7225" max="7225" width="8.33203125" style="11" customWidth="1"/>
    <col min="7226" max="7227" width="8" style="11" customWidth="1"/>
    <col min="7228" max="7228" width="2.6640625" style="11" customWidth="1"/>
    <col min="7229" max="7230" width="8.88671875" style="11"/>
    <col min="7231" max="7231" width="10.44140625" style="11" bestFit="1" customWidth="1"/>
    <col min="7232" max="7232" width="10.5546875" style="11" bestFit="1" customWidth="1"/>
    <col min="7233" max="7233" width="7.33203125" style="11" bestFit="1" customWidth="1"/>
    <col min="7234" max="7234" width="7.44140625" style="11" bestFit="1" customWidth="1"/>
    <col min="7235" max="7235" width="10.33203125" style="11" customWidth="1"/>
    <col min="7236" max="7236" width="8.88671875" style="11"/>
    <col min="7237" max="7237" width="4.88671875" style="11" bestFit="1" customWidth="1"/>
    <col min="7238" max="7238" width="5.5546875" style="11" customWidth="1"/>
    <col min="7239" max="7424" width="8.88671875" style="11"/>
    <col min="7425" max="7425" width="8.5546875" style="11" customWidth="1"/>
    <col min="7426" max="7426" width="6.44140625" style="11" customWidth="1"/>
    <col min="7427" max="7427" width="6.5546875" style="11" customWidth="1"/>
    <col min="7428" max="7428" width="5.5546875" style="11" customWidth="1"/>
    <col min="7429" max="7429" width="7.109375" style="11" customWidth="1"/>
    <col min="7430" max="7430" width="7.33203125" style="11" customWidth="1"/>
    <col min="7431" max="7431" width="5.6640625" style="11" customWidth="1"/>
    <col min="7432" max="7432" width="5.88671875" style="11" bestFit="1" customWidth="1"/>
    <col min="7433" max="7433" width="6.5546875" style="11" customWidth="1"/>
    <col min="7434" max="7434" width="8" style="11" customWidth="1"/>
    <col min="7435" max="7435" width="7.5546875" style="11" customWidth="1"/>
    <col min="7436" max="7436" width="6.109375" style="11" customWidth="1"/>
    <col min="7437" max="7438" width="8.88671875" style="11"/>
    <col min="7439" max="7439" width="8.33203125" style="11" customWidth="1"/>
    <col min="7440" max="7440" width="7.6640625" style="11" customWidth="1"/>
    <col min="7441" max="7441" width="8.33203125" style="11" customWidth="1"/>
    <col min="7442" max="7442" width="6.6640625" style="11" customWidth="1"/>
    <col min="7443" max="7444" width="8.109375" style="11" customWidth="1"/>
    <col min="7445" max="7445" width="6.6640625" style="11" customWidth="1"/>
    <col min="7446" max="7446" width="6.5546875" style="11" customWidth="1"/>
    <col min="7447" max="7447" width="5.88671875" style="11" customWidth="1"/>
    <col min="7448" max="7448" width="6.33203125" style="11" customWidth="1"/>
    <col min="7449" max="7449" width="7.33203125" style="11" customWidth="1"/>
    <col min="7450" max="7450" width="6.88671875" style="11" customWidth="1"/>
    <col min="7451" max="7453" width="6.6640625" style="11" customWidth="1"/>
    <col min="7454" max="7458" width="6.33203125" style="11" customWidth="1"/>
    <col min="7459" max="7459" width="15.33203125" style="11" bestFit="1" customWidth="1"/>
    <col min="7460" max="7462" width="6.33203125" style="11" customWidth="1"/>
    <col min="7463" max="7463" width="6.6640625" style="11" customWidth="1"/>
    <col min="7464" max="7465" width="6.33203125" style="11" customWidth="1"/>
    <col min="7466" max="7466" width="0" style="11" hidden="1" customWidth="1"/>
    <col min="7467" max="7467" width="7.109375" style="11" customWidth="1"/>
    <col min="7468" max="7470" width="6.33203125" style="11" customWidth="1"/>
    <col min="7471" max="7471" width="4.88671875" style="11" customWidth="1"/>
    <col min="7472" max="7472" width="4.6640625" style="11" customWidth="1"/>
    <col min="7473" max="7473" width="6.33203125" style="11" customWidth="1"/>
    <col min="7474" max="7475" width="6.6640625" style="11" customWidth="1"/>
    <col min="7476" max="7478" width="6.33203125" style="11" customWidth="1"/>
    <col min="7479" max="7479" width="5.5546875" style="11" customWidth="1"/>
    <col min="7480" max="7480" width="4.6640625" style="11" customWidth="1"/>
    <col min="7481" max="7481" width="8.33203125" style="11" customWidth="1"/>
    <col min="7482" max="7483" width="8" style="11" customWidth="1"/>
    <col min="7484" max="7484" width="2.6640625" style="11" customWidth="1"/>
    <col min="7485" max="7486" width="8.88671875" style="11"/>
    <col min="7487" max="7487" width="10.44140625" style="11" bestFit="1" customWidth="1"/>
    <col min="7488" max="7488" width="10.5546875" style="11" bestFit="1" customWidth="1"/>
    <col min="7489" max="7489" width="7.33203125" style="11" bestFit="1" customWidth="1"/>
    <col min="7490" max="7490" width="7.44140625" style="11" bestFit="1" customWidth="1"/>
    <col min="7491" max="7491" width="10.33203125" style="11" customWidth="1"/>
    <col min="7492" max="7492" width="8.88671875" style="11"/>
    <col min="7493" max="7493" width="4.88671875" style="11" bestFit="1" customWidth="1"/>
    <col min="7494" max="7494" width="5.5546875" style="11" customWidth="1"/>
    <col min="7495" max="7680" width="8.88671875" style="11"/>
    <col min="7681" max="7681" width="8.5546875" style="11" customWidth="1"/>
    <col min="7682" max="7682" width="6.44140625" style="11" customWidth="1"/>
    <col min="7683" max="7683" width="6.5546875" style="11" customWidth="1"/>
    <col min="7684" max="7684" width="5.5546875" style="11" customWidth="1"/>
    <col min="7685" max="7685" width="7.109375" style="11" customWidth="1"/>
    <col min="7686" max="7686" width="7.33203125" style="11" customWidth="1"/>
    <col min="7687" max="7687" width="5.6640625" style="11" customWidth="1"/>
    <col min="7688" max="7688" width="5.88671875" style="11" bestFit="1" customWidth="1"/>
    <col min="7689" max="7689" width="6.5546875" style="11" customWidth="1"/>
    <col min="7690" max="7690" width="8" style="11" customWidth="1"/>
    <col min="7691" max="7691" width="7.5546875" style="11" customWidth="1"/>
    <col min="7692" max="7692" width="6.109375" style="11" customWidth="1"/>
    <col min="7693" max="7694" width="8.88671875" style="11"/>
    <col min="7695" max="7695" width="8.33203125" style="11" customWidth="1"/>
    <col min="7696" max="7696" width="7.6640625" style="11" customWidth="1"/>
    <col min="7697" max="7697" width="8.33203125" style="11" customWidth="1"/>
    <col min="7698" max="7698" width="6.6640625" style="11" customWidth="1"/>
    <col min="7699" max="7700" width="8.109375" style="11" customWidth="1"/>
    <col min="7701" max="7701" width="6.6640625" style="11" customWidth="1"/>
    <col min="7702" max="7702" width="6.5546875" style="11" customWidth="1"/>
    <col min="7703" max="7703" width="5.88671875" style="11" customWidth="1"/>
    <col min="7704" max="7704" width="6.33203125" style="11" customWidth="1"/>
    <col min="7705" max="7705" width="7.33203125" style="11" customWidth="1"/>
    <col min="7706" max="7706" width="6.88671875" style="11" customWidth="1"/>
    <col min="7707" max="7709" width="6.6640625" style="11" customWidth="1"/>
    <col min="7710" max="7714" width="6.33203125" style="11" customWidth="1"/>
    <col min="7715" max="7715" width="15.33203125" style="11" bestFit="1" customWidth="1"/>
    <col min="7716" max="7718" width="6.33203125" style="11" customWidth="1"/>
    <col min="7719" max="7719" width="6.6640625" style="11" customWidth="1"/>
    <col min="7720" max="7721" width="6.33203125" style="11" customWidth="1"/>
    <col min="7722" max="7722" width="0" style="11" hidden="1" customWidth="1"/>
    <col min="7723" max="7723" width="7.109375" style="11" customWidth="1"/>
    <col min="7724" max="7726" width="6.33203125" style="11" customWidth="1"/>
    <col min="7727" max="7727" width="4.88671875" style="11" customWidth="1"/>
    <col min="7728" max="7728" width="4.6640625" style="11" customWidth="1"/>
    <col min="7729" max="7729" width="6.33203125" style="11" customWidth="1"/>
    <col min="7730" max="7731" width="6.6640625" style="11" customWidth="1"/>
    <col min="7732" max="7734" width="6.33203125" style="11" customWidth="1"/>
    <col min="7735" max="7735" width="5.5546875" style="11" customWidth="1"/>
    <col min="7736" max="7736" width="4.6640625" style="11" customWidth="1"/>
    <col min="7737" max="7737" width="8.33203125" style="11" customWidth="1"/>
    <col min="7738" max="7739" width="8" style="11" customWidth="1"/>
    <col min="7740" max="7740" width="2.6640625" style="11" customWidth="1"/>
    <col min="7741" max="7742" width="8.88671875" style="11"/>
    <col min="7743" max="7743" width="10.44140625" style="11" bestFit="1" customWidth="1"/>
    <col min="7744" max="7744" width="10.5546875" style="11" bestFit="1" customWidth="1"/>
    <col min="7745" max="7745" width="7.33203125" style="11" bestFit="1" customWidth="1"/>
    <col min="7746" max="7746" width="7.44140625" style="11" bestFit="1" customWidth="1"/>
    <col min="7747" max="7747" width="10.33203125" style="11" customWidth="1"/>
    <col min="7748" max="7748" width="8.88671875" style="11"/>
    <col min="7749" max="7749" width="4.88671875" style="11" bestFit="1" customWidth="1"/>
    <col min="7750" max="7750" width="5.5546875" style="11" customWidth="1"/>
    <col min="7751" max="7936" width="8.88671875" style="11"/>
    <col min="7937" max="7937" width="8.5546875" style="11" customWidth="1"/>
    <col min="7938" max="7938" width="6.44140625" style="11" customWidth="1"/>
    <col min="7939" max="7939" width="6.5546875" style="11" customWidth="1"/>
    <col min="7940" max="7940" width="5.5546875" style="11" customWidth="1"/>
    <col min="7941" max="7941" width="7.109375" style="11" customWidth="1"/>
    <col min="7942" max="7942" width="7.33203125" style="11" customWidth="1"/>
    <col min="7943" max="7943" width="5.6640625" style="11" customWidth="1"/>
    <col min="7944" max="7944" width="5.88671875" style="11" bestFit="1" customWidth="1"/>
    <col min="7945" max="7945" width="6.5546875" style="11" customWidth="1"/>
    <col min="7946" max="7946" width="8" style="11" customWidth="1"/>
    <col min="7947" max="7947" width="7.5546875" style="11" customWidth="1"/>
    <col min="7948" max="7948" width="6.109375" style="11" customWidth="1"/>
    <col min="7949" max="7950" width="8.88671875" style="11"/>
    <col min="7951" max="7951" width="8.33203125" style="11" customWidth="1"/>
    <col min="7952" max="7952" width="7.6640625" style="11" customWidth="1"/>
    <col min="7953" max="7953" width="8.33203125" style="11" customWidth="1"/>
    <col min="7954" max="7954" width="6.6640625" style="11" customWidth="1"/>
    <col min="7955" max="7956" width="8.109375" style="11" customWidth="1"/>
    <col min="7957" max="7957" width="6.6640625" style="11" customWidth="1"/>
    <col min="7958" max="7958" width="6.5546875" style="11" customWidth="1"/>
    <col min="7959" max="7959" width="5.88671875" style="11" customWidth="1"/>
    <col min="7960" max="7960" width="6.33203125" style="11" customWidth="1"/>
    <col min="7961" max="7961" width="7.33203125" style="11" customWidth="1"/>
    <col min="7962" max="7962" width="6.88671875" style="11" customWidth="1"/>
    <col min="7963" max="7965" width="6.6640625" style="11" customWidth="1"/>
    <col min="7966" max="7970" width="6.33203125" style="11" customWidth="1"/>
    <col min="7971" max="7971" width="15.33203125" style="11" bestFit="1" customWidth="1"/>
    <col min="7972" max="7974" width="6.33203125" style="11" customWidth="1"/>
    <col min="7975" max="7975" width="6.6640625" style="11" customWidth="1"/>
    <col min="7976" max="7977" width="6.33203125" style="11" customWidth="1"/>
    <col min="7978" max="7978" width="0" style="11" hidden="1" customWidth="1"/>
    <col min="7979" max="7979" width="7.109375" style="11" customWidth="1"/>
    <col min="7980" max="7982" width="6.33203125" style="11" customWidth="1"/>
    <col min="7983" max="7983" width="4.88671875" style="11" customWidth="1"/>
    <col min="7984" max="7984" width="4.6640625" style="11" customWidth="1"/>
    <col min="7985" max="7985" width="6.33203125" style="11" customWidth="1"/>
    <col min="7986" max="7987" width="6.6640625" style="11" customWidth="1"/>
    <col min="7988" max="7990" width="6.33203125" style="11" customWidth="1"/>
    <col min="7991" max="7991" width="5.5546875" style="11" customWidth="1"/>
    <col min="7992" max="7992" width="4.6640625" style="11" customWidth="1"/>
    <col min="7993" max="7993" width="8.33203125" style="11" customWidth="1"/>
    <col min="7994" max="7995" width="8" style="11" customWidth="1"/>
    <col min="7996" max="7996" width="2.6640625" style="11" customWidth="1"/>
    <col min="7997" max="7998" width="8.88671875" style="11"/>
    <col min="7999" max="7999" width="10.44140625" style="11" bestFit="1" customWidth="1"/>
    <col min="8000" max="8000" width="10.5546875" style="11" bestFit="1" customWidth="1"/>
    <col min="8001" max="8001" width="7.33203125" style="11" bestFit="1" customWidth="1"/>
    <col min="8002" max="8002" width="7.44140625" style="11" bestFit="1" customWidth="1"/>
    <col min="8003" max="8003" width="10.33203125" style="11" customWidth="1"/>
    <col min="8004" max="8004" width="8.88671875" style="11"/>
    <col min="8005" max="8005" width="4.88671875" style="11" bestFit="1" customWidth="1"/>
    <col min="8006" max="8006" width="5.5546875" style="11" customWidth="1"/>
    <col min="8007" max="8192" width="8.88671875" style="11"/>
    <col min="8193" max="8193" width="8.5546875" style="11" customWidth="1"/>
    <col min="8194" max="8194" width="6.44140625" style="11" customWidth="1"/>
    <col min="8195" max="8195" width="6.5546875" style="11" customWidth="1"/>
    <col min="8196" max="8196" width="5.5546875" style="11" customWidth="1"/>
    <col min="8197" max="8197" width="7.109375" style="11" customWidth="1"/>
    <col min="8198" max="8198" width="7.33203125" style="11" customWidth="1"/>
    <col min="8199" max="8199" width="5.6640625" style="11" customWidth="1"/>
    <col min="8200" max="8200" width="5.88671875" style="11" bestFit="1" customWidth="1"/>
    <col min="8201" max="8201" width="6.5546875" style="11" customWidth="1"/>
    <col min="8202" max="8202" width="8" style="11" customWidth="1"/>
    <col min="8203" max="8203" width="7.5546875" style="11" customWidth="1"/>
    <col min="8204" max="8204" width="6.109375" style="11" customWidth="1"/>
    <col min="8205" max="8206" width="8.88671875" style="11"/>
    <col min="8207" max="8207" width="8.33203125" style="11" customWidth="1"/>
    <col min="8208" max="8208" width="7.6640625" style="11" customWidth="1"/>
    <col min="8209" max="8209" width="8.33203125" style="11" customWidth="1"/>
    <col min="8210" max="8210" width="6.6640625" style="11" customWidth="1"/>
    <col min="8211" max="8212" width="8.109375" style="11" customWidth="1"/>
    <col min="8213" max="8213" width="6.6640625" style="11" customWidth="1"/>
    <col min="8214" max="8214" width="6.5546875" style="11" customWidth="1"/>
    <col min="8215" max="8215" width="5.88671875" style="11" customWidth="1"/>
    <col min="8216" max="8216" width="6.33203125" style="11" customWidth="1"/>
    <col min="8217" max="8217" width="7.33203125" style="11" customWidth="1"/>
    <col min="8218" max="8218" width="6.88671875" style="11" customWidth="1"/>
    <col min="8219" max="8221" width="6.6640625" style="11" customWidth="1"/>
    <col min="8222" max="8226" width="6.33203125" style="11" customWidth="1"/>
    <col min="8227" max="8227" width="15.33203125" style="11" bestFit="1" customWidth="1"/>
    <col min="8228" max="8230" width="6.33203125" style="11" customWidth="1"/>
    <col min="8231" max="8231" width="6.6640625" style="11" customWidth="1"/>
    <col min="8232" max="8233" width="6.33203125" style="11" customWidth="1"/>
    <col min="8234" max="8234" width="0" style="11" hidden="1" customWidth="1"/>
    <col min="8235" max="8235" width="7.109375" style="11" customWidth="1"/>
    <col min="8236" max="8238" width="6.33203125" style="11" customWidth="1"/>
    <col min="8239" max="8239" width="4.88671875" style="11" customWidth="1"/>
    <col min="8240" max="8240" width="4.6640625" style="11" customWidth="1"/>
    <col min="8241" max="8241" width="6.33203125" style="11" customWidth="1"/>
    <col min="8242" max="8243" width="6.6640625" style="11" customWidth="1"/>
    <col min="8244" max="8246" width="6.33203125" style="11" customWidth="1"/>
    <col min="8247" max="8247" width="5.5546875" style="11" customWidth="1"/>
    <col min="8248" max="8248" width="4.6640625" style="11" customWidth="1"/>
    <col min="8249" max="8249" width="8.33203125" style="11" customWidth="1"/>
    <col min="8250" max="8251" width="8" style="11" customWidth="1"/>
    <col min="8252" max="8252" width="2.6640625" style="11" customWidth="1"/>
    <col min="8253" max="8254" width="8.88671875" style="11"/>
    <col min="8255" max="8255" width="10.44140625" style="11" bestFit="1" customWidth="1"/>
    <col min="8256" max="8256" width="10.5546875" style="11" bestFit="1" customWidth="1"/>
    <col min="8257" max="8257" width="7.33203125" style="11" bestFit="1" customWidth="1"/>
    <col min="8258" max="8258" width="7.44140625" style="11" bestFit="1" customWidth="1"/>
    <col min="8259" max="8259" width="10.33203125" style="11" customWidth="1"/>
    <col min="8260" max="8260" width="8.88671875" style="11"/>
    <col min="8261" max="8261" width="4.88671875" style="11" bestFit="1" customWidth="1"/>
    <col min="8262" max="8262" width="5.5546875" style="11" customWidth="1"/>
    <col min="8263" max="8448" width="8.88671875" style="11"/>
    <col min="8449" max="8449" width="8.5546875" style="11" customWidth="1"/>
    <col min="8450" max="8450" width="6.44140625" style="11" customWidth="1"/>
    <col min="8451" max="8451" width="6.5546875" style="11" customWidth="1"/>
    <col min="8452" max="8452" width="5.5546875" style="11" customWidth="1"/>
    <col min="8453" max="8453" width="7.109375" style="11" customWidth="1"/>
    <col min="8454" max="8454" width="7.33203125" style="11" customWidth="1"/>
    <col min="8455" max="8455" width="5.6640625" style="11" customWidth="1"/>
    <col min="8456" max="8456" width="5.88671875" style="11" bestFit="1" customWidth="1"/>
    <col min="8457" max="8457" width="6.5546875" style="11" customWidth="1"/>
    <col min="8458" max="8458" width="8" style="11" customWidth="1"/>
    <col min="8459" max="8459" width="7.5546875" style="11" customWidth="1"/>
    <col min="8460" max="8460" width="6.109375" style="11" customWidth="1"/>
    <col min="8461" max="8462" width="8.88671875" style="11"/>
    <col min="8463" max="8463" width="8.33203125" style="11" customWidth="1"/>
    <col min="8464" max="8464" width="7.6640625" style="11" customWidth="1"/>
    <col min="8465" max="8465" width="8.33203125" style="11" customWidth="1"/>
    <col min="8466" max="8466" width="6.6640625" style="11" customWidth="1"/>
    <col min="8467" max="8468" width="8.109375" style="11" customWidth="1"/>
    <col min="8469" max="8469" width="6.6640625" style="11" customWidth="1"/>
    <col min="8470" max="8470" width="6.5546875" style="11" customWidth="1"/>
    <col min="8471" max="8471" width="5.88671875" style="11" customWidth="1"/>
    <col min="8472" max="8472" width="6.33203125" style="11" customWidth="1"/>
    <col min="8473" max="8473" width="7.33203125" style="11" customWidth="1"/>
    <col min="8474" max="8474" width="6.88671875" style="11" customWidth="1"/>
    <col min="8475" max="8477" width="6.6640625" style="11" customWidth="1"/>
    <col min="8478" max="8482" width="6.33203125" style="11" customWidth="1"/>
    <col min="8483" max="8483" width="15.33203125" style="11" bestFit="1" customWidth="1"/>
    <col min="8484" max="8486" width="6.33203125" style="11" customWidth="1"/>
    <col min="8487" max="8487" width="6.6640625" style="11" customWidth="1"/>
    <col min="8488" max="8489" width="6.33203125" style="11" customWidth="1"/>
    <col min="8490" max="8490" width="0" style="11" hidden="1" customWidth="1"/>
    <col min="8491" max="8491" width="7.109375" style="11" customWidth="1"/>
    <col min="8492" max="8494" width="6.33203125" style="11" customWidth="1"/>
    <col min="8495" max="8495" width="4.88671875" style="11" customWidth="1"/>
    <col min="8496" max="8496" width="4.6640625" style="11" customWidth="1"/>
    <col min="8497" max="8497" width="6.33203125" style="11" customWidth="1"/>
    <col min="8498" max="8499" width="6.6640625" style="11" customWidth="1"/>
    <col min="8500" max="8502" width="6.33203125" style="11" customWidth="1"/>
    <col min="8503" max="8503" width="5.5546875" style="11" customWidth="1"/>
    <col min="8504" max="8504" width="4.6640625" style="11" customWidth="1"/>
    <col min="8505" max="8505" width="8.33203125" style="11" customWidth="1"/>
    <col min="8506" max="8507" width="8" style="11" customWidth="1"/>
    <col min="8508" max="8508" width="2.6640625" style="11" customWidth="1"/>
    <col min="8509" max="8510" width="8.88671875" style="11"/>
    <col min="8511" max="8511" width="10.44140625" style="11" bestFit="1" customWidth="1"/>
    <col min="8512" max="8512" width="10.5546875" style="11" bestFit="1" customWidth="1"/>
    <col min="8513" max="8513" width="7.33203125" style="11" bestFit="1" customWidth="1"/>
    <col min="8514" max="8514" width="7.44140625" style="11" bestFit="1" customWidth="1"/>
    <col min="8515" max="8515" width="10.33203125" style="11" customWidth="1"/>
    <col min="8516" max="8516" width="8.88671875" style="11"/>
    <col min="8517" max="8517" width="4.88671875" style="11" bestFit="1" customWidth="1"/>
    <col min="8518" max="8518" width="5.5546875" style="11" customWidth="1"/>
    <col min="8519" max="8704" width="8.88671875" style="11"/>
    <col min="8705" max="8705" width="8.5546875" style="11" customWidth="1"/>
    <col min="8706" max="8706" width="6.44140625" style="11" customWidth="1"/>
    <col min="8707" max="8707" width="6.5546875" style="11" customWidth="1"/>
    <col min="8708" max="8708" width="5.5546875" style="11" customWidth="1"/>
    <col min="8709" max="8709" width="7.109375" style="11" customWidth="1"/>
    <col min="8710" max="8710" width="7.33203125" style="11" customWidth="1"/>
    <col min="8711" max="8711" width="5.6640625" style="11" customWidth="1"/>
    <col min="8712" max="8712" width="5.88671875" style="11" bestFit="1" customWidth="1"/>
    <col min="8713" max="8713" width="6.5546875" style="11" customWidth="1"/>
    <col min="8714" max="8714" width="8" style="11" customWidth="1"/>
    <col min="8715" max="8715" width="7.5546875" style="11" customWidth="1"/>
    <col min="8716" max="8716" width="6.109375" style="11" customWidth="1"/>
    <col min="8717" max="8718" width="8.88671875" style="11"/>
    <col min="8719" max="8719" width="8.33203125" style="11" customWidth="1"/>
    <col min="8720" max="8720" width="7.6640625" style="11" customWidth="1"/>
    <col min="8721" max="8721" width="8.33203125" style="11" customWidth="1"/>
    <col min="8722" max="8722" width="6.6640625" style="11" customWidth="1"/>
    <col min="8723" max="8724" width="8.109375" style="11" customWidth="1"/>
    <col min="8725" max="8725" width="6.6640625" style="11" customWidth="1"/>
    <col min="8726" max="8726" width="6.5546875" style="11" customWidth="1"/>
    <col min="8727" max="8727" width="5.88671875" style="11" customWidth="1"/>
    <col min="8728" max="8728" width="6.33203125" style="11" customWidth="1"/>
    <col min="8729" max="8729" width="7.33203125" style="11" customWidth="1"/>
    <col min="8730" max="8730" width="6.88671875" style="11" customWidth="1"/>
    <col min="8731" max="8733" width="6.6640625" style="11" customWidth="1"/>
    <col min="8734" max="8738" width="6.33203125" style="11" customWidth="1"/>
    <col min="8739" max="8739" width="15.33203125" style="11" bestFit="1" customWidth="1"/>
    <col min="8740" max="8742" width="6.33203125" style="11" customWidth="1"/>
    <col min="8743" max="8743" width="6.6640625" style="11" customWidth="1"/>
    <col min="8744" max="8745" width="6.33203125" style="11" customWidth="1"/>
    <col min="8746" max="8746" width="0" style="11" hidden="1" customWidth="1"/>
    <col min="8747" max="8747" width="7.109375" style="11" customWidth="1"/>
    <col min="8748" max="8750" width="6.33203125" style="11" customWidth="1"/>
    <col min="8751" max="8751" width="4.88671875" style="11" customWidth="1"/>
    <col min="8752" max="8752" width="4.6640625" style="11" customWidth="1"/>
    <col min="8753" max="8753" width="6.33203125" style="11" customWidth="1"/>
    <col min="8754" max="8755" width="6.6640625" style="11" customWidth="1"/>
    <col min="8756" max="8758" width="6.33203125" style="11" customWidth="1"/>
    <col min="8759" max="8759" width="5.5546875" style="11" customWidth="1"/>
    <col min="8760" max="8760" width="4.6640625" style="11" customWidth="1"/>
    <col min="8761" max="8761" width="8.33203125" style="11" customWidth="1"/>
    <col min="8762" max="8763" width="8" style="11" customWidth="1"/>
    <col min="8764" max="8764" width="2.6640625" style="11" customWidth="1"/>
    <col min="8765" max="8766" width="8.88671875" style="11"/>
    <col min="8767" max="8767" width="10.44140625" style="11" bestFit="1" customWidth="1"/>
    <col min="8768" max="8768" width="10.5546875" style="11" bestFit="1" customWidth="1"/>
    <col min="8769" max="8769" width="7.33203125" style="11" bestFit="1" customWidth="1"/>
    <col min="8770" max="8770" width="7.44140625" style="11" bestFit="1" customWidth="1"/>
    <col min="8771" max="8771" width="10.33203125" style="11" customWidth="1"/>
    <col min="8772" max="8772" width="8.88671875" style="11"/>
    <col min="8773" max="8773" width="4.88671875" style="11" bestFit="1" customWidth="1"/>
    <col min="8774" max="8774" width="5.5546875" style="11" customWidth="1"/>
    <col min="8775" max="8960" width="8.88671875" style="11"/>
    <col min="8961" max="8961" width="8.5546875" style="11" customWidth="1"/>
    <col min="8962" max="8962" width="6.44140625" style="11" customWidth="1"/>
    <col min="8963" max="8963" width="6.5546875" style="11" customWidth="1"/>
    <col min="8964" max="8964" width="5.5546875" style="11" customWidth="1"/>
    <col min="8965" max="8965" width="7.109375" style="11" customWidth="1"/>
    <col min="8966" max="8966" width="7.33203125" style="11" customWidth="1"/>
    <col min="8967" max="8967" width="5.6640625" style="11" customWidth="1"/>
    <col min="8968" max="8968" width="5.88671875" style="11" bestFit="1" customWidth="1"/>
    <col min="8969" max="8969" width="6.5546875" style="11" customWidth="1"/>
    <col min="8970" max="8970" width="8" style="11" customWidth="1"/>
    <col min="8971" max="8971" width="7.5546875" style="11" customWidth="1"/>
    <col min="8972" max="8972" width="6.109375" style="11" customWidth="1"/>
    <col min="8973" max="8974" width="8.88671875" style="11"/>
    <col min="8975" max="8975" width="8.33203125" style="11" customWidth="1"/>
    <col min="8976" max="8976" width="7.6640625" style="11" customWidth="1"/>
    <col min="8977" max="8977" width="8.33203125" style="11" customWidth="1"/>
    <col min="8978" max="8978" width="6.6640625" style="11" customWidth="1"/>
    <col min="8979" max="8980" width="8.109375" style="11" customWidth="1"/>
    <col min="8981" max="8981" width="6.6640625" style="11" customWidth="1"/>
    <col min="8982" max="8982" width="6.5546875" style="11" customWidth="1"/>
    <col min="8983" max="8983" width="5.88671875" style="11" customWidth="1"/>
    <col min="8984" max="8984" width="6.33203125" style="11" customWidth="1"/>
    <col min="8985" max="8985" width="7.33203125" style="11" customWidth="1"/>
    <col min="8986" max="8986" width="6.88671875" style="11" customWidth="1"/>
    <col min="8987" max="8989" width="6.6640625" style="11" customWidth="1"/>
    <col min="8990" max="8994" width="6.33203125" style="11" customWidth="1"/>
    <col min="8995" max="8995" width="15.33203125" style="11" bestFit="1" customWidth="1"/>
    <col min="8996" max="8998" width="6.33203125" style="11" customWidth="1"/>
    <col min="8999" max="8999" width="6.6640625" style="11" customWidth="1"/>
    <col min="9000" max="9001" width="6.33203125" style="11" customWidth="1"/>
    <col min="9002" max="9002" width="0" style="11" hidden="1" customWidth="1"/>
    <col min="9003" max="9003" width="7.109375" style="11" customWidth="1"/>
    <col min="9004" max="9006" width="6.33203125" style="11" customWidth="1"/>
    <col min="9007" max="9007" width="4.88671875" style="11" customWidth="1"/>
    <col min="9008" max="9008" width="4.6640625" style="11" customWidth="1"/>
    <col min="9009" max="9009" width="6.33203125" style="11" customWidth="1"/>
    <col min="9010" max="9011" width="6.6640625" style="11" customWidth="1"/>
    <col min="9012" max="9014" width="6.33203125" style="11" customWidth="1"/>
    <col min="9015" max="9015" width="5.5546875" style="11" customWidth="1"/>
    <col min="9016" max="9016" width="4.6640625" style="11" customWidth="1"/>
    <col min="9017" max="9017" width="8.33203125" style="11" customWidth="1"/>
    <col min="9018" max="9019" width="8" style="11" customWidth="1"/>
    <col min="9020" max="9020" width="2.6640625" style="11" customWidth="1"/>
    <col min="9021" max="9022" width="8.88671875" style="11"/>
    <col min="9023" max="9023" width="10.44140625" style="11" bestFit="1" customWidth="1"/>
    <col min="9024" max="9024" width="10.5546875" style="11" bestFit="1" customWidth="1"/>
    <col min="9025" max="9025" width="7.33203125" style="11" bestFit="1" customWidth="1"/>
    <col min="9026" max="9026" width="7.44140625" style="11" bestFit="1" customWidth="1"/>
    <col min="9027" max="9027" width="10.33203125" style="11" customWidth="1"/>
    <col min="9028" max="9028" width="8.88671875" style="11"/>
    <col min="9029" max="9029" width="4.88671875" style="11" bestFit="1" customWidth="1"/>
    <col min="9030" max="9030" width="5.5546875" style="11" customWidth="1"/>
    <col min="9031" max="9216" width="8.88671875" style="11"/>
    <col min="9217" max="9217" width="8.5546875" style="11" customWidth="1"/>
    <col min="9218" max="9218" width="6.44140625" style="11" customWidth="1"/>
    <col min="9219" max="9219" width="6.5546875" style="11" customWidth="1"/>
    <col min="9220" max="9220" width="5.5546875" style="11" customWidth="1"/>
    <col min="9221" max="9221" width="7.109375" style="11" customWidth="1"/>
    <col min="9222" max="9222" width="7.33203125" style="11" customWidth="1"/>
    <col min="9223" max="9223" width="5.6640625" style="11" customWidth="1"/>
    <col min="9224" max="9224" width="5.88671875" style="11" bestFit="1" customWidth="1"/>
    <col min="9225" max="9225" width="6.5546875" style="11" customWidth="1"/>
    <col min="9226" max="9226" width="8" style="11" customWidth="1"/>
    <col min="9227" max="9227" width="7.5546875" style="11" customWidth="1"/>
    <col min="9228" max="9228" width="6.109375" style="11" customWidth="1"/>
    <col min="9229" max="9230" width="8.88671875" style="11"/>
    <col min="9231" max="9231" width="8.33203125" style="11" customWidth="1"/>
    <col min="9232" max="9232" width="7.6640625" style="11" customWidth="1"/>
    <col min="9233" max="9233" width="8.33203125" style="11" customWidth="1"/>
    <col min="9234" max="9234" width="6.6640625" style="11" customWidth="1"/>
    <col min="9235" max="9236" width="8.109375" style="11" customWidth="1"/>
    <col min="9237" max="9237" width="6.6640625" style="11" customWidth="1"/>
    <col min="9238" max="9238" width="6.5546875" style="11" customWidth="1"/>
    <col min="9239" max="9239" width="5.88671875" style="11" customWidth="1"/>
    <col min="9240" max="9240" width="6.33203125" style="11" customWidth="1"/>
    <col min="9241" max="9241" width="7.33203125" style="11" customWidth="1"/>
    <col min="9242" max="9242" width="6.88671875" style="11" customWidth="1"/>
    <col min="9243" max="9245" width="6.6640625" style="11" customWidth="1"/>
    <col min="9246" max="9250" width="6.33203125" style="11" customWidth="1"/>
    <col min="9251" max="9251" width="15.33203125" style="11" bestFit="1" customWidth="1"/>
    <col min="9252" max="9254" width="6.33203125" style="11" customWidth="1"/>
    <col min="9255" max="9255" width="6.6640625" style="11" customWidth="1"/>
    <col min="9256" max="9257" width="6.33203125" style="11" customWidth="1"/>
    <col min="9258" max="9258" width="0" style="11" hidden="1" customWidth="1"/>
    <col min="9259" max="9259" width="7.109375" style="11" customWidth="1"/>
    <col min="9260" max="9262" width="6.33203125" style="11" customWidth="1"/>
    <col min="9263" max="9263" width="4.88671875" style="11" customWidth="1"/>
    <col min="9264" max="9264" width="4.6640625" style="11" customWidth="1"/>
    <col min="9265" max="9265" width="6.33203125" style="11" customWidth="1"/>
    <col min="9266" max="9267" width="6.6640625" style="11" customWidth="1"/>
    <col min="9268" max="9270" width="6.33203125" style="11" customWidth="1"/>
    <col min="9271" max="9271" width="5.5546875" style="11" customWidth="1"/>
    <col min="9272" max="9272" width="4.6640625" style="11" customWidth="1"/>
    <col min="9273" max="9273" width="8.33203125" style="11" customWidth="1"/>
    <col min="9274" max="9275" width="8" style="11" customWidth="1"/>
    <col min="9276" max="9276" width="2.6640625" style="11" customWidth="1"/>
    <col min="9277" max="9278" width="8.88671875" style="11"/>
    <col min="9279" max="9279" width="10.44140625" style="11" bestFit="1" customWidth="1"/>
    <col min="9280" max="9280" width="10.5546875" style="11" bestFit="1" customWidth="1"/>
    <col min="9281" max="9281" width="7.33203125" style="11" bestFit="1" customWidth="1"/>
    <col min="9282" max="9282" width="7.44140625" style="11" bestFit="1" customWidth="1"/>
    <col min="9283" max="9283" width="10.33203125" style="11" customWidth="1"/>
    <col min="9284" max="9284" width="8.88671875" style="11"/>
    <col min="9285" max="9285" width="4.88671875" style="11" bestFit="1" customWidth="1"/>
    <col min="9286" max="9286" width="5.5546875" style="11" customWidth="1"/>
    <col min="9287" max="9472" width="8.88671875" style="11"/>
    <col min="9473" max="9473" width="8.5546875" style="11" customWidth="1"/>
    <col min="9474" max="9474" width="6.44140625" style="11" customWidth="1"/>
    <col min="9475" max="9475" width="6.5546875" style="11" customWidth="1"/>
    <col min="9476" max="9476" width="5.5546875" style="11" customWidth="1"/>
    <col min="9477" max="9477" width="7.109375" style="11" customWidth="1"/>
    <col min="9478" max="9478" width="7.33203125" style="11" customWidth="1"/>
    <col min="9479" max="9479" width="5.6640625" style="11" customWidth="1"/>
    <col min="9480" max="9480" width="5.88671875" style="11" bestFit="1" customWidth="1"/>
    <col min="9481" max="9481" width="6.5546875" style="11" customWidth="1"/>
    <col min="9482" max="9482" width="8" style="11" customWidth="1"/>
    <col min="9483" max="9483" width="7.5546875" style="11" customWidth="1"/>
    <col min="9484" max="9484" width="6.109375" style="11" customWidth="1"/>
    <col min="9485" max="9486" width="8.88671875" style="11"/>
    <col min="9487" max="9487" width="8.33203125" style="11" customWidth="1"/>
    <col min="9488" max="9488" width="7.6640625" style="11" customWidth="1"/>
    <col min="9489" max="9489" width="8.33203125" style="11" customWidth="1"/>
    <col min="9490" max="9490" width="6.6640625" style="11" customWidth="1"/>
    <col min="9491" max="9492" width="8.109375" style="11" customWidth="1"/>
    <col min="9493" max="9493" width="6.6640625" style="11" customWidth="1"/>
    <col min="9494" max="9494" width="6.5546875" style="11" customWidth="1"/>
    <col min="9495" max="9495" width="5.88671875" style="11" customWidth="1"/>
    <col min="9496" max="9496" width="6.33203125" style="11" customWidth="1"/>
    <col min="9497" max="9497" width="7.33203125" style="11" customWidth="1"/>
    <col min="9498" max="9498" width="6.88671875" style="11" customWidth="1"/>
    <col min="9499" max="9501" width="6.6640625" style="11" customWidth="1"/>
    <col min="9502" max="9506" width="6.33203125" style="11" customWidth="1"/>
    <col min="9507" max="9507" width="15.33203125" style="11" bestFit="1" customWidth="1"/>
    <col min="9508" max="9510" width="6.33203125" style="11" customWidth="1"/>
    <col min="9511" max="9511" width="6.6640625" style="11" customWidth="1"/>
    <col min="9512" max="9513" width="6.33203125" style="11" customWidth="1"/>
    <col min="9514" max="9514" width="0" style="11" hidden="1" customWidth="1"/>
    <col min="9515" max="9515" width="7.109375" style="11" customWidth="1"/>
    <col min="9516" max="9518" width="6.33203125" style="11" customWidth="1"/>
    <col min="9519" max="9519" width="4.88671875" style="11" customWidth="1"/>
    <col min="9520" max="9520" width="4.6640625" style="11" customWidth="1"/>
    <col min="9521" max="9521" width="6.33203125" style="11" customWidth="1"/>
    <col min="9522" max="9523" width="6.6640625" style="11" customWidth="1"/>
    <col min="9524" max="9526" width="6.33203125" style="11" customWidth="1"/>
    <col min="9527" max="9527" width="5.5546875" style="11" customWidth="1"/>
    <col min="9528" max="9528" width="4.6640625" style="11" customWidth="1"/>
    <col min="9529" max="9529" width="8.33203125" style="11" customWidth="1"/>
    <col min="9530" max="9531" width="8" style="11" customWidth="1"/>
    <col min="9532" max="9532" width="2.6640625" style="11" customWidth="1"/>
    <col min="9533" max="9534" width="8.88671875" style="11"/>
    <col min="9535" max="9535" width="10.44140625" style="11" bestFit="1" customWidth="1"/>
    <col min="9536" max="9536" width="10.5546875" style="11" bestFit="1" customWidth="1"/>
    <col min="9537" max="9537" width="7.33203125" style="11" bestFit="1" customWidth="1"/>
    <col min="9538" max="9538" width="7.44140625" style="11" bestFit="1" customWidth="1"/>
    <col min="9539" max="9539" width="10.33203125" style="11" customWidth="1"/>
    <col min="9540" max="9540" width="8.88671875" style="11"/>
    <col min="9541" max="9541" width="4.88671875" style="11" bestFit="1" customWidth="1"/>
    <col min="9542" max="9542" width="5.5546875" style="11" customWidth="1"/>
    <col min="9543" max="9728" width="8.88671875" style="11"/>
    <col min="9729" max="9729" width="8.5546875" style="11" customWidth="1"/>
    <col min="9730" max="9730" width="6.44140625" style="11" customWidth="1"/>
    <col min="9731" max="9731" width="6.5546875" style="11" customWidth="1"/>
    <col min="9732" max="9732" width="5.5546875" style="11" customWidth="1"/>
    <col min="9733" max="9733" width="7.109375" style="11" customWidth="1"/>
    <col min="9734" max="9734" width="7.33203125" style="11" customWidth="1"/>
    <col min="9735" max="9735" width="5.6640625" style="11" customWidth="1"/>
    <col min="9736" max="9736" width="5.88671875" style="11" bestFit="1" customWidth="1"/>
    <col min="9737" max="9737" width="6.5546875" style="11" customWidth="1"/>
    <col min="9738" max="9738" width="8" style="11" customWidth="1"/>
    <col min="9739" max="9739" width="7.5546875" style="11" customWidth="1"/>
    <col min="9740" max="9740" width="6.109375" style="11" customWidth="1"/>
    <col min="9741" max="9742" width="8.88671875" style="11"/>
    <col min="9743" max="9743" width="8.33203125" style="11" customWidth="1"/>
    <col min="9744" max="9744" width="7.6640625" style="11" customWidth="1"/>
    <col min="9745" max="9745" width="8.33203125" style="11" customWidth="1"/>
    <col min="9746" max="9746" width="6.6640625" style="11" customWidth="1"/>
    <col min="9747" max="9748" width="8.109375" style="11" customWidth="1"/>
    <col min="9749" max="9749" width="6.6640625" style="11" customWidth="1"/>
    <col min="9750" max="9750" width="6.5546875" style="11" customWidth="1"/>
    <col min="9751" max="9751" width="5.88671875" style="11" customWidth="1"/>
    <col min="9752" max="9752" width="6.33203125" style="11" customWidth="1"/>
    <col min="9753" max="9753" width="7.33203125" style="11" customWidth="1"/>
    <col min="9754" max="9754" width="6.88671875" style="11" customWidth="1"/>
    <col min="9755" max="9757" width="6.6640625" style="11" customWidth="1"/>
    <col min="9758" max="9762" width="6.33203125" style="11" customWidth="1"/>
    <col min="9763" max="9763" width="15.33203125" style="11" bestFit="1" customWidth="1"/>
    <col min="9764" max="9766" width="6.33203125" style="11" customWidth="1"/>
    <col min="9767" max="9767" width="6.6640625" style="11" customWidth="1"/>
    <col min="9768" max="9769" width="6.33203125" style="11" customWidth="1"/>
    <col min="9770" max="9770" width="0" style="11" hidden="1" customWidth="1"/>
    <col min="9771" max="9771" width="7.109375" style="11" customWidth="1"/>
    <col min="9772" max="9774" width="6.33203125" style="11" customWidth="1"/>
    <col min="9775" max="9775" width="4.88671875" style="11" customWidth="1"/>
    <col min="9776" max="9776" width="4.6640625" style="11" customWidth="1"/>
    <col min="9777" max="9777" width="6.33203125" style="11" customWidth="1"/>
    <col min="9778" max="9779" width="6.6640625" style="11" customWidth="1"/>
    <col min="9780" max="9782" width="6.33203125" style="11" customWidth="1"/>
    <col min="9783" max="9783" width="5.5546875" style="11" customWidth="1"/>
    <col min="9784" max="9784" width="4.6640625" style="11" customWidth="1"/>
    <col min="9785" max="9785" width="8.33203125" style="11" customWidth="1"/>
    <col min="9786" max="9787" width="8" style="11" customWidth="1"/>
    <col min="9788" max="9788" width="2.6640625" style="11" customWidth="1"/>
    <col min="9789" max="9790" width="8.88671875" style="11"/>
    <col min="9791" max="9791" width="10.44140625" style="11" bestFit="1" customWidth="1"/>
    <col min="9792" max="9792" width="10.5546875" style="11" bestFit="1" customWidth="1"/>
    <col min="9793" max="9793" width="7.33203125" style="11" bestFit="1" customWidth="1"/>
    <col min="9794" max="9794" width="7.44140625" style="11" bestFit="1" customWidth="1"/>
    <col min="9795" max="9795" width="10.33203125" style="11" customWidth="1"/>
    <col min="9796" max="9796" width="8.88671875" style="11"/>
    <col min="9797" max="9797" width="4.88671875" style="11" bestFit="1" customWidth="1"/>
    <col min="9798" max="9798" width="5.5546875" style="11" customWidth="1"/>
    <col min="9799" max="9984" width="8.88671875" style="11"/>
    <col min="9985" max="9985" width="8.5546875" style="11" customWidth="1"/>
    <col min="9986" max="9986" width="6.44140625" style="11" customWidth="1"/>
    <col min="9987" max="9987" width="6.5546875" style="11" customWidth="1"/>
    <col min="9988" max="9988" width="5.5546875" style="11" customWidth="1"/>
    <col min="9989" max="9989" width="7.109375" style="11" customWidth="1"/>
    <col min="9990" max="9990" width="7.33203125" style="11" customWidth="1"/>
    <col min="9991" max="9991" width="5.6640625" style="11" customWidth="1"/>
    <col min="9992" max="9992" width="5.88671875" style="11" bestFit="1" customWidth="1"/>
    <col min="9993" max="9993" width="6.5546875" style="11" customWidth="1"/>
    <col min="9994" max="9994" width="8" style="11" customWidth="1"/>
    <col min="9995" max="9995" width="7.5546875" style="11" customWidth="1"/>
    <col min="9996" max="9996" width="6.109375" style="11" customWidth="1"/>
    <col min="9997" max="9998" width="8.88671875" style="11"/>
    <col min="9999" max="9999" width="8.33203125" style="11" customWidth="1"/>
    <col min="10000" max="10000" width="7.6640625" style="11" customWidth="1"/>
    <col min="10001" max="10001" width="8.33203125" style="11" customWidth="1"/>
    <col min="10002" max="10002" width="6.6640625" style="11" customWidth="1"/>
    <col min="10003" max="10004" width="8.109375" style="11" customWidth="1"/>
    <col min="10005" max="10005" width="6.6640625" style="11" customWidth="1"/>
    <col min="10006" max="10006" width="6.5546875" style="11" customWidth="1"/>
    <col min="10007" max="10007" width="5.88671875" style="11" customWidth="1"/>
    <col min="10008" max="10008" width="6.33203125" style="11" customWidth="1"/>
    <col min="10009" max="10009" width="7.33203125" style="11" customWidth="1"/>
    <col min="10010" max="10010" width="6.88671875" style="11" customWidth="1"/>
    <col min="10011" max="10013" width="6.6640625" style="11" customWidth="1"/>
    <col min="10014" max="10018" width="6.33203125" style="11" customWidth="1"/>
    <col min="10019" max="10019" width="15.33203125" style="11" bestFit="1" customWidth="1"/>
    <col min="10020" max="10022" width="6.33203125" style="11" customWidth="1"/>
    <col min="10023" max="10023" width="6.6640625" style="11" customWidth="1"/>
    <col min="10024" max="10025" width="6.33203125" style="11" customWidth="1"/>
    <col min="10026" max="10026" width="0" style="11" hidden="1" customWidth="1"/>
    <col min="10027" max="10027" width="7.109375" style="11" customWidth="1"/>
    <col min="10028" max="10030" width="6.33203125" style="11" customWidth="1"/>
    <col min="10031" max="10031" width="4.88671875" style="11" customWidth="1"/>
    <col min="10032" max="10032" width="4.6640625" style="11" customWidth="1"/>
    <col min="10033" max="10033" width="6.33203125" style="11" customWidth="1"/>
    <col min="10034" max="10035" width="6.6640625" style="11" customWidth="1"/>
    <col min="10036" max="10038" width="6.33203125" style="11" customWidth="1"/>
    <col min="10039" max="10039" width="5.5546875" style="11" customWidth="1"/>
    <col min="10040" max="10040" width="4.6640625" style="11" customWidth="1"/>
    <col min="10041" max="10041" width="8.33203125" style="11" customWidth="1"/>
    <col min="10042" max="10043" width="8" style="11" customWidth="1"/>
    <col min="10044" max="10044" width="2.6640625" style="11" customWidth="1"/>
    <col min="10045" max="10046" width="8.88671875" style="11"/>
    <col min="10047" max="10047" width="10.44140625" style="11" bestFit="1" customWidth="1"/>
    <col min="10048" max="10048" width="10.5546875" style="11" bestFit="1" customWidth="1"/>
    <col min="10049" max="10049" width="7.33203125" style="11" bestFit="1" customWidth="1"/>
    <col min="10050" max="10050" width="7.44140625" style="11" bestFit="1" customWidth="1"/>
    <col min="10051" max="10051" width="10.33203125" style="11" customWidth="1"/>
    <col min="10052" max="10052" width="8.88671875" style="11"/>
    <col min="10053" max="10053" width="4.88671875" style="11" bestFit="1" customWidth="1"/>
    <col min="10054" max="10054" width="5.5546875" style="11" customWidth="1"/>
    <col min="10055" max="10240" width="8.88671875" style="11"/>
    <col min="10241" max="10241" width="8.5546875" style="11" customWidth="1"/>
    <col min="10242" max="10242" width="6.44140625" style="11" customWidth="1"/>
    <col min="10243" max="10243" width="6.5546875" style="11" customWidth="1"/>
    <col min="10244" max="10244" width="5.5546875" style="11" customWidth="1"/>
    <col min="10245" max="10245" width="7.109375" style="11" customWidth="1"/>
    <col min="10246" max="10246" width="7.33203125" style="11" customWidth="1"/>
    <col min="10247" max="10247" width="5.6640625" style="11" customWidth="1"/>
    <col min="10248" max="10248" width="5.88671875" style="11" bestFit="1" customWidth="1"/>
    <col min="10249" max="10249" width="6.5546875" style="11" customWidth="1"/>
    <col min="10250" max="10250" width="8" style="11" customWidth="1"/>
    <col min="10251" max="10251" width="7.5546875" style="11" customWidth="1"/>
    <col min="10252" max="10252" width="6.109375" style="11" customWidth="1"/>
    <col min="10253" max="10254" width="8.88671875" style="11"/>
    <col min="10255" max="10255" width="8.33203125" style="11" customWidth="1"/>
    <col min="10256" max="10256" width="7.6640625" style="11" customWidth="1"/>
    <col min="10257" max="10257" width="8.33203125" style="11" customWidth="1"/>
    <col min="10258" max="10258" width="6.6640625" style="11" customWidth="1"/>
    <col min="10259" max="10260" width="8.109375" style="11" customWidth="1"/>
    <col min="10261" max="10261" width="6.6640625" style="11" customWidth="1"/>
    <col min="10262" max="10262" width="6.5546875" style="11" customWidth="1"/>
    <col min="10263" max="10263" width="5.88671875" style="11" customWidth="1"/>
    <col min="10264" max="10264" width="6.33203125" style="11" customWidth="1"/>
    <col min="10265" max="10265" width="7.33203125" style="11" customWidth="1"/>
    <col min="10266" max="10266" width="6.88671875" style="11" customWidth="1"/>
    <col min="10267" max="10269" width="6.6640625" style="11" customWidth="1"/>
    <col min="10270" max="10274" width="6.33203125" style="11" customWidth="1"/>
    <col min="10275" max="10275" width="15.33203125" style="11" bestFit="1" customWidth="1"/>
    <col min="10276" max="10278" width="6.33203125" style="11" customWidth="1"/>
    <col min="10279" max="10279" width="6.6640625" style="11" customWidth="1"/>
    <col min="10280" max="10281" width="6.33203125" style="11" customWidth="1"/>
    <col min="10282" max="10282" width="0" style="11" hidden="1" customWidth="1"/>
    <col min="10283" max="10283" width="7.109375" style="11" customWidth="1"/>
    <col min="10284" max="10286" width="6.33203125" style="11" customWidth="1"/>
    <col min="10287" max="10287" width="4.88671875" style="11" customWidth="1"/>
    <col min="10288" max="10288" width="4.6640625" style="11" customWidth="1"/>
    <col min="10289" max="10289" width="6.33203125" style="11" customWidth="1"/>
    <col min="10290" max="10291" width="6.6640625" style="11" customWidth="1"/>
    <col min="10292" max="10294" width="6.33203125" style="11" customWidth="1"/>
    <col min="10295" max="10295" width="5.5546875" style="11" customWidth="1"/>
    <col min="10296" max="10296" width="4.6640625" style="11" customWidth="1"/>
    <col min="10297" max="10297" width="8.33203125" style="11" customWidth="1"/>
    <col min="10298" max="10299" width="8" style="11" customWidth="1"/>
    <col min="10300" max="10300" width="2.6640625" style="11" customWidth="1"/>
    <col min="10301" max="10302" width="8.88671875" style="11"/>
    <col min="10303" max="10303" width="10.44140625" style="11" bestFit="1" customWidth="1"/>
    <col min="10304" max="10304" width="10.5546875" style="11" bestFit="1" customWidth="1"/>
    <col min="10305" max="10305" width="7.33203125" style="11" bestFit="1" customWidth="1"/>
    <col min="10306" max="10306" width="7.44140625" style="11" bestFit="1" customWidth="1"/>
    <col min="10307" max="10307" width="10.33203125" style="11" customWidth="1"/>
    <col min="10308" max="10308" width="8.88671875" style="11"/>
    <col min="10309" max="10309" width="4.88671875" style="11" bestFit="1" customWidth="1"/>
    <col min="10310" max="10310" width="5.5546875" style="11" customWidth="1"/>
    <col min="10311" max="10496" width="8.88671875" style="11"/>
    <col min="10497" max="10497" width="8.5546875" style="11" customWidth="1"/>
    <col min="10498" max="10498" width="6.44140625" style="11" customWidth="1"/>
    <col min="10499" max="10499" width="6.5546875" style="11" customWidth="1"/>
    <col min="10500" max="10500" width="5.5546875" style="11" customWidth="1"/>
    <col min="10501" max="10501" width="7.109375" style="11" customWidth="1"/>
    <col min="10502" max="10502" width="7.33203125" style="11" customWidth="1"/>
    <col min="10503" max="10503" width="5.6640625" style="11" customWidth="1"/>
    <col min="10504" max="10504" width="5.88671875" style="11" bestFit="1" customWidth="1"/>
    <col min="10505" max="10505" width="6.5546875" style="11" customWidth="1"/>
    <col min="10506" max="10506" width="8" style="11" customWidth="1"/>
    <col min="10507" max="10507" width="7.5546875" style="11" customWidth="1"/>
    <col min="10508" max="10508" width="6.109375" style="11" customWidth="1"/>
    <col min="10509" max="10510" width="8.88671875" style="11"/>
    <col min="10511" max="10511" width="8.33203125" style="11" customWidth="1"/>
    <col min="10512" max="10512" width="7.6640625" style="11" customWidth="1"/>
    <col min="10513" max="10513" width="8.33203125" style="11" customWidth="1"/>
    <col min="10514" max="10514" width="6.6640625" style="11" customWidth="1"/>
    <col min="10515" max="10516" width="8.109375" style="11" customWidth="1"/>
    <col min="10517" max="10517" width="6.6640625" style="11" customWidth="1"/>
    <col min="10518" max="10518" width="6.5546875" style="11" customWidth="1"/>
    <col min="10519" max="10519" width="5.88671875" style="11" customWidth="1"/>
    <col min="10520" max="10520" width="6.33203125" style="11" customWidth="1"/>
    <col min="10521" max="10521" width="7.33203125" style="11" customWidth="1"/>
    <col min="10522" max="10522" width="6.88671875" style="11" customWidth="1"/>
    <col min="10523" max="10525" width="6.6640625" style="11" customWidth="1"/>
    <col min="10526" max="10530" width="6.33203125" style="11" customWidth="1"/>
    <col min="10531" max="10531" width="15.33203125" style="11" bestFit="1" customWidth="1"/>
    <col min="10532" max="10534" width="6.33203125" style="11" customWidth="1"/>
    <col min="10535" max="10535" width="6.6640625" style="11" customWidth="1"/>
    <col min="10536" max="10537" width="6.33203125" style="11" customWidth="1"/>
    <col min="10538" max="10538" width="0" style="11" hidden="1" customWidth="1"/>
    <col min="10539" max="10539" width="7.109375" style="11" customWidth="1"/>
    <col min="10540" max="10542" width="6.33203125" style="11" customWidth="1"/>
    <col min="10543" max="10543" width="4.88671875" style="11" customWidth="1"/>
    <col min="10544" max="10544" width="4.6640625" style="11" customWidth="1"/>
    <col min="10545" max="10545" width="6.33203125" style="11" customWidth="1"/>
    <col min="10546" max="10547" width="6.6640625" style="11" customWidth="1"/>
    <col min="10548" max="10550" width="6.33203125" style="11" customWidth="1"/>
    <col min="10551" max="10551" width="5.5546875" style="11" customWidth="1"/>
    <col min="10552" max="10552" width="4.6640625" style="11" customWidth="1"/>
    <col min="10553" max="10553" width="8.33203125" style="11" customWidth="1"/>
    <col min="10554" max="10555" width="8" style="11" customWidth="1"/>
    <col min="10556" max="10556" width="2.6640625" style="11" customWidth="1"/>
    <col min="10557" max="10558" width="8.88671875" style="11"/>
    <col min="10559" max="10559" width="10.44140625" style="11" bestFit="1" customWidth="1"/>
    <col min="10560" max="10560" width="10.5546875" style="11" bestFit="1" customWidth="1"/>
    <col min="10561" max="10561" width="7.33203125" style="11" bestFit="1" customWidth="1"/>
    <col min="10562" max="10562" width="7.44140625" style="11" bestFit="1" customWidth="1"/>
    <col min="10563" max="10563" width="10.33203125" style="11" customWidth="1"/>
    <col min="10564" max="10564" width="8.88671875" style="11"/>
    <col min="10565" max="10565" width="4.88671875" style="11" bestFit="1" customWidth="1"/>
    <col min="10566" max="10566" width="5.5546875" style="11" customWidth="1"/>
    <col min="10567" max="10752" width="8.88671875" style="11"/>
    <col min="10753" max="10753" width="8.5546875" style="11" customWidth="1"/>
    <col min="10754" max="10754" width="6.44140625" style="11" customWidth="1"/>
    <col min="10755" max="10755" width="6.5546875" style="11" customWidth="1"/>
    <col min="10756" max="10756" width="5.5546875" style="11" customWidth="1"/>
    <col min="10757" max="10757" width="7.109375" style="11" customWidth="1"/>
    <col min="10758" max="10758" width="7.33203125" style="11" customWidth="1"/>
    <col min="10759" max="10759" width="5.6640625" style="11" customWidth="1"/>
    <col min="10760" max="10760" width="5.88671875" style="11" bestFit="1" customWidth="1"/>
    <col min="10761" max="10761" width="6.5546875" style="11" customWidth="1"/>
    <col min="10762" max="10762" width="8" style="11" customWidth="1"/>
    <col min="10763" max="10763" width="7.5546875" style="11" customWidth="1"/>
    <col min="10764" max="10764" width="6.109375" style="11" customWidth="1"/>
    <col min="10765" max="10766" width="8.88671875" style="11"/>
    <col min="10767" max="10767" width="8.33203125" style="11" customWidth="1"/>
    <col min="10768" max="10768" width="7.6640625" style="11" customWidth="1"/>
    <col min="10769" max="10769" width="8.33203125" style="11" customWidth="1"/>
    <col min="10770" max="10770" width="6.6640625" style="11" customWidth="1"/>
    <col min="10771" max="10772" width="8.109375" style="11" customWidth="1"/>
    <col min="10773" max="10773" width="6.6640625" style="11" customWidth="1"/>
    <col min="10774" max="10774" width="6.5546875" style="11" customWidth="1"/>
    <col min="10775" max="10775" width="5.88671875" style="11" customWidth="1"/>
    <col min="10776" max="10776" width="6.33203125" style="11" customWidth="1"/>
    <col min="10777" max="10777" width="7.33203125" style="11" customWidth="1"/>
    <col min="10778" max="10778" width="6.88671875" style="11" customWidth="1"/>
    <col min="10779" max="10781" width="6.6640625" style="11" customWidth="1"/>
    <col min="10782" max="10786" width="6.33203125" style="11" customWidth="1"/>
    <col min="10787" max="10787" width="15.33203125" style="11" bestFit="1" customWidth="1"/>
    <col min="10788" max="10790" width="6.33203125" style="11" customWidth="1"/>
    <col min="10791" max="10791" width="6.6640625" style="11" customWidth="1"/>
    <col min="10792" max="10793" width="6.33203125" style="11" customWidth="1"/>
    <col min="10794" max="10794" width="0" style="11" hidden="1" customWidth="1"/>
    <col min="10795" max="10795" width="7.109375" style="11" customWidth="1"/>
    <col min="10796" max="10798" width="6.33203125" style="11" customWidth="1"/>
    <col min="10799" max="10799" width="4.88671875" style="11" customWidth="1"/>
    <col min="10800" max="10800" width="4.6640625" style="11" customWidth="1"/>
    <col min="10801" max="10801" width="6.33203125" style="11" customWidth="1"/>
    <col min="10802" max="10803" width="6.6640625" style="11" customWidth="1"/>
    <col min="10804" max="10806" width="6.33203125" style="11" customWidth="1"/>
    <col min="10807" max="10807" width="5.5546875" style="11" customWidth="1"/>
    <col min="10808" max="10808" width="4.6640625" style="11" customWidth="1"/>
    <col min="10809" max="10809" width="8.33203125" style="11" customWidth="1"/>
    <col min="10810" max="10811" width="8" style="11" customWidth="1"/>
    <col min="10812" max="10812" width="2.6640625" style="11" customWidth="1"/>
    <col min="10813" max="10814" width="8.88671875" style="11"/>
    <col min="10815" max="10815" width="10.44140625" style="11" bestFit="1" customWidth="1"/>
    <col min="10816" max="10816" width="10.5546875" style="11" bestFit="1" customWidth="1"/>
    <col min="10817" max="10817" width="7.33203125" style="11" bestFit="1" customWidth="1"/>
    <col min="10818" max="10818" width="7.44140625" style="11" bestFit="1" customWidth="1"/>
    <col min="10819" max="10819" width="10.33203125" style="11" customWidth="1"/>
    <col min="10820" max="10820" width="8.88671875" style="11"/>
    <col min="10821" max="10821" width="4.88671875" style="11" bestFit="1" customWidth="1"/>
    <col min="10822" max="10822" width="5.5546875" style="11" customWidth="1"/>
    <col min="10823" max="11008" width="8.88671875" style="11"/>
    <col min="11009" max="11009" width="8.5546875" style="11" customWidth="1"/>
    <col min="11010" max="11010" width="6.44140625" style="11" customWidth="1"/>
    <col min="11011" max="11011" width="6.5546875" style="11" customWidth="1"/>
    <col min="11012" max="11012" width="5.5546875" style="11" customWidth="1"/>
    <col min="11013" max="11013" width="7.109375" style="11" customWidth="1"/>
    <col min="11014" max="11014" width="7.33203125" style="11" customWidth="1"/>
    <col min="11015" max="11015" width="5.6640625" style="11" customWidth="1"/>
    <col min="11016" max="11016" width="5.88671875" style="11" bestFit="1" customWidth="1"/>
    <col min="11017" max="11017" width="6.5546875" style="11" customWidth="1"/>
    <col min="11018" max="11018" width="8" style="11" customWidth="1"/>
    <col min="11019" max="11019" width="7.5546875" style="11" customWidth="1"/>
    <col min="11020" max="11020" width="6.109375" style="11" customWidth="1"/>
    <col min="11021" max="11022" width="8.88671875" style="11"/>
    <col min="11023" max="11023" width="8.33203125" style="11" customWidth="1"/>
    <col min="11024" max="11024" width="7.6640625" style="11" customWidth="1"/>
    <col min="11025" max="11025" width="8.33203125" style="11" customWidth="1"/>
    <col min="11026" max="11026" width="6.6640625" style="11" customWidth="1"/>
    <col min="11027" max="11028" width="8.109375" style="11" customWidth="1"/>
    <col min="11029" max="11029" width="6.6640625" style="11" customWidth="1"/>
    <col min="11030" max="11030" width="6.5546875" style="11" customWidth="1"/>
    <col min="11031" max="11031" width="5.88671875" style="11" customWidth="1"/>
    <col min="11032" max="11032" width="6.33203125" style="11" customWidth="1"/>
    <col min="11033" max="11033" width="7.33203125" style="11" customWidth="1"/>
    <col min="11034" max="11034" width="6.88671875" style="11" customWidth="1"/>
    <col min="11035" max="11037" width="6.6640625" style="11" customWidth="1"/>
    <col min="11038" max="11042" width="6.33203125" style="11" customWidth="1"/>
    <col min="11043" max="11043" width="15.33203125" style="11" bestFit="1" customWidth="1"/>
    <col min="11044" max="11046" width="6.33203125" style="11" customWidth="1"/>
    <col min="11047" max="11047" width="6.6640625" style="11" customWidth="1"/>
    <col min="11048" max="11049" width="6.33203125" style="11" customWidth="1"/>
    <col min="11050" max="11050" width="0" style="11" hidden="1" customWidth="1"/>
    <col min="11051" max="11051" width="7.109375" style="11" customWidth="1"/>
    <col min="11052" max="11054" width="6.33203125" style="11" customWidth="1"/>
    <col min="11055" max="11055" width="4.88671875" style="11" customWidth="1"/>
    <col min="11056" max="11056" width="4.6640625" style="11" customWidth="1"/>
    <col min="11057" max="11057" width="6.33203125" style="11" customWidth="1"/>
    <col min="11058" max="11059" width="6.6640625" style="11" customWidth="1"/>
    <col min="11060" max="11062" width="6.33203125" style="11" customWidth="1"/>
    <col min="11063" max="11063" width="5.5546875" style="11" customWidth="1"/>
    <col min="11064" max="11064" width="4.6640625" style="11" customWidth="1"/>
    <col min="11065" max="11065" width="8.33203125" style="11" customWidth="1"/>
    <col min="11066" max="11067" width="8" style="11" customWidth="1"/>
    <col min="11068" max="11068" width="2.6640625" style="11" customWidth="1"/>
    <col min="11069" max="11070" width="8.88671875" style="11"/>
    <col min="11071" max="11071" width="10.44140625" style="11" bestFit="1" customWidth="1"/>
    <col min="11072" max="11072" width="10.5546875" style="11" bestFit="1" customWidth="1"/>
    <col min="11073" max="11073" width="7.33203125" style="11" bestFit="1" customWidth="1"/>
    <col min="11074" max="11074" width="7.44140625" style="11" bestFit="1" customWidth="1"/>
    <col min="11075" max="11075" width="10.33203125" style="11" customWidth="1"/>
    <col min="11076" max="11076" width="8.88671875" style="11"/>
    <col min="11077" max="11077" width="4.88671875" style="11" bestFit="1" customWidth="1"/>
    <col min="11078" max="11078" width="5.5546875" style="11" customWidth="1"/>
    <col min="11079" max="11264" width="8.88671875" style="11"/>
    <col min="11265" max="11265" width="8.5546875" style="11" customWidth="1"/>
    <col min="11266" max="11266" width="6.44140625" style="11" customWidth="1"/>
    <col min="11267" max="11267" width="6.5546875" style="11" customWidth="1"/>
    <col min="11268" max="11268" width="5.5546875" style="11" customWidth="1"/>
    <col min="11269" max="11269" width="7.109375" style="11" customWidth="1"/>
    <col min="11270" max="11270" width="7.33203125" style="11" customWidth="1"/>
    <col min="11271" max="11271" width="5.6640625" style="11" customWidth="1"/>
    <col min="11272" max="11272" width="5.88671875" style="11" bestFit="1" customWidth="1"/>
    <col min="11273" max="11273" width="6.5546875" style="11" customWidth="1"/>
    <col min="11274" max="11274" width="8" style="11" customWidth="1"/>
    <col min="11275" max="11275" width="7.5546875" style="11" customWidth="1"/>
    <col min="11276" max="11276" width="6.109375" style="11" customWidth="1"/>
    <col min="11277" max="11278" width="8.88671875" style="11"/>
    <col min="11279" max="11279" width="8.33203125" style="11" customWidth="1"/>
    <col min="11280" max="11280" width="7.6640625" style="11" customWidth="1"/>
    <col min="11281" max="11281" width="8.33203125" style="11" customWidth="1"/>
    <col min="11282" max="11282" width="6.6640625" style="11" customWidth="1"/>
    <col min="11283" max="11284" width="8.109375" style="11" customWidth="1"/>
    <col min="11285" max="11285" width="6.6640625" style="11" customWidth="1"/>
    <col min="11286" max="11286" width="6.5546875" style="11" customWidth="1"/>
    <col min="11287" max="11287" width="5.88671875" style="11" customWidth="1"/>
    <col min="11288" max="11288" width="6.33203125" style="11" customWidth="1"/>
    <col min="11289" max="11289" width="7.33203125" style="11" customWidth="1"/>
    <col min="11290" max="11290" width="6.88671875" style="11" customWidth="1"/>
    <col min="11291" max="11293" width="6.6640625" style="11" customWidth="1"/>
    <col min="11294" max="11298" width="6.33203125" style="11" customWidth="1"/>
    <col min="11299" max="11299" width="15.33203125" style="11" bestFit="1" customWidth="1"/>
    <col min="11300" max="11302" width="6.33203125" style="11" customWidth="1"/>
    <col min="11303" max="11303" width="6.6640625" style="11" customWidth="1"/>
    <col min="11304" max="11305" width="6.33203125" style="11" customWidth="1"/>
    <col min="11306" max="11306" width="0" style="11" hidden="1" customWidth="1"/>
    <col min="11307" max="11307" width="7.109375" style="11" customWidth="1"/>
    <col min="11308" max="11310" width="6.33203125" style="11" customWidth="1"/>
    <col min="11311" max="11311" width="4.88671875" style="11" customWidth="1"/>
    <col min="11312" max="11312" width="4.6640625" style="11" customWidth="1"/>
    <col min="11313" max="11313" width="6.33203125" style="11" customWidth="1"/>
    <col min="11314" max="11315" width="6.6640625" style="11" customWidth="1"/>
    <col min="11316" max="11318" width="6.33203125" style="11" customWidth="1"/>
    <col min="11319" max="11319" width="5.5546875" style="11" customWidth="1"/>
    <col min="11320" max="11320" width="4.6640625" style="11" customWidth="1"/>
    <col min="11321" max="11321" width="8.33203125" style="11" customWidth="1"/>
    <col min="11322" max="11323" width="8" style="11" customWidth="1"/>
    <col min="11324" max="11324" width="2.6640625" style="11" customWidth="1"/>
    <col min="11325" max="11326" width="8.88671875" style="11"/>
    <col min="11327" max="11327" width="10.44140625" style="11" bestFit="1" customWidth="1"/>
    <col min="11328" max="11328" width="10.5546875" style="11" bestFit="1" customWidth="1"/>
    <col min="11329" max="11329" width="7.33203125" style="11" bestFit="1" customWidth="1"/>
    <col min="11330" max="11330" width="7.44140625" style="11" bestFit="1" customWidth="1"/>
    <col min="11331" max="11331" width="10.33203125" style="11" customWidth="1"/>
    <col min="11332" max="11332" width="8.88671875" style="11"/>
    <col min="11333" max="11333" width="4.88671875" style="11" bestFit="1" customWidth="1"/>
    <col min="11334" max="11334" width="5.5546875" style="11" customWidth="1"/>
    <col min="11335" max="11520" width="8.88671875" style="11"/>
    <col min="11521" max="11521" width="8.5546875" style="11" customWidth="1"/>
    <col min="11522" max="11522" width="6.44140625" style="11" customWidth="1"/>
    <col min="11523" max="11523" width="6.5546875" style="11" customWidth="1"/>
    <col min="11524" max="11524" width="5.5546875" style="11" customWidth="1"/>
    <col min="11525" max="11525" width="7.109375" style="11" customWidth="1"/>
    <col min="11526" max="11526" width="7.33203125" style="11" customWidth="1"/>
    <col min="11527" max="11527" width="5.6640625" style="11" customWidth="1"/>
    <col min="11528" max="11528" width="5.88671875" style="11" bestFit="1" customWidth="1"/>
    <col min="11529" max="11529" width="6.5546875" style="11" customWidth="1"/>
    <col min="11530" max="11530" width="8" style="11" customWidth="1"/>
    <col min="11531" max="11531" width="7.5546875" style="11" customWidth="1"/>
    <col min="11532" max="11532" width="6.109375" style="11" customWidth="1"/>
    <col min="11533" max="11534" width="8.88671875" style="11"/>
    <col min="11535" max="11535" width="8.33203125" style="11" customWidth="1"/>
    <col min="11536" max="11536" width="7.6640625" style="11" customWidth="1"/>
    <col min="11537" max="11537" width="8.33203125" style="11" customWidth="1"/>
    <col min="11538" max="11538" width="6.6640625" style="11" customWidth="1"/>
    <col min="11539" max="11540" width="8.109375" style="11" customWidth="1"/>
    <col min="11541" max="11541" width="6.6640625" style="11" customWidth="1"/>
    <col min="11542" max="11542" width="6.5546875" style="11" customWidth="1"/>
    <col min="11543" max="11543" width="5.88671875" style="11" customWidth="1"/>
    <col min="11544" max="11544" width="6.33203125" style="11" customWidth="1"/>
    <col min="11545" max="11545" width="7.33203125" style="11" customWidth="1"/>
    <col min="11546" max="11546" width="6.88671875" style="11" customWidth="1"/>
    <col min="11547" max="11549" width="6.6640625" style="11" customWidth="1"/>
    <col min="11550" max="11554" width="6.33203125" style="11" customWidth="1"/>
    <col min="11555" max="11555" width="15.33203125" style="11" bestFit="1" customWidth="1"/>
    <col min="11556" max="11558" width="6.33203125" style="11" customWidth="1"/>
    <col min="11559" max="11559" width="6.6640625" style="11" customWidth="1"/>
    <col min="11560" max="11561" width="6.33203125" style="11" customWidth="1"/>
    <col min="11562" max="11562" width="0" style="11" hidden="1" customWidth="1"/>
    <col min="11563" max="11563" width="7.109375" style="11" customWidth="1"/>
    <col min="11564" max="11566" width="6.33203125" style="11" customWidth="1"/>
    <col min="11567" max="11567" width="4.88671875" style="11" customWidth="1"/>
    <col min="11568" max="11568" width="4.6640625" style="11" customWidth="1"/>
    <col min="11569" max="11569" width="6.33203125" style="11" customWidth="1"/>
    <col min="11570" max="11571" width="6.6640625" style="11" customWidth="1"/>
    <col min="11572" max="11574" width="6.33203125" style="11" customWidth="1"/>
    <col min="11575" max="11575" width="5.5546875" style="11" customWidth="1"/>
    <col min="11576" max="11576" width="4.6640625" style="11" customWidth="1"/>
    <col min="11577" max="11577" width="8.33203125" style="11" customWidth="1"/>
    <col min="11578" max="11579" width="8" style="11" customWidth="1"/>
    <col min="11580" max="11580" width="2.6640625" style="11" customWidth="1"/>
    <col min="11581" max="11582" width="8.88671875" style="11"/>
    <col min="11583" max="11583" width="10.44140625" style="11" bestFit="1" customWidth="1"/>
    <col min="11584" max="11584" width="10.5546875" style="11" bestFit="1" customWidth="1"/>
    <col min="11585" max="11585" width="7.33203125" style="11" bestFit="1" customWidth="1"/>
    <col min="11586" max="11586" width="7.44140625" style="11" bestFit="1" customWidth="1"/>
    <col min="11587" max="11587" width="10.33203125" style="11" customWidth="1"/>
    <col min="11588" max="11588" width="8.88671875" style="11"/>
    <col min="11589" max="11589" width="4.88671875" style="11" bestFit="1" customWidth="1"/>
    <col min="11590" max="11590" width="5.5546875" style="11" customWidth="1"/>
    <col min="11591" max="11776" width="8.88671875" style="11"/>
    <col min="11777" max="11777" width="8.5546875" style="11" customWidth="1"/>
    <col min="11778" max="11778" width="6.44140625" style="11" customWidth="1"/>
    <col min="11779" max="11779" width="6.5546875" style="11" customWidth="1"/>
    <col min="11780" max="11780" width="5.5546875" style="11" customWidth="1"/>
    <col min="11781" max="11781" width="7.109375" style="11" customWidth="1"/>
    <col min="11782" max="11782" width="7.33203125" style="11" customWidth="1"/>
    <col min="11783" max="11783" width="5.6640625" style="11" customWidth="1"/>
    <col min="11784" max="11784" width="5.88671875" style="11" bestFit="1" customWidth="1"/>
    <col min="11785" max="11785" width="6.5546875" style="11" customWidth="1"/>
    <col min="11786" max="11786" width="8" style="11" customWidth="1"/>
    <col min="11787" max="11787" width="7.5546875" style="11" customWidth="1"/>
    <col min="11788" max="11788" width="6.109375" style="11" customWidth="1"/>
    <col min="11789" max="11790" width="8.88671875" style="11"/>
    <col min="11791" max="11791" width="8.33203125" style="11" customWidth="1"/>
    <col min="11792" max="11792" width="7.6640625" style="11" customWidth="1"/>
    <col min="11793" max="11793" width="8.33203125" style="11" customWidth="1"/>
    <col min="11794" max="11794" width="6.6640625" style="11" customWidth="1"/>
    <col min="11795" max="11796" width="8.109375" style="11" customWidth="1"/>
    <col min="11797" max="11797" width="6.6640625" style="11" customWidth="1"/>
    <col min="11798" max="11798" width="6.5546875" style="11" customWidth="1"/>
    <col min="11799" max="11799" width="5.88671875" style="11" customWidth="1"/>
    <col min="11800" max="11800" width="6.33203125" style="11" customWidth="1"/>
    <col min="11801" max="11801" width="7.33203125" style="11" customWidth="1"/>
    <col min="11802" max="11802" width="6.88671875" style="11" customWidth="1"/>
    <col min="11803" max="11805" width="6.6640625" style="11" customWidth="1"/>
    <col min="11806" max="11810" width="6.33203125" style="11" customWidth="1"/>
    <col min="11811" max="11811" width="15.33203125" style="11" bestFit="1" customWidth="1"/>
    <col min="11812" max="11814" width="6.33203125" style="11" customWidth="1"/>
    <col min="11815" max="11815" width="6.6640625" style="11" customWidth="1"/>
    <col min="11816" max="11817" width="6.33203125" style="11" customWidth="1"/>
    <col min="11818" max="11818" width="0" style="11" hidden="1" customWidth="1"/>
    <col min="11819" max="11819" width="7.109375" style="11" customWidth="1"/>
    <col min="11820" max="11822" width="6.33203125" style="11" customWidth="1"/>
    <col min="11823" max="11823" width="4.88671875" style="11" customWidth="1"/>
    <col min="11824" max="11824" width="4.6640625" style="11" customWidth="1"/>
    <col min="11825" max="11825" width="6.33203125" style="11" customWidth="1"/>
    <col min="11826" max="11827" width="6.6640625" style="11" customWidth="1"/>
    <col min="11828" max="11830" width="6.33203125" style="11" customWidth="1"/>
    <col min="11831" max="11831" width="5.5546875" style="11" customWidth="1"/>
    <col min="11832" max="11832" width="4.6640625" style="11" customWidth="1"/>
    <col min="11833" max="11833" width="8.33203125" style="11" customWidth="1"/>
    <col min="11834" max="11835" width="8" style="11" customWidth="1"/>
    <col min="11836" max="11836" width="2.6640625" style="11" customWidth="1"/>
    <col min="11837" max="11838" width="8.88671875" style="11"/>
    <col min="11839" max="11839" width="10.44140625" style="11" bestFit="1" customWidth="1"/>
    <col min="11840" max="11840" width="10.5546875" style="11" bestFit="1" customWidth="1"/>
    <col min="11841" max="11841" width="7.33203125" style="11" bestFit="1" customWidth="1"/>
    <col min="11842" max="11842" width="7.44140625" style="11" bestFit="1" customWidth="1"/>
    <col min="11843" max="11843" width="10.33203125" style="11" customWidth="1"/>
    <col min="11844" max="11844" width="8.88671875" style="11"/>
    <col min="11845" max="11845" width="4.88671875" style="11" bestFit="1" customWidth="1"/>
    <col min="11846" max="11846" width="5.5546875" style="11" customWidth="1"/>
    <col min="11847" max="12032" width="8.88671875" style="11"/>
    <col min="12033" max="12033" width="8.5546875" style="11" customWidth="1"/>
    <col min="12034" max="12034" width="6.44140625" style="11" customWidth="1"/>
    <col min="12035" max="12035" width="6.5546875" style="11" customWidth="1"/>
    <col min="12036" max="12036" width="5.5546875" style="11" customWidth="1"/>
    <col min="12037" max="12037" width="7.109375" style="11" customWidth="1"/>
    <col min="12038" max="12038" width="7.33203125" style="11" customWidth="1"/>
    <col min="12039" max="12039" width="5.6640625" style="11" customWidth="1"/>
    <col min="12040" max="12040" width="5.88671875" style="11" bestFit="1" customWidth="1"/>
    <col min="12041" max="12041" width="6.5546875" style="11" customWidth="1"/>
    <col min="12042" max="12042" width="8" style="11" customWidth="1"/>
    <col min="12043" max="12043" width="7.5546875" style="11" customWidth="1"/>
    <col min="12044" max="12044" width="6.109375" style="11" customWidth="1"/>
    <col min="12045" max="12046" width="8.88671875" style="11"/>
    <col min="12047" max="12047" width="8.33203125" style="11" customWidth="1"/>
    <col min="12048" max="12048" width="7.6640625" style="11" customWidth="1"/>
    <col min="12049" max="12049" width="8.33203125" style="11" customWidth="1"/>
    <col min="12050" max="12050" width="6.6640625" style="11" customWidth="1"/>
    <col min="12051" max="12052" width="8.109375" style="11" customWidth="1"/>
    <col min="12053" max="12053" width="6.6640625" style="11" customWidth="1"/>
    <col min="12054" max="12054" width="6.5546875" style="11" customWidth="1"/>
    <col min="12055" max="12055" width="5.88671875" style="11" customWidth="1"/>
    <col min="12056" max="12056" width="6.33203125" style="11" customWidth="1"/>
    <col min="12057" max="12057" width="7.33203125" style="11" customWidth="1"/>
    <col min="12058" max="12058" width="6.88671875" style="11" customWidth="1"/>
    <col min="12059" max="12061" width="6.6640625" style="11" customWidth="1"/>
    <col min="12062" max="12066" width="6.33203125" style="11" customWidth="1"/>
    <col min="12067" max="12067" width="15.33203125" style="11" bestFit="1" customWidth="1"/>
    <col min="12068" max="12070" width="6.33203125" style="11" customWidth="1"/>
    <col min="12071" max="12071" width="6.6640625" style="11" customWidth="1"/>
    <col min="12072" max="12073" width="6.33203125" style="11" customWidth="1"/>
    <col min="12074" max="12074" width="0" style="11" hidden="1" customWidth="1"/>
    <col min="12075" max="12075" width="7.109375" style="11" customWidth="1"/>
    <col min="12076" max="12078" width="6.33203125" style="11" customWidth="1"/>
    <col min="12079" max="12079" width="4.88671875" style="11" customWidth="1"/>
    <col min="12080" max="12080" width="4.6640625" style="11" customWidth="1"/>
    <col min="12081" max="12081" width="6.33203125" style="11" customWidth="1"/>
    <col min="12082" max="12083" width="6.6640625" style="11" customWidth="1"/>
    <col min="12084" max="12086" width="6.33203125" style="11" customWidth="1"/>
    <col min="12087" max="12087" width="5.5546875" style="11" customWidth="1"/>
    <col min="12088" max="12088" width="4.6640625" style="11" customWidth="1"/>
    <col min="12089" max="12089" width="8.33203125" style="11" customWidth="1"/>
    <col min="12090" max="12091" width="8" style="11" customWidth="1"/>
    <col min="12092" max="12092" width="2.6640625" style="11" customWidth="1"/>
    <col min="12093" max="12094" width="8.88671875" style="11"/>
    <col min="12095" max="12095" width="10.44140625" style="11" bestFit="1" customWidth="1"/>
    <col min="12096" max="12096" width="10.5546875" style="11" bestFit="1" customWidth="1"/>
    <col min="12097" max="12097" width="7.33203125" style="11" bestFit="1" customWidth="1"/>
    <col min="12098" max="12098" width="7.44140625" style="11" bestFit="1" customWidth="1"/>
    <col min="12099" max="12099" width="10.33203125" style="11" customWidth="1"/>
    <col min="12100" max="12100" width="8.88671875" style="11"/>
    <col min="12101" max="12101" width="4.88671875" style="11" bestFit="1" customWidth="1"/>
    <col min="12102" max="12102" width="5.5546875" style="11" customWidth="1"/>
    <col min="12103" max="12288" width="8.88671875" style="11"/>
    <col min="12289" max="12289" width="8.5546875" style="11" customWidth="1"/>
    <col min="12290" max="12290" width="6.44140625" style="11" customWidth="1"/>
    <col min="12291" max="12291" width="6.5546875" style="11" customWidth="1"/>
    <col min="12292" max="12292" width="5.5546875" style="11" customWidth="1"/>
    <col min="12293" max="12293" width="7.109375" style="11" customWidth="1"/>
    <col min="12294" max="12294" width="7.33203125" style="11" customWidth="1"/>
    <col min="12295" max="12295" width="5.6640625" style="11" customWidth="1"/>
    <col min="12296" max="12296" width="5.88671875" style="11" bestFit="1" customWidth="1"/>
    <col min="12297" max="12297" width="6.5546875" style="11" customWidth="1"/>
    <col min="12298" max="12298" width="8" style="11" customWidth="1"/>
    <col min="12299" max="12299" width="7.5546875" style="11" customWidth="1"/>
    <col min="12300" max="12300" width="6.109375" style="11" customWidth="1"/>
    <col min="12301" max="12302" width="8.88671875" style="11"/>
    <col min="12303" max="12303" width="8.33203125" style="11" customWidth="1"/>
    <col min="12304" max="12304" width="7.6640625" style="11" customWidth="1"/>
    <col min="12305" max="12305" width="8.33203125" style="11" customWidth="1"/>
    <col min="12306" max="12306" width="6.6640625" style="11" customWidth="1"/>
    <col min="12307" max="12308" width="8.109375" style="11" customWidth="1"/>
    <col min="12309" max="12309" width="6.6640625" style="11" customWidth="1"/>
    <col min="12310" max="12310" width="6.5546875" style="11" customWidth="1"/>
    <col min="12311" max="12311" width="5.88671875" style="11" customWidth="1"/>
    <col min="12312" max="12312" width="6.33203125" style="11" customWidth="1"/>
    <col min="12313" max="12313" width="7.33203125" style="11" customWidth="1"/>
    <col min="12314" max="12314" width="6.88671875" style="11" customWidth="1"/>
    <col min="12315" max="12317" width="6.6640625" style="11" customWidth="1"/>
    <col min="12318" max="12322" width="6.33203125" style="11" customWidth="1"/>
    <col min="12323" max="12323" width="15.33203125" style="11" bestFit="1" customWidth="1"/>
    <col min="12324" max="12326" width="6.33203125" style="11" customWidth="1"/>
    <col min="12327" max="12327" width="6.6640625" style="11" customWidth="1"/>
    <col min="12328" max="12329" width="6.33203125" style="11" customWidth="1"/>
    <col min="12330" max="12330" width="0" style="11" hidden="1" customWidth="1"/>
    <col min="12331" max="12331" width="7.109375" style="11" customWidth="1"/>
    <col min="12332" max="12334" width="6.33203125" style="11" customWidth="1"/>
    <col min="12335" max="12335" width="4.88671875" style="11" customWidth="1"/>
    <col min="12336" max="12336" width="4.6640625" style="11" customWidth="1"/>
    <col min="12337" max="12337" width="6.33203125" style="11" customWidth="1"/>
    <col min="12338" max="12339" width="6.6640625" style="11" customWidth="1"/>
    <col min="12340" max="12342" width="6.33203125" style="11" customWidth="1"/>
    <col min="12343" max="12343" width="5.5546875" style="11" customWidth="1"/>
    <col min="12344" max="12344" width="4.6640625" style="11" customWidth="1"/>
    <col min="12345" max="12345" width="8.33203125" style="11" customWidth="1"/>
    <col min="12346" max="12347" width="8" style="11" customWidth="1"/>
    <col min="12348" max="12348" width="2.6640625" style="11" customWidth="1"/>
    <col min="12349" max="12350" width="8.88671875" style="11"/>
    <col min="12351" max="12351" width="10.44140625" style="11" bestFit="1" customWidth="1"/>
    <col min="12352" max="12352" width="10.5546875" style="11" bestFit="1" customWidth="1"/>
    <col min="12353" max="12353" width="7.33203125" style="11" bestFit="1" customWidth="1"/>
    <col min="12354" max="12354" width="7.44140625" style="11" bestFit="1" customWidth="1"/>
    <col min="12355" max="12355" width="10.33203125" style="11" customWidth="1"/>
    <col min="12356" max="12356" width="8.88671875" style="11"/>
    <col min="12357" max="12357" width="4.88671875" style="11" bestFit="1" customWidth="1"/>
    <col min="12358" max="12358" width="5.5546875" style="11" customWidth="1"/>
    <col min="12359" max="12544" width="8.88671875" style="11"/>
    <col min="12545" max="12545" width="8.5546875" style="11" customWidth="1"/>
    <col min="12546" max="12546" width="6.44140625" style="11" customWidth="1"/>
    <col min="12547" max="12547" width="6.5546875" style="11" customWidth="1"/>
    <col min="12548" max="12548" width="5.5546875" style="11" customWidth="1"/>
    <col min="12549" max="12549" width="7.109375" style="11" customWidth="1"/>
    <col min="12550" max="12550" width="7.33203125" style="11" customWidth="1"/>
    <col min="12551" max="12551" width="5.6640625" style="11" customWidth="1"/>
    <col min="12552" max="12552" width="5.88671875" style="11" bestFit="1" customWidth="1"/>
    <col min="12553" max="12553" width="6.5546875" style="11" customWidth="1"/>
    <col min="12554" max="12554" width="8" style="11" customWidth="1"/>
    <col min="12555" max="12555" width="7.5546875" style="11" customWidth="1"/>
    <col min="12556" max="12556" width="6.109375" style="11" customWidth="1"/>
    <col min="12557" max="12558" width="8.88671875" style="11"/>
    <col min="12559" max="12559" width="8.33203125" style="11" customWidth="1"/>
    <col min="12560" max="12560" width="7.6640625" style="11" customWidth="1"/>
    <col min="12561" max="12561" width="8.33203125" style="11" customWidth="1"/>
    <col min="12562" max="12562" width="6.6640625" style="11" customWidth="1"/>
    <col min="12563" max="12564" width="8.109375" style="11" customWidth="1"/>
    <col min="12565" max="12565" width="6.6640625" style="11" customWidth="1"/>
    <col min="12566" max="12566" width="6.5546875" style="11" customWidth="1"/>
    <col min="12567" max="12567" width="5.88671875" style="11" customWidth="1"/>
    <col min="12568" max="12568" width="6.33203125" style="11" customWidth="1"/>
    <col min="12569" max="12569" width="7.33203125" style="11" customWidth="1"/>
    <col min="12570" max="12570" width="6.88671875" style="11" customWidth="1"/>
    <col min="12571" max="12573" width="6.6640625" style="11" customWidth="1"/>
    <col min="12574" max="12578" width="6.33203125" style="11" customWidth="1"/>
    <col min="12579" max="12579" width="15.33203125" style="11" bestFit="1" customWidth="1"/>
    <col min="12580" max="12582" width="6.33203125" style="11" customWidth="1"/>
    <col min="12583" max="12583" width="6.6640625" style="11" customWidth="1"/>
    <col min="12584" max="12585" width="6.33203125" style="11" customWidth="1"/>
    <col min="12586" max="12586" width="0" style="11" hidden="1" customWidth="1"/>
    <col min="12587" max="12587" width="7.109375" style="11" customWidth="1"/>
    <col min="12588" max="12590" width="6.33203125" style="11" customWidth="1"/>
    <col min="12591" max="12591" width="4.88671875" style="11" customWidth="1"/>
    <col min="12592" max="12592" width="4.6640625" style="11" customWidth="1"/>
    <col min="12593" max="12593" width="6.33203125" style="11" customWidth="1"/>
    <col min="12594" max="12595" width="6.6640625" style="11" customWidth="1"/>
    <col min="12596" max="12598" width="6.33203125" style="11" customWidth="1"/>
    <col min="12599" max="12599" width="5.5546875" style="11" customWidth="1"/>
    <col min="12600" max="12600" width="4.6640625" style="11" customWidth="1"/>
    <col min="12601" max="12601" width="8.33203125" style="11" customWidth="1"/>
    <col min="12602" max="12603" width="8" style="11" customWidth="1"/>
    <col min="12604" max="12604" width="2.6640625" style="11" customWidth="1"/>
    <col min="12605" max="12606" width="8.88671875" style="11"/>
    <col min="12607" max="12607" width="10.44140625" style="11" bestFit="1" customWidth="1"/>
    <col min="12608" max="12608" width="10.5546875" style="11" bestFit="1" customWidth="1"/>
    <col min="12609" max="12609" width="7.33203125" style="11" bestFit="1" customWidth="1"/>
    <col min="12610" max="12610" width="7.44140625" style="11" bestFit="1" customWidth="1"/>
    <col min="12611" max="12611" width="10.33203125" style="11" customWidth="1"/>
    <col min="12612" max="12612" width="8.88671875" style="11"/>
    <col min="12613" max="12613" width="4.88671875" style="11" bestFit="1" customWidth="1"/>
    <col min="12614" max="12614" width="5.5546875" style="11" customWidth="1"/>
    <col min="12615" max="12800" width="8.88671875" style="11"/>
    <col min="12801" max="12801" width="8.5546875" style="11" customWidth="1"/>
    <col min="12802" max="12802" width="6.44140625" style="11" customWidth="1"/>
    <col min="12803" max="12803" width="6.5546875" style="11" customWidth="1"/>
    <col min="12804" max="12804" width="5.5546875" style="11" customWidth="1"/>
    <col min="12805" max="12805" width="7.109375" style="11" customWidth="1"/>
    <col min="12806" max="12806" width="7.33203125" style="11" customWidth="1"/>
    <col min="12807" max="12807" width="5.6640625" style="11" customWidth="1"/>
    <col min="12808" max="12808" width="5.88671875" style="11" bestFit="1" customWidth="1"/>
    <col min="12809" max="12809" width="6.5546875" style="11" customWidth="1"/>
    <col min="12810" max="12810" width="8" style="11" customWidth="1"/>
    <col min="12811" max="12811" width="7.5546875" style="11" customWidth="1"/>
    <col min="12812" max="12812" width="6.109375" style="11" customWidth="1"/>
    <col min="12813" max="12814" width="8.88671875" style="11"/>
    <col min="12815" max="12815" width="8.33203125" style="11" customWidth="1"/>
    <col min="12816" max="12816" width="7.6640625" style="11" customWidth="1"/>
    <col min="12817" max="12817" width="8.33203125" style="11" customWidth="1"/>
    <col min="12818" max="12818" width="6.6640625" style="11" customWidth="1"/>
    <col min="12819" max="12820" width="8.109375" style="11" customWidth="1"/>
    <col min="12821" max="12821" width="6.6640625" style="11" customWidth="1"/>
    <col min="12822" max="12822" width="6.5546875" style="11" customWidth="1"/>
    <col min="12823" max="12823" width="5.88671875" style="11" customWidth="1"/>
    <col min="12824" max="12824" width="6.33203125" style="11" customWidth="1"/>
    <col min="12825" max="12825" width="7.33203125" style="11" customWidth="1"/>
    <col min="12826" max="12826" width="6.88671875" style="11" customWidth="1"/>
    <col min="12827" max="12829" width="6.6640625" style="11" customWidth="1"/>
    <col min="12830" max="12834" width="6.33203125" style="11" customWidth="1"/>
    <col min="12835" max="12835" width="15.33203125" style="11" bestFit="1" customWidth="1"/>
    <col min="12836" max="12838" width="6.33203125" style="11" customWidth="1"/>
    <col min="12839" max="12839" width="6.6640625" style="11" customWidth="1"/>
    <col min="12840" max="12841" width="6.33203125" style="11" customWidth="1"/>
    <col min="12842" max="12842" width="0" style="11" hidden="1" customWidth="1"/>
    <col min="12843" max="12843" width="7.109375" style="11" customWidth="1"/>
    <col min="12844" max="12846" width="6.33203125" style="11" customWidth="1"/>
    <col min="12847" max="12847" width="4.88671875" style="11" customWidth="1"/>
    <col min="12848" max="12848" width="4.6640625" style="11" customWidth="1"/>
    <col min="12849" max="12849" width="6.33203125" style="11" customWidth="1"/>
    <col min="12850" max="12851" width="6.6640625" style="11" customWidth="1"/>
    <col min="12852" max="12854" width="6.33203125" style="11" customWidth="1"/>
    <col min="12855" max="12855" width="5.5546875" style="11" customWidth="1"/>
    <col min="12856" max="12856" width="4.6640625" style="11" customWidth="1"/>
    <col min="12857" max="12857" width="8.33203125" style="11" customWidth="1"/>
    <col min="12858" max="12859" width="8" style="11" customWidth="1"/>
    <col min="12860" max="12860" width="2.6640625" style="11" customWidth="1"/>
    <col min="12861" max="12862" width="8.88671875" style="11"/>
    <col min="12863" max="12863" width="10.44140625" style="11" bestFit="1" customWidth="1"/>
    <col min="12864" max="12864" width="10.5546875" style="11" bestFit="1" customWidth="1"/>
    <col min="12865" max="12865" width="7.33203125" style="11" bestFit="1" customWidth="1"/>
    <col min="12866" max="12866" width="7.44140625" style="11" bestFit="1" customWidth="1"/>
    <col min="12867" max="12867" width="10.33203125" style="11" customWidth="1"/>
    <col min="12868" max="12868" width="8.88671875" style="11"/>
    <col min="12869" max="12869" width="4.88671875" style="11" bestFit="1" customWidth="1"/>
    <col min="12870" max="12870" width="5.5546875" style="11" customWidth="1"/>
    <col min="12871" max="13056" width="8.88671875" style="11"/>
    <col min="13057" max="13057" width="8.5546875" style="11" customWidth="1"/>
    <col min="13058" max="13058" width="6.44140625" style="11" customWidth="1"/>
    <col min="13059" max="13059" width="6.5546875" style="11" customWidth="1"/>
    <col min="13060" max="13060" width="5.5546875" style="11" customWidth="1"/>
    <col min="13061" max="13061" width="7.109375" style="11" customWidth="1"/>
    <col min="13062" max="13062" width="7.33203125" style="11" customWidth="1"/>
    <col min="13063" max="13063" width="5.6640625" style="11" customWidth="1"/>
    <col min="13064" max="13064" width="5.88671875" style="11" bestFit="1" customWidth="1"/>
    <col min="13065" max="13065" width="6.5546875" style="11" customWidth="1"/>
    <col min="13066" max="13066" width="8" style="11" customWidth="1"/>
    <col min="13067" max="13067" width="7.5546875" style="11" customWidth="1"/>
    <col min="13068" max="13068" width="6.109375" style="11" customWidth="1"/>
    <col min="13069" max="13070" width="8.88671875" style="11"/>
    <col min="13071" max="13071" width="8.33203125" style="11" customWidth="1"/>
    <col min="13072" max="13072" width="7.6640625" style="11" customWidth="1"/>
    <col min="13073" max="13073" width="8.33203125" style="11" customWidth="1"/>
    <col min="13074" max="13074" width="6.6640625" style="11" customWidth="1"/>
    <col min="13075" max="13076" width="8.109375" style="11" customWidth="1"/>
    <col min="13077" max="13077" width="6.6640625" style="11" customWidth="1"/>
    <col min="13078" max="13078" width="6.5546875" style="11" customWidth="1"/>
    <col min="13079" max="13079" width="5.88671875" style="11" customWidth="1"/>
    <col min="13080" max="13080" width="6.33203125" style="11" customWidth="1"/>
    <col min="13081" max="13081" width="7.33203125" style="11" customWidth="1"/>
    <col min="13082" max="13082" width="6.88671875" style="11" customWidth="1"/>
    <col min="13083" max="13085" width="6.6640625" style="11" customWidth="1"/>
    <col min="13086" max="13090" width="6.33203125" style="11" customWidth="1"/>
    <col min="13091" max="13091" width="15.33203125" style="11" bestFit="1" customWidth="1"/>
    <col min="13092" max="13094" width="6.33203125" style="11" customWidth="1"/>
    <col min="13095" max="13095" width="6.6640625" style="11" customWidth="1"/>
    <col min="13096" max="13097" width="6.33203125" style="11" customWidth="1"/>
    <col min="13098" max="13098" width="0" style="11" hidden="1" customWidth="1"/>
    <col min="13099" max="13099" width="7.109375" style="11" customWidth="1"/>
    <col min="13100" max="13102" width="6.33203125" style="11" customWidth="1"/>
    <col min="13103" max="13103" width="4.88671875" style="11" customWidth="1"/>
    <col min="13104" max="13104" width="4.6640625" style="11" customWidth="1"/>
    <col min="13105" max="13105" width="6.33203125" style="11" customWidth="1"/>
    <col min="13106" max="13107" width="6.6640625" style="11" customWidth="1"/>
    <col min="13108" max="13110" width="6.33203125" style="11" customWidth="1"/>
    <col min="13111" max="13111" width="5.5546875" style="11" customWidth="1"/>
    <col min="13112" max="13112" width="4.6640625" style="11" customWidth="1"/>
    <col min="13113" max="13113" width="8.33203125" style="11" customWidth="1"/>
    <col min="13114" max="13115" width="8" style="11" customWidth="1"/>
    <col min="13116" max="13116" width="2.6640625" style="11" customWidth="1"/>
    <col min="13117" max="13118" width="8.88671875" style="11"/>
    <col min="13119" max="13119" width="10.44140625" style="11" bestFit="1" customWidth="1"/>
    <col min="13120" max="13120" width="10.5546875" style="11" bestFit="1" customWidth="1"/>
    <col min="13121" max="13121" width="7.33203125" style="11" bestFit="1" customWidth="1"/>
    <col min="13122" max="13122" width="7.44140625" style="11" bestFit="1" customWidth="1"/>
    <col min="13123" max="13123" width="10.33203125" style="11" customWidth="1"/>
    <col min="13124" max="13124" width="8.88671875" style="11"/>
    <col min="13125" max="13125" width="4.88671875" style="11" bestFit="1" customWidth="1"/>
    <col min="13126" max="13126" width="5.5546875" style="11" customWidth="1"/>
    <col min="13127" max="13312" width="8.88671875" style="11"/>
    <col min="13313" max="13313" width="8.5546875" style="11" customWidth="1"/>
    <col min="13314" max="13314" width="6.44140625" style="11" customWidth="1"/>
    <col min="13315" max="13315" width="6.5546875" style="11" customWidth="1"/>
    <col min="13316" max="13316" width="5.5546875" style="11" customWidth="1"/>
    <col min="13317" max="13317" width="7.109375" style="11" customWidth="1"/>
    <col min="13318" max="13318" width="7.33203125" style="11" customWidth="1"/>
    <col min="13319" max="13319" width="5.6640625" style="11" customWidth="1"/>
    <col min="13320" max="13320" width="5.88671875" style="11" bestFit="1" customWidth="1"/>
    <col min="13321" max="13321" width="6.5546875" style="11" customWidth="1"/>
    <col min="13322" max="13322" width="8" style="11" customWidth="1"/>
    <col min="13323" max="13323" width="7.5546875" style="11" customWidth="1"/>
    <col min="13324" max="13324" width="6.109375" style="11" customWidth="1"/>
    <col min="13325" max="13326" width="8.88671875" style="11"/>
    <col min="13327" max="13327" width="8.33203125" style="11" customWidth="1"/>
    <col min="13328" max="13328" width="7.6640625" style="11" customWidth="1"/>
    <col min="13329" max="13329" width="8.33203125" style="11" customWidth="1"/>
    <col min="13330" max="13330" width="6.6640625" style="11" customWidth="1"/>
    <col min="13331" max="13332" width="8.109375" style="11" customWidth="1"/>
    <col min="13333" max="13333" width="6.6640625" style="11" customWidth="1"/>
    <col min="13334" max="13334" width="6.5546875" style="11" customWidth="1"/>
    <col min="13335" max="13335" width="5.88671875" style="11" customWidth="1"/>
    <col min="13336" max="13336" width="6.33203125" style="11" customWidth="1"/>
    <col min="13337" max="13337" width="7.33203125" style="11" customWidth="1"/>
    <col min="13338" max="13338" width="6.88671875" style="11" customWidth="1"/>
    <col min="13339" max="13341" width="6.6640625" style="11" customWidth="1"/>
    <col min="13342" max="13346" width="6.33203125" style="11" customWidth="1"/>
    <col min="13347" max="13347" width="15.33203125" style="11" bestFit="1" customWidth="1"/>
    <col min="13348" max="13350" width="6.33203125" style="11" customWidth="1"/>
    <col min="13351" max="13351" width="6.6640625" style="11" customWidth="1"/>
    <col min="13352" max="13353" width="6.33203125" style="11" customWidth="1"/>
    <col min="13354" max="13354" width="0" style="11" hidden="1" customWidth="1"/>
    <col min="13355" max="13355" width="7.109375" style="11" customWidth="1"/>
    <col min="13356" max="13358" width="6.33203125" style="11" customWidth="1"/>
    <col min="13359" max="13359" width="4.88671875" style="11" customWidth="1"/>
    <col min="13360" max="13360" width="4.6640625" style="11" customWidth="1"/>
    <col min="13361" max="13361" width="6.33203125" style="11" customWidth="1"/>
    <col min="13362" max="13363" width="6.6640625" style="11" customWidth="1"/>
    <col min="13364" max="13366" width="6.33203125" style="11" customWidth="1"/>
    <col min="13367" max="13367" width="5.5546875" style="11" customWidth="1"/>
    <col min="13368" max="13368" width="4.6640625" style="11" customWidth="1"/>
    <col min="13369" max="13369" width="8.33203125" style="11" customWidth="1"/>
    <col min="13370" max="13371" width="8" style="11" customWidth="1"/>
    <col min="13372" max="13372" width="2.6640625" style="11" customWidth="1"/>
    <col min="13373" max="13374" width="8.88671875" style="11"/>
    <col min="13375" max="13375" width="10.44140625" style="11" bestFit="1" customWidth="1"/>
    <col min="13376" max="13376" width="10.5546875" style="11" bestFit="1" customWidth="1"/>
    <col min="13377" max="13377" width="7.33203125" style="11" bestFit="1" customWidth="1"/>
    <col min="13378" max="13378" width="7.44140625" style="11" bestFit="1" customWidth="1"/>
    <col min="13379" max="13379" width="10.33203125" style="11" customWidth="1"/>
    <col min="13380" max="13380" width="8.88671875" style="11"/>
    <col min="13381" max="13381" width="4.88671875" style="11" bestFit="1" customWidth="1"/>
    <col min="13382" max="13382" width="5.5546875" style="11" customWidth="1"/>
    <col min="13383" max="13568" width="8.88671875" style="11"/>
    <col min="13569" max="13569" width="8.5546875" style="11" customWidth="1"/>
    <col min="13570" max="13570" width="6.44140625" style="11" customWidth="1"/>
    <col min="13571" max="13571" width="6.5546875" style="11" customWidth="1"/>
    <col min="13572" max="13572" width="5.5546875" style="11" customWidth="1"/>
    <col min="13573" max="13573" width="7.109375" style="11" customWidth="1"/>
    <col min="13574" max="13574" width="7.33203125" style="11" customWidth="1"/>
    <col min="13575" max="13575" width="5.6640625" style="11" customWidth="1"/>
    <col min="13576" max="13576" width="5.88671875" style="11" bestFit="1" customWidth="1"/>
    <col min="13577" max="13577" width="6.5546875" style="11" customWidth="1"/>
    <col min="13578" max="13578" width="8" style="11" customWidth="1"/>
    <col min="13579" max="13579" width="7.5546875" style="11" customWidth="1"/>
    <col min="13580" max="13580" width="6.109375" style="11" customWidth="1"/>
    <col min="13581" max="13582" width="8.88671875" style="11"/>
    <col min="13583" max="13583" width="8.33203125" style="11" customWidth="1"/>
    <col min="13584" max="13584" width="7.6640625" style="11" customWidth="1"/>
    <col min="13585" max="13585" width="8.33203125" style="11" customWidth="1"/>
    <col min="13586" max="13586" width="6.6640625" style="11" customWidth="1"/>
    <col min="13587" max="13588" width="8.109375" style="11" customWidth="1"/>
    <col min="13589" max="13589" width="6.6640625" style="11" customWidth="1"/>
    <col min="13590" max="13590" width="6.5546875" style="11" customWidth="1"/>
    <col min="13591" max="13591" width="5.88671875" style="11" customWidth="1"/>
    <col min="13592" max="13592" width="6.33203125" style="11" customWidth="1"/>
    <col min="13593" max="13593" width="7.33203125" style="11" customWidth="1"/>
    <col min="13594" max="13594" width="6.88671875" style="11" customWidth="1"/>
    <col min="13595" max="13597" width="6.6640625" style="11" customWidth="1"/>
    <col min="13598" max="13602" width="6.33203125" style="11" customWidth="1"/>
    <col min="13603" max="13603" width="15.33203125" style="11" bestFit="1" customWidth="1"/>
    <col min="13604" max="13606" width="6.33203125" style="11" customWidth="1"/>
    <col min="13607" max="13607" width="6.6640625" style="11" customWidth="1"/>
    <col min="13608" max="13609" width="6.33203125" style="11" customWidth="1"/>
    <col min="13610" max="13610" width="0" style="11" hidden="1" customWidth="1"/>
    <col min="13611" max="13611" width="7.109375" style="11" customWidth="1"/>
    <col min="13612" max="13614" width="6.33203125" style="11" customWidth="1"/>
    <col min="13615" max="13615" width="4.88671875" style="11" customWidth="1"/>
    <col min="13616" max="13616" width="4.6640625" style="11" customWidth="1"/>
    <col min="13617" max="13617" width="6.33203125" style="11" customWidth="1"/>
    <col min="13618" max="13619" width="6.6640625" style="11" customWidth="1"/>
    <col min="13620" max="13622" width="6.33203125" style="11" customWidth="1"/>
    <col min="13623" max="13623" width="5.5546875" style="11" customWidth="1"/>
    <col min="13624" max="13624" width="4.6640625" style="11" customWidth="1"/>
    <col min="13625" max="13625" width="8.33203125" style="11" customWidth="1"/>
    <col min="13626" max="13627" width="8" style="11" customWidth="1"/>
    <col min="13628" max="13628" width="2.6640625" style="11" customWidth="1"/>
    <col min="13629" max="13630" width="8.88671875" style="11"/>
    <col min="13631" max="13631" width="10.44140625" style="11" bestFit="1" customWidth="1"/>
    <col min="13632" max="13632" width="10.5546875" style="11" bestFit="1" customWidth="1"/>
    <col min="13633" max="13633" width="7.33203125" style="11" bestFit="1" customWidth="1"/>
    <col min="13634" max="13634" width="7.44140625" style="11" bestFit="1" customWidth="1"/>
    <col min="13635" max="13635" width="10.33203125" style="11" customWidth="1"/>
    <col min="13636" max="13636" width="8.88671875" style="11"/>
    <col min="13637" max="13637" width="4.88671875" style="11" bestFit="1" customWidth="1"/>
    <col min="13638" max="13638" width="5.5546875" style="11" customWidth="1"/>
    <col min="13639" max="13824" width="8.88671875" style="11"/>
    <col min="13825" max="13825" width="8.5546875" style="11" customWidth="1"/>
    <col min="13826" max="13826" width="6.44140625" style="11" customWidth="1"/>
    <col min="13827" max="13827" width="6.5546875" style="11" customWidth="1"/>
    <col min="13828" max="13828" width="5.5546875" style="11" customWidth="1"/>
    <col min="13829" max="13829" width="7.109375" style="11" customWidth="1"/>
    <col min="13830" max="13830" width="7.33203125" style="11" customWidth="1"/>
    <col min="13831" max="13831" width="5.6640625" style="11" customWidth="1"/>
    <col min="13832" max="13832" width="5.88671875" style="11" bestFit="1" customWidth="1"/>
    <col min="13833" max="13833" width="6.5546875" style="11" customWidth="1"/>
    <col min="13834" max="13834" width="8" style="11" customWidth="1"/>
    <col min="13835" max="13835" width="7.5546875" style="11" customWidth="1"/>
    <col min="13836" max="13836" width="6.109375" style="11" customWidth="1"/>
    <col min="13837" max="13838" width="8.88671875" style="11"/>
    <col min="13839" max="13839" width="8.33203125" style="11" customWidth="1"/>
    <col min="13840" max="13840" width="7.6640625" style="11" customWidth="1"/>
    <col min="13841" max="13841" width="8.33203125" style="11" customWidth="1"/>
    <col min="13842" max="13842" width="6.6640625" style="11" customWidth="1"/>
    <col min="13843" max="13844" width="8.109375" style="11" customWidth="1"/>
    <col min="13845" max="13845" width="6.6640625" style="11" customWidth="1"/>
    <col min="13846" max="13846" width="6.5546875" style="11" customWidth="1"/>
    <col min="13847" max="13847" width="5.88671875" style="11" customWidth="1"/>
    <col min="13848" max="13848" width="6.33203125" style="11" customWidth="1"/>
    <col min="13849" max="13849" width="7.33203125" style="11" customWidth="1"/>
    <col min="13850" max="13850" width="6.88671875" style="11" customWidth="1"/>
    <col min="13851" max="13853" width="6.6640625" style="11" customWidth="1"/>
    <col min="13854" max="13858" width="6.33203125" style="11" customWidth="1"/>
    <col min="13859" max="13859" width="15.33203125" style="11" bestFit="1" customWidth="1"/>
    <col min="13860" max="13862" width="6.33203125" style="11" customWidth="1"/>
    <col min="13863" max="13863" width="6.6640625" style="11" customWidth="1"/>
    <col min="13864" max="13865" width="6.33203125" style="11" customWidth="1"/>
    <col min="13866" max="13866" width="0" style="11" hidden="1" customWidth="1"/>
    <col min="13867" max="13867" width="7.109375" style="11" customWidth="1"/>
    <col min="13868" max="13870" width="6.33203125" style="11" customWidth="1"/>
    <col min="13871" max="13871" width="4.88671875" style="11" customWidth="1"/>
    <col min="13872" max="13872" width="4.6640625" style="11" customWidth="1"/>
    <col min="13873" max="13873" width="6.33203125" style="11" customWidth="1"/>
    <col min="13874" max="13875" width="6.6640625" style="11" customWidth="1"/>
    <col min="13876" max="13878" width="6.33203125" style="11" customWidth="1"/>
    <col min="13879" max="13879" width="5.5546875" style="11" customWidth="1"/>
    <col min="13880" max="13880" width="4.6640625" style="11" customWidth="1"/>
    <col min="13881" max="13881" width="8.33203125" style="11" customWidth="1"/>
    <col min="13882" max="13883" width="8" style="11" customWidth="1"/>
    <col min="13884" max="13884" width="2.6640625" style="11" customWidth="1"/>
    <col min="13885" max="13886" width="8.88671875" style="11"/>
    <col min="13887" max="13887" width="10.44140625" style="11" bestFit="1" customWidth="1"/>
    <col min="13888" max="13888" width="10.5546875" style="11" bestFit="1" customWidth="1"/>
    <col min="13889" max="13889" width="7.33203125" style="11" bestFit="1" customWidth="1"/>
    <col min="13890" max="13890" width="7.44140625" style="11" bestFit="1" customWidth="1"/>
    <col min="13891" max="13891" width="10.33203125" style="11" customWidth="1"/>
    <col min="13892" max="13892" width="8.88671875" style="11"/>
    <col min="13893" max="13893" width="4.88671875" style="11" bestFit="1" customWidth="1"/>
    <col min="13894" max="13894" width="5.5546875" style="11" customWidth="1"/>
    <col min="13895" max="14080" width="8.88671875" style="11"/>
    <col min="14081" max="14081" width="8.5546875" style="11" customWidth="1"/>
    <col min="14082" max="14082" width="6.44140625" style="11" customWidth="1"/>
    <col min="14083" max="14083" width="6.5546875" style="11" customWidth="1"/>
    <col min="14084" max="14084" width="5.5546875" style="11" customWidth="1"/>
    <col min="14085" max="14085" width="7.109375" style="11" customWidth="1"/>
    <col min="14086" max="14086" width="7.33203125" style="11" customWidth="1"/>
    <col min="14087" max="14087" width="5.6640625" style="11" customWidth="1"/>
    <col min="14088" max="14088" width="5.88671875" style="11" bestFit="1" customWidth="1"/>
    <col min="14089" max="14089" width="6.5546875" style="11" customWidth="1"/>
    <col min="14090" max="14090" width="8" style="11" customWidth="1"/>
    <col min="14091" max="14091" width="7.5546875" style="11" customWidth="1"/>
    <col min="14092" max="14092" width="6.109375" style="11" customWidth="1"/>
    <col min="14093" max="14094" width="8.88671875" style="11"/>
    <col min="14095" max="14095" width="8.33203125" style="11" customWidth="1"/>
    <col min="14096" max="14096" width="7.6640625" style="11" customWidth="1"/>
    <col min="14097" max="14097" width="8.33203125" style="11" customWidth="1"/>
    <col min="14098" max="14098" width="6.6640625" style="11" customWidth="1"/>
    <col min="14099" max="14100" width="8.109375" style="11" customWidth="1"/>
    <col min="14101" max="14101" width="6.6640625" style="11" customWidth="1"/>
    <col min="14102" max="14102" width="6.5546875" style="11" customWidth="1"/>
    <col min="14103" max="14103" width="5.88671875" style="11" customWidth="1"/>
    <col min="14104" max="14104" width="6.33203125" style="11" customWidth="1"/>
    <col min="14105" max="14105" width="7.33203125" style="11" customWidth="1"/>
    <col min="14106" max="14106" width="6.88671875" style="11" customWidth="1"/>
    <col min="14107" max="14109" width="6.6640625" style="11" customWidth="1"/>
    <col min="14110" max="14114" width="6.33203125" style="11" customWidth="1"/>
    <col min="14115" max="14115" width="15.33203125" style="11" bestFit="1" customWidth="1"/>
    <col min="14116" max="14118" width="6.33203125" style="11" customWidth="1"/>
    <col min="14119" max="14119" width="6.6640625" style="11" customWidth="1"/>
    <col min="14120" max="14121" width="6.33203125" style="11" customWidth="1"/>
    <col min="14122" max="14122" width="0" style="11" hidden="1" customWidth="1"/>
    <col min="14123" max="14123" width="7.109375" style="11" customWidth="1"/>
    <col min="14124" max="14126" width="6.33203125" style="11" customWidth="1"/>
    <col min="14127" max="14127" width="4.88671875" style="11" customWidth="1"/>
    <col min="14128" max="14128" width="4.6640625" style="11" customWidth="1"/>
    <col min="14129" max="14129" width="6.33203125" style="11" customWidth="1"/>
    <col min="14130" max="14131" width="6.6640625" style="11" customWidth="1"/>
    <col min="14132" max="14134" width="6.33203125" style="11" customWidth="1"/>
    <col min="14135" max="14135" width="5.5546875" style="11" customWidth="1"/>
    <col min="14136" max="14136" width="4.6640625" style="11" customWidth="1"/>
    <col min="14137" max="14137" width="8.33203125" style="11" customWidth="1"/>
    <col min="14138" max="14139" width="8" style="11" customWidth="1"/>
    <col min="14140" max="14140" width="2.6640625" style="11" customWidth="1"/>
    <col min="14141" max="14142" width="8.88671875" style="11"/>
    <col min="14143" max="14143" width="10.44140625" style="11" bestFit="1" customWidth="1"/>
    <col min="14144" max="14144" width="10.5546875" style="11" bestFit="1" customWidth="1"/>
    <col min="14145" max="14145" width="7.33203125" style="11" bestFit="1" customWidth="1"/>
    <col min="14146" max="14146" width="7.44140625" style="11" bestFit="1" customWidth="1"/>
    <col min="14147" max="14147" width="10.33203125" style="11" customWidth="1"/>
    <col min="14148" max="14148" width="8.88671875" style="11"/>
    <col min="14149" max="14149" width="4.88671875" style="11" bestFit="1" customWidth="1"/>
    <col min="14150" max="14150" width="5.5546875" style="11" customWidth="1"/>
    <col min="14151" max="14336" width="8.88671875" style="11"/>
    <col min="14337" max="14337" width="8.5546875" style="11" customWidth="1"/>
    <col min="14338" max="14338" width="6.44140625" style="11" customWidth="1"/>
    <col min="14339" max="14339" width="6.5546875" style="11" customWidth="1"/>
    <col min="14340" max="14340" width="5.5546875" style="11" customWidth="1"/>
    <col min="14341" max="14341" width="7.109375" style="11" customWidth="1"/>
    <col min="14342" max="14342" width="7.33203125" style="11" customWidth="1"/>
    <col min="14343" max="14343" width="5.6640625" style="11" customWidth="1"/>
    <col min="14344" max="14344" width="5.88671875" style="11" bestFit="1" customWidth="1"/>
    <col min="14345" max="14345" width="6.5546875" style="11" customWidth="1"/>
    <col min="14346" max="14346" width="8" style="11" customWidth="1"/>
    <col min="14347" max="14347" width="7.5546875" style="11" customWidth="1"/>
    <col min="14348" max="14348" width="6.109375" style="11" customWidth="1"/>
    <col min="14349" max="14350" width="8.88671875" style="11"/>
    <col min="14351" max="14351" width="8.33203125" style="11" customWidth="1"/>
    <col min="14352" max="14352" width="7.6640625" style="11" customWidth="1"/>
    <col min="14353" max="14353" width="8.33203125" style="11" customWidth="1"/>
    <col min="14354" max="14354" width="6.6640625" style="11" customWidth="1"/>
    <col min="14355" max="14356" width="8.109375" style="11" customWidth="1"/>
    <col min="14357" max="14357" width="6.6640625" style="11" customWidth="1"/>
    <col min="14358" max="14358" width="6.5546875" style="11" customWidth="1"/>
    <col min="14359" max="14359" width="5.88671875" style="11" customWidth="1"/>
    <col min="14360" max="14360" width="6.33203125" style="11" customWidth="1"/>
    <col min="14361" max="14361" width="7.33203125" style="11" customWidth="1"/>
    <col min="14362" max="14362" width="6.88671875" style="11" customWidth="1"/>
    <col min="14363" max="14365" width="6.6640625" style="11" customWidth="1"/>
    <col min="14366" max="14370" width="6.33203125" style="11" customWidth="1"/>
    <col min="14371" max="14371" width="15.33203125" style="11" bestFit="1" customWidth="1"/>
    <col min="14372" max="14374" width="6.33203125" style="11" customWidth="1"/>
    <col min="14375" max="14375" width="6.6640625" style="11" customWidth="1"/>
    <col min="14376" max="14377" width="6.33203125" style="11" customWidth="1"/>
    <col min="14378" max="14378" width="0" style="11" hidden="1" customWidth="1"/>
    <col min="14379" max="14379" width="7.109375" style="11" customWidth="1"/>
    <col min="14380" max="14382" width="6.33203125" style="11" customWidth="1"/>
    <col min="14383" max="14383" width="4.88671875" style="11" customWidth="1"/>
    <col min="14384" max="14384" width="4.6640625" style="11" customWidth="1"/>
    <col min="14385" max="14385" width="6.33203125" style="11" customWidth="1"/>
    <col min="14386" max="14387" width="6.6640625" style="11" customWidth="1"/>
    <col min="14388" max="14390" width="6.33203125" style="11" customWidth="1"/>
    <col min="14391" max="14391" width="5.5546875" style="11" customWidth="1"/>
    <col min="14392" max="14392" width="4.6640625" style="11" customWidth="1"/>
    <col min="14393" max="14393" width="8.33203125" style="11" customWidth="1"/>
    <col min="14394" max="14395" width="8" style="11" customWidth="1"/>
    <col min="14396" max="14396" width="2.6640625" style="11" customWidth="1"/>
    <col min="14397" max="14398" width="8.88671875" style="11"/>
    <col min="14399" max="14399" width="10.44140625" style="11" bestFit="1" customWidth="1"/>
    <col min="14400" max="14400" width="10.5546875" style="11" bestFit="1" customWidth="1"/>
    <col min="14401" max="14401" width="7.33203125" style="11" bestFit="1" customWidth="1"/>
    <col min="14402" max="14402" width="7.44140625" style="11" bestFit="1" customWidth="1"/>
    <col min="14403" max="14403" width="10.33203125" style="11" customWidth="1"/>
    <col min="14404" max="14404" width="8.88671875" style="11"/>
    <col min="14405" max="14405" width="4.88671875" style="11" bestFit="1" customWidth="1"/>
    <col min="14406" max="14406" width="5.5546875" style="11" customWidth="1"/>
    <col min="14407" max="14592" width="8.88671875" style="11"/>
    <col min="14593" max="14593" width="8.5546875" style="11" customWidth="1"/>
    <col min="14594" max="14594" width="6.44140625" style="11" customWidth="1"/>
    <col min="14595" max="14595" width="6.5546875" style="11" customWidth="1"/>
    <col min="14596" max="14596" width="5.5546875" style="11" customWidth="1"/>
    <col min="14597" max="14597" width="7.109375" style="11" customWidth="1"/>
    <col min="14598" max="14598" width="7.33203125" style="11" customWidth="1"/>
    <col min="14599" max="14599" width="5.6640625" style="11" customWidth="1"/>
    <col min="14600" max="14600" width="5.88671875" style="11" bestFit="1" customWidth="1"/>
    <col min="14601" max="14601" width="6.5546875" style="11" customWidth="1"/>
    <col min="14602" max="14602" width="8" style="11" customWidth="1"/>
    <col min="14603" max="14603" width="7.5546875" style="11" customWidth="1"/>
    <col min="14604" max="14604" width="6.109375" style="11" customWidth="1"/>
    <col min="14605" max="14606" width="8.88671875" style="11"/>
    <col min="14607" max="14607" width="8.33203125" style="11" customWidth="1"/>
    <col min="14608" max="14608" width="7.6640625" style="11" customWidth="1"/>
    <col min="14609" max="14609" width="8.33203125" style="11" customWidth="1"/>
    <col min="14610" max="14610" width="6.6640625" style="11" customWidth="1"/>
    <col min="14611" max="14612" width="8.109375" style="11" customWidth="1"/>
    <col min="14613" max="14613" width="6.6640625" style="11" customWidth="1"/>
    <col min="14614" max="14614" width="6.5546875" style="11" customWidth="1"/>
    <col min="14615" max="14615" width="5.88671875" style="11" customWidth="1"/>
    <col min="14616" max="14616" width="6.33203125" style="11" customWidth="1"/>
    <col min="14617" max="14617" width="7.33203125" style="11" customWidth="1"/>
    <col min="14618" max="14618" width="6.88671875" style="11" customWidth="1"/>
    <col min="14619" max="14621" width="6.6640625" style="11" customWidth="1"/>
    <col min="14622" max="14626" width="6.33203125" style="11" customWidth="1"/>
    <col min="14627" max="14627" width="15.33203125" style="11" bestFit="1" customWidth="1"/>
    <col min="14628" max="14630" width="6.33203125" style="11" customWidth="1"/>
    <col min="14631" max="14631" width="6.6640625" style="11" customWidth="1"/>
    <col min="14632" max="14633" width="6.33203125" style="11" customWidth="1"/>
    <col min="14634" max="14634" width="0" style="11" hidden="1" customWidth="1"/>
    <col min="14635" max="14635" width="7.109375" style="11" customWidth="1"/>
    <col min="14636" max="14638" width="6.33203125" style="11" customWidth="1"/>
    <col min="14639" max="14639" width="4.88671875" style="11" customWidth="1"/>
    <col min="14640" max="14640" width="4.6640625" style="11" customWidth="1"/>
    <col min="14641" max="14641" width="6.33203125" style="11" customWidth="1"/>
    <col min="14642" max="14643" width="6.6640625" style="11" customWidth="1"/>
    <col min="14644" max="14646" width="6.33203125" style="11" customWidth="1"/>
    <col min="14647" max="14647" width="5.5546875" style="11" customWidth="1"/>
    <col min="14648" max="14648" width="4.6640625" style="11" customWidth="1"/>
    <col min="14649" max="14649" width="8.33203125" style="11" customWidth="1"/>
    <col min="14650" max="14651" width="8" style="11" customWidth="1"/>
    <col min="14652" max="14652" width="2.6640625" style="11" customWidth="1"/>
    <col min="14653" max="14654" width="8.88671875" style="11"/>
    <col min="14655" max="14655" width="10.44140625" style="11" bestFit="1" customWidth="1"/>
    <col min="14656" max="14656" width="10.5546875" style="11" bestFit="1" customWidth="1"/>
    <col min="14657" max="14657" width="7.33203125" style="11" bestFit="1" customWidth="1"/>
    <col min="14658" max="14658" width="7.44140625" style="11" bestFit="1" customWidth="1"/>
    <col min="14659" max="14659" width="10.33203125" style="11" customWidth="1"/>
    <col min="14660" max="14660" width="8.88671875" style="11"/>
    <col min="14661" max="14661" width="4.88671875" style="11" bestFit="1" customWidth="1"/>
    <col min="14662" max="14662" width="5.5546875" style="11" customWidth="1"/>
    <col min="14663" max="14848" width="8.88671875" style="11"/>
    <col min="14849" max="14849" width="8.5546875" style="11" customWidth="1"/>
    <col min="14850" max="14850" width="6.44140625" style="11" customWidth="1"/>
    <col min="14851" max="14851" width="6.5546875" style="11" customWidth="1"/>
    <col min="14852" max="14852" width="5.5546875" style="11" customWidth="1"/>
    <col min="14853" max="14853" width="7.109375" style="11" customWidth="1"/>
    <col min="14854" max="14854" width="7.33203125" style="11" customWidth="1"/>
    <col min="14855" max="14855" width="5.6640625" style="11" customWidth="1"/>
    <col min="14856" max="14856" width="5.88671875" style="11" bestFit="1" customWidth="1"/>
    <col min="14857" max="14857" width="6.5546875" style="11" customWidth="1"/>
    <col min="14858" max="14858" width="8" style="11" customWidth="1"/>
    <col min="14859" max="14859" width="7.5546875" style="11" customWidth="1"/>
    <col min="14860" max="14860" width="6.109375" style="11" customWidth="1"/>
    <col min="14861" max="14862" width="8.88671875" style="11"/>
    <col min="14863" max="14863" width="8.33203125" style="11" customWidth="1"/>
    <col min="14864" max="14864" width="7.6640625" style="11" customWidth="1"/>
    <col min="14865" max="14865" width="8.33203125" style="11" customWidth="1"/>
    <col min="14866" max="14866" width="6.6640625" style="11" customWidth="1"/>
    <col min="14867" max="14868" width="8.109375" style="11" customWidth="1"/>
    <col min="14869" max="14869" width="6.6640625" style="11" customWidth="1"/>
    <col min="14870" max="14870" width="6.5546875" style="11" customWidth="1"/>
    <col min="14871" max="14871" width="5.88671875" style="11" customWidth="1"/>
    <col min="14872" max="14872" width="6.33203125" style="11" customWidth="1"/>
    <col min="14873" max="14873" width="7.33203125" style="11" customWidth="1"/>
    <col min="14874" max="14874" width="6.88671875" style="11" customWidth="1"/>
    <col min="14875" max="14877" width="6.6640625" style="11" customWidth="1"/>
    <col min="14878" max="14882" width="6.33203125" style="11" customWidth="1"/>
    <col min="14883" max="14883" width="15.33203125" style="11" bestFit="1" customWidth="1"/>
    <col min="14884" max="14886" width="6.33203125" style="11" customWidth="1"/>
    <col min="14887" max="14887" width="6.6640625" style="11" customWidth="1"/>
    <col min="14888" max="14889" width="6.33203125" style="11" customWidth="1"/>
    <col min="14890" max="14890" width="0" style="11" hidden="1" customWidth="1"/>
    <col min="14891" max="14891" width="7.109375" style="11" customWidth="1"/>
    <col min="14892" max="14894" width="6.33203125" style="11" customWidth="1"/>
    <col min="14895" max="14895" width="4.88671875" style="11" customWidth="1"/>
    <col min="14896" max="14896" width="4.6640625" style="11" customWidth="1"/>
    <col min="14897" max="14897" width="6.33203125" style="11" customWidth="1"/>
    <col min="14898" max="14899" width="6.6640625" style="11" customWidth="1"/>
    <col min="14900" max="14902" width="6.33203125" style="11" customWidth="1"/>
    <col min="14903" max="14903" width="5.5546875" style="11" customWidth="1"/>
    <col min="14904" max="14904" width="4.6640625" style="11" customWidth="1"/>
    <col min="14905" max="14905" width="8.33203125" style="11" customWidth="1"/>
    <col min="14906" max="14907" width="8" style="11" customWidth="1"/>
    <col min="14908" max="14908" width="2.6640625" style="11" customWidth="1"/>
    <col min="14909" max="14910" width="8.88671875" style="11"/>
    <col min="14911" max="14911" width="10.44140625" style="11" bestFit="1" customWidth="1"/>
    <col min="14912" max="14912" width="10.5546875" style="11" bestFit="1" customWidth="1"/>
    <col min="14913" max="14913" width="7.33203125" style="11" bestFit="1" customWidth="1"/>
    <col min="14914" max="14914" width="7.44140625" style="11" bestFit="1" customWidth="1"/>
    <col min="14915" max="14915" width="10.33203125" style="11" customWidth="1"/>
    <col min="14916" max="14916" width="8.88671875" style="11"/>
    <col min="14917" max="14917" width="4.88671875" style="11" bestFit="1" customWidth="1"/>
    <col min="14918" max="14918" width="5.5546875" style="11" customWidth="1"/>
    <col min="14919" max="15104" width="8.88671875" style="11"/>
    <col min="15105" max="15105" width="8.5546875" style="11" customWidth="1"/>
    <col min="15106" max="15106" width="6.44140625" style="11" customWidth="1"/>
    <col min="15107" max="15107" width="6.5546875" style="11" customWidth="1"/>
    <col min="15108" max="15108" width="5.5546875" style="11" customWidth="1"/>
    <col min="15109" max="15109" width="7.109375" style="11" customWidth="1"/>
    <col min="15110" max="15110" width="7.33203125" style="11" customWidth="1"/>
    <col min="15111" max="15111" width="5.6640625" style="11" customWidth="1"/>
    <col min="15112" max="15112" width="5.88671875" style="11" bestFit="1" customWidth="1"/>
    <col min="15113" max="15113" width="6.5546875" style="11" customWidth="1"/>
    <col min="15114" max="15114" width="8" style="11" customWidth="1"/>
    <col min="15115" max="15115" width="7.5546875" style="11" customWidth="1"/>
    <col min="15116" max="15116" width="6.109375" style="11" customWidth="1"/>
    <col min="15117" max="15118" width="8.88671875" style="11"/>
    <col min="15119" max="15119" width="8.33203125" style="11" customWidth="1"/>
    <col min="15120" max="15120" width="7.6640625" style="11" customWidth="1"/>
    <col min="15121" max="15121" width="8.33203125" style="11" customWidth="1"/>
    <col min="15122" max="15122" width="6.6640625" style="11" customWidth="1"/>
    <col min="15123" max="15124" width="8.109375" style="11" customWidth="1"/>
    <col min="15125" max="15125" width="6.6640625" style="11" customWidth="1"/>
    <col min="15126" max="15126" width="6.5546875" style="11" customWidth="1"/>
    <col min="15127" max="15127" width="5.88671875" style="11" customWidth="1"/>
    <col min="15128" max="15128" width="6.33203125" style="11" customWidth="1"/>
    <col min="15129" max="15129" width="7.33203125" style="11" customWidth="1"/>
    <col min="15130" max="15130" width="6.88671875" style="11" customWidth="1"/>
    <col min="15131" max="15133" width="6.6640625" style="11" customWidth="1"/>
    <col min="15134" max="15138" width="6.33203125" style="11" customWidth="1"/>
    <col min="15139" max="15139" width="15.33203125" style="11" bestFit="1" customWidth="1"/>
    <col min="15140" max="15142" width="6.33203125" style="11" customWidth="1"/>
    <col min="15143" max="15143" width="6.6640625" style="11" customWidth="1"/>
    <col min="15144" max="15145" width="6.33203125" style="11" customWidth="1"/>
    <col min="15146" max="15146" width="0" style="11" hidden="1" customWidth="1"/>
    <col min="15147" max="15147" width="7.109375" style="11" customWidth="1"/>
    <col min="15148" max="15150" width="6.33203125" style="11" customWidth="1"/>
    <col min="15151" max="15151" width="4.88671875" style="11" customWidth="1"/>
    <col min="15152" max="15152" width="4.6640625" style="11" customWidth="1"/>
    <col min="15153" max="15153" width="6.33203125" style="11" customWidth="1"/>
    <col min="15154" max="15155" width="6.6640625" style="11" customWidth="1"/>
    <col min="15156" max="15158" width="6.33203125" style="11" customWidth="1"/>
    <col min="15159" max="15159" width="5.5546875" style="11" customWidth="1"/>
    <col min="15160" max="15160" width="4.6640625" style="11" customWidth="1"/>
    <col min="15161" max="15161" width="8.33203125" style="11" customWidth="1"/>
    <col min="15162" max="15163" width="8" style="11" customWidth="1"/>
    <col min="15164" max="15164" width="2.6640625" style="11" customWidth="1"/>
    <col min="15165" max="15166" width="8.88671875" style="11"/>
    <col min="15167" max="15167" width="10.44140625" style="11" bestFit="1" customWidth="1"/>
    <col min="15168" max="15168" width="10.5546875" style="11" bestFit="1" customWidth="1"/>
    <col min="15169" max="15169" width="7.33203125" style="11" bestFit="1" customWidth="1"/>
    <col min="15170" max="15170" width="7.44140625" style="11" bestFit="1" customWidth="1"/>
    <col min="15171" max="15171" width="10.33203125" style="11" customWidth="1"/>
    <col min="15172" max="15172" width="8.88671875" style="11"/>
    <col min="15173" max="15173" width="4.88671875" style="11" bestFit="1" customWidth="1"/>
    <col min="15174" max="15174" width="5.5546875" style="11" customWidth="1"/>
    <col min="15175" max="15360" width="8.88671875" style="11"/>
    <col min="15361" max="15361" width="8.5546875" style="11" customWidth="1"/>
    <col min="15362" max="15362" width="6.44140625" style="11" customWidth="1"/>
    <col min="15363" max="15363" width="6.5546875" style="11" customWidth="1"/>
    <col min="15364" max="15364" width="5.5546875" style="11" customWidth="1"/>
    <col min="15365" max="15365" width="7.109375" style="11" customWidth="1"/>
    <col min="15366" max="15366" width="7.33203125" style="11" customWidth="1"/>
    <col min="15367" max="15367" width="5.6640625" style="11" customWidth="1"/>
    <col min="15368" max="15368" width="5.88671875" style="11" bestFit="1" customWidth="1"/>
    <col min="15369" max="15369" width="6.5546875" style="11" customWidth="1"/>
    <col min="15370" max="15370" width="8" style="11" customWidth="1"/>
    <col min="15371" max="15371" width="7.5546875" style="11" customWidth="1"/>
    <col min="15372" max="15372" width="6.109375" style="11" customWidth="1"/>
    <col min="15373" max="15374" width="8.88671875" style="11"/>
    <col min="15375" max="15375" width="8.33203125" style="11" customWidth="1"/>
    <col min="15376" max="15376" width="7.6640625" style="11" customWidth="1"/>
    <col min="15377" max="15377" width="8.33203125" style="11" customWidth="1"/>
    <col min="15378" max="15378" width="6.6640625" style="11" customWidth="1"/>
    <col min="15379" max="15380" width="8.109375" style="11" customWidth="1"/>
    <col min="15381" max="15381" width="6.6640625" style="11" customWidth="1"/>
    <col min="15382" max="15382" width="6.5546875" style="11" customWidth="1"/>
    <col min="15383" max="15383" width="5.88671875" style="11" customWidth="1"/>
    <col min="15384" max="15384" width="6.33203125" style="11" customWidth="1"/>
    <col min="15385" max="15385" width="7.33203125" style="11" customWidth="1"/>
    <col min="15386" max="15386" width="6.88671875" style="11" customWidth="1"/>
    <col min="15387" max="15389" width="6.6640625" style="11" customWidth="1"/>
    <col min="15390" max="15394" width="6.33203125" style="11" customWidth="1"/>
    <col min="15395" max="15395" width="15.33203125" style="11" bestFit="1" customWidth="1"/>
    <col min="15396" max="15398" width="6.33203125" style="11" customWidth="1"/>
    <col min="15399" max="15399" width="6.6640625" style="11" customWidth="1"/>
    <col min="15400" max="15401" width="6.33203125" style="11" customWidth="1"/>
    <col min="15402" max="15402" width="0" style="11" hidden="1" customWidth="1"/>
    <col min="15403" max="15403" width="7.109375" style="11" customWidth="1"/>
    <col min="15404" max="15406" width="6.33203125" style="11" customWidth="1"/>
    <col min="15407" max="15407" width="4.88671875" style="11" customWidth="1"/>
    <col min="15408" max="15408" width="4.6640625" style="11" customWidth="1"/>
    <col min="15409" max="15409" width="6.33203125" style="11" customWidth="1"/>
    <col min="15410" max="15411" width="6.6640625" style="11" customWidth="1"/>
    <col min="15412" max="15414" width="6.33203125" style="11" customWidth="1"/>
    <col min="15415" max="15415" width="5.5546875" style="11" customWidth="1"/>
    <col min="15416" max="15416" width="4.6640625" style="11" customWidth="1"/>
    <col min="15417" max="15417" width="8.33203125" style="11" customWidth="1"/>
    <col min="15418" max="15419" width="8" style="11" customWidth="1"/>
    <col min="15420" max="15420" width="2.6640625" style="11" customWidth="1"/>
    <col min="15421" max="15422" width="8.88671875" style="11"/>
    <col min="15423" max="15423" width="10.44140625" style="11" bestFit="1" customWidth="1"/>
    <col min="15424" max="15424" width="10.5546875" style="11" bestFit="1" customWidth="1"/>
    <col min="15425" max="15425" width="7.33203125" style="11" bestFit="1" customWidth="1"/>
    <col min="15426" max="15426" width="7.44140625" style="11" bestFit="1" customWidth="1"/>
    <col min="15427" max="15427" width="10.33203125" style="11" customWidth="1"/>
    <col min="15428" max="15428" width="8.88671875" style="11"/>
    <col min="15429" max="15429" width="4.88671875" style="11" bestFit="1" customWidth="1"/>
    <col min="15430" max="15430" width="5.5546875" style="11" customWidth="1"/>
    <col min="15431" max="15616" width="8.88671875" style="11"/>
    <col min="15617" max="15617" width="8.5546875" style="11" customWidth="1"/>
    <col min="15618" max="15618" width="6.44140625" style="11" customWidth="1"/>
    <col min="15619" max="15619" width="6.5546875" style="11" customWidth="1"/>
    <col min="15620" max="15620" width="5.5546875" style="11" customWidth="1"/>
    <col min="15621" max="15621" width="7.109375" style="11" customWidth="1"/>
    <col min="15622" max="15622" width="7.33203125" style="11" customWidth="1"/>
    <col min="15623" max="15623" width="5.6640625" style="11" customWidth="1"/>
    <col min="15624" max="15624" width="5.88671875" style="11" bestFit="1" customWidth="1"/>
    <col min="15625" max="15625" width="6.5546875" style="11" customWidth="1"/>
    <col min="15626" max="15626" width="8" style="11" customWidth="1"/>
    <col min="15627" max="15627" width="7.5546875" style="11" customWidth="1"/>
    <col min="15628" max="15628" width="6.109375" style="11" customWidth="1"/>
    <col min="15629" max="15630" width="8.88671875" style="11"/>
    <col min="15631" max="15631" width="8.33203125" style="11" customWidth="1"/>
    <col min="15632" max="15632" width="7.6640625" style="11" customWidth="1"/>
    <col min="15633" max="15633" width="8.33203125" style="11" customWidth="1"/>
    <col min="15634" max="15634" width="6.6640625" style="11" customWidth="1"/>
    <col min="15635" max="15636" width="8.109375" style="11" customWidth="1"/>
    <col min="15637" max="15637" width="6.6640625" style="11" customWidth="1"/>
    <col min="15638" max="15638" width="6.5546875" style="11" customWidth="1"/>
    <col min="15639" max="15639" width="5.88671875" style="11" customWidth="1"/>
    <col min="15640" max="15640" width="6.33203125" style="11" customWidth="1"/>
    <col min="15641" max="15641" width="7.33203125" style="11" customWidth="1"/>
    <col min="15642" max="15642" width="6.88671875" style="11" customWidth="1"/>
    <col min="15643" max="15645" width="6.6640625" style="11" customWidth="1"/>
    <col min="15646" max="15650" width="6.33203125" style="11" customWidth="1"/>
    <col min="15651" max="15651" width="15.33203125" style="11" bestFit="1" customWidth="1"/>
    <col min="15652" max="15654" width="6.33203125" style="11" customWidth="1"/>
    <col min="15655" max="15655" width="6.6640625" style="11" customWidth="1"/>
    <col min="15656" max="15657" width="6.33203125" style="11" customWidth="1"/>
    <col min="15658" max="15658" width="0" style="11" hidden="1" customWidth="1"/>
    <col min="15659" max="15659" width="7.109375" style="11" customWidth="1"/>
    <col min="15660" max="15662" width="6.33203125" style="11" customWidth="1"/>
    <col min="15663" max="15663" width="4.88671875" style="11" customWidth="1"/>
    <col min="15664" max="15664" width="4.6640625" style="11" customWidth="1"/>
    <col min="15665" max="15665" width="6.33203125" style="11" customWidth="1"/>
    <col min="15666" max="15667" width="6.6640625" style="11" customWidth="1"/>
    <col min="15668" max="15670" width="6.33203125" style="11" customWidth="1"/>
    <col min="15671" max="15671" width="5.5546875" style="11" customWidth="1"/>
    <col min="15672" max="15672" width="4.6640625" style="11" customWidth="1"/>
    <col min="15673" max="15673" width="8.33203125" style="11" customWidth="1"/>
    <col min="15674" max="15675" width="8" style="11" customWidth="1"/>
    <col min="15676" max="15676" width="2.6640625" style="11" customWidth="1"/>
    <col min="15677" max="15678" width="8.88671875" style="11"/>
    <col min="15679" max="15679" width="10.44140625" style="11" bestFit="1" customWidth="1"/>
    <col min="15680" max="15680" width="10.5546875" style="11" bestFit="1" customWidth="1"/>
    <col min="15681" max="15681" width="7.33203125" style="11" bestFit="1" customWidth="1"/>
    <col min="15682" max="15682" width="7.44140625" style="11" bestFit="1" customWidth="1"/>
    <col min="15683" max="15683" width="10.33203125" style="11" customWidth="1"/>
    <col min="15684" max="15684" width="8.88671875" style="11"/>
    <col min="15685" max="15685" width="4.88671875" style="11" bestFit="1" customWidth="1"/>
    <col min="15686" max="15686" width="5.5546875" style="11" customWidth="1"/>
    <col min="15687" max="15872" width="8.88671875" style="11"/>
    <col min="15873" max="15873" width="8.5546875" style="11" customWidth="1"/>
    <col min="15874" max="15874" width="6.44140625" style="11" customWidth="1"/>
    <col min="15875" max="15875" width="6.5546875" style="11" customWidth="1"/>
    <col min="15876" max="15876" width="5.5546875" style="11" customWidth="1"/>
    <col min="15877" max="15877" width="7.109375" style="11" customWidth="1"/>
    <col min="15878" max="15878" width="7.33203125" style="11" customWidth="1"/>
    <col min="15879" max="15879" width="5.6640625" style="11" customWidth="1"/>
    <col min="15880" max="15880" width="5.88671875" style="11" bestFit="1" customWidth="1"/>
    <col min="15881" max="15881" width="6.5546875" style="11" customWidth="1"/>
    <col min="15882" max="15882" width="8" style="11" customWidth="1"/>
    <col min="15883" max="15883" width="7.5546875" style="11" customWidth="1"/>
    <col min="15884" max="15884" width="6.109375" style="11" customWidth="1"/>
    <col min="15885" max="15886" width="8.88671875" style="11"/>
    <col min="15887" max="15887" width="8.33203125" style="11" customWidth="1"/>
    <col min="15888" max="15888" width="7.6640625" style="11" customWidth="1"/>
    <col min="15889" max="15889" width="8.33203125" style="11" customWidth="1"/>
    <col min="15890" max="15890" width="6.6640625" style="11" customWidth="1"/>
    <col min="15891" max="15892" width="8.109375" style="11" customWidth="1"/>
    <col min="15893" max="15893" width="6.6640625" style="11" customWidth="1"/>
    <col min="15894" max="15894" width="6.5546875" style="11" customWidth="1"/>
    <col min="15895" max="15895" width="5.88671875" style="11" customWidth="1"/>
    <col min="15896" max="15896" width="6.33203125" style="11" customWidth="1"/>
    <col min="15897" max="15897" width="7.33203125" style="11" customWidth="1"/>
    <col min="15898" max="15898" width="6.88671875" style="11" customWidth="1"/>
    <col min="15899" max="15901" width="6.6640625" style="11" customWidth="1"/>
    <col min="15902" max="15906" width="6.33203125" style="11" customWidth="1"/>
    <col min="15907" max="15907" width="15.33203125" style="11" bestFit="1" customWidth="1"/>
    <col min="15908" max="15910" width="6.33203125" style="11" customWidth="1"/>
    <col min="15911" max="15911" width="6.6640625" style="11" customWidth="1"/>
    <col min="15912" max="15913" width="6.33203125" style="11" customWidth="1"/>
    <col min="15914" max="15914" width="0" style="11" hidden="1" customWidth="1"/>
    <col min="15915" max="15915" width="7.109375" style="11" customWidth="1"/>
    <col min="15916" max="15918" width="6.33203125" style="11" customWidth="1"/>
    <col min="15919" max="15919" width="4.88671875" style="11" customWidth="1"/>
    <col min="15920" max="15920" width="4.6640625" style="11" customWidth="1"/>
    <col min="15921" max="15921" width="6.33203125" style="11" customWidth="1"/>
    <col min="15922" max="15923" width="6.6640625" style="11" customWidth="1"/>
    <col min="15924" max="15926" width="6.33203125" style="11" customWidth="1"/>
    <col min="15927" max="15927" width="5.5546875" style="11" customWidth="1"/>
    <col min="15928" max="15928" width="4.6640625" style="11" customWidth="1"/>
    <col min="15929" max="15929" width="8.33203125" style="11" customWidth="1"/>
    <col min="15930" max="15931" width="8" style="11" customWidth="1"/>
    <col min="15932" max="15932" width="2.6640625" style="11" customWidth="1"/>
    <col min="15933" max="15934" width="8.88671875" style="11"/>
    <col min="15935" max="15935" width="10.44140625" style="11" bestFit="1" customWidth="1"/>
    <col min="15936" max="15936" width="10.5546875" style="11" bestFit="1" customWidth="1"/>
    <col min="15937" max="15937" width="7.33203125" style="11" bestFit="1" customWidth="1"/>
    <col min="15938" max="15938" width="7.44140625" style="11" bestFit="1" customWidth="1"/>
    <col min="15939" max="15939" width="10.33203125" style="11" customWidth="1"/>
    <col min="15940" max="15940" width="8.88671875" style="11"/>
    <col min="15941" max="15941" width="4.88671875" style="11" bestFit="1" customWidth="1"/>
    <col min="15942" max="15942" width="5.5546875" style="11" customWidth="1"/>
    <col min="15943" max="16128" width="8.88671875" style="11"/>
    <col min="16129" max="16129" width="8.5546875" style="11" customWidth="1"/>
    <col min="16130" max="16130" width="6.44140625" style="11" customWidth="1"/>
    <col min="16131" max="16131" width="6.5546875" style="11" customWidth="1"/>
    <col min="16132" max="16132" width="5.5546875" style="11" customWidth="1"/>
    <col min="16133" max="16133" width="7.109375" style="11" customWidth="1"/>
    <col min="16134" max="16134" width="7.33203125" style="11" customWidth="1"/>
    <col min="16135" max="16135" width="5.6640625" style="11" customWidth="1"/>
    <col min="16136" max="16136" width="5.88671875" style="11" bestFit="1" customWidth="1"/>
    <col min="16137" max="16137" width="6.5546875" style="11" customWidth="1"/>
    <col min="16138" max="16138" width="8" style="11" customWidth="1"/>
    <col min="16139" max="16139" width="7.5546875" style="11" customWidth="1"/>
    <col min="16140" max="16140" width="6.109375" style="11" customWidth="1"/>
    <col min="16141" max="16142" width="8.88671875" style="11"/>
    <col min="16143" max="16143" width="8.33203125" style="11" customWidth="1"/>
    <col min="16144" max="16144" width="7.6640625" style="11" customWidth="1"/>
    <col min="16145" max="16145" width="8.33203125" style="11" customWidth="1"/>
    <col min="16146" max="16146" width="6.6640625" style="11" customWidth="1"/>
    <col min="16147" max="16148" width="8.109375" style="11" customWidth="1"/>
    <col min="16149" max="16149" width="6.6640625" style="11" customWidth="1"/>
    <col min="16150" max="16150" width="6.5546875" style="11" customWidth="1"/>
    <col min="16151" max="16151" width="5.88671875" style="11" customWidth="1"/>
    <col min="16152" max="16152" width="6.33203125" style="11" customWidth="1"/>
    <col min="16153" max="16153" width="7.33203125" style="11" customWidth="1"/>
    <col min="16154" max="16154" width="6.88671875" style="11" customWidth="1"/>
    <col min="16155" max="16157" width="6.6640625" style="11" customWidth="1"/>
    <col min="16158" max="16162" width="6.33203125" style="11" customWidth="1"/>
    <col min="16163" max="16163" width="15.33203125" style="11" bestFit="1" customWidth="1"/>
    <col min="16164" max="16166" width="6.33203125" style="11" customWidth="1"/>
    <col min="16167" max="16167" width="6.6640625" style="11" customWidth="1"/>
    <col min="16168" max="16169" width="6.33203125" style="11" customWidth="1"/>
    <col min="16170" max="16170" width="0" style="11" hidden="1" customWidth="1"/>
    <col min="16171" max="16171" width="7.109375" style="11" customWidth="1"/>
    <col min="16172" max="16174" width="6.33203125" style="11" customWidth="1"/>
    <col min="16175" max="16175" width="4.88671875" style="11" customWidth="1"/>
    <col min="16176" max="16176" width="4.6640625" style="11" customWidth="1"/>
    <col min="16177" max="16177" width="6.33203125" style="11" customWidth="1"/>
    <col min="16178" max="16179" width="6.6640625" style="11" customWidth="1"/>
    <col min="16180" max="16182" width="6.33203125" style="11" customWidth="1"/>
    <col min="16183" max="16183" width="5.5546875" style="11" customWidth="1"/>
    <col min="16184" max="16184" width="4.6640625" style="11" customWidth="1"/>
    <col min="16185" max="16185" width="8.33203125" style="11" customWidth="1"/>
    <col min="16186" max="16187" width="8" style="11" customWidth="1"/>
    <col min="16188" max="16188" width="2.6640625" style="11" customWidth="1"/>
    <col min="16189" max="16190" width="8.88671875" style="11"/>
    <col min="16191" max="16191" width="10.44140625" style="11" bestFit="1" customWidth="1"/>
    <col min="16192" max="16192" width="10.5546875" style="11" bestFit="1" customWidth="1"/>
    <col min="16193" max="16193" width="7.33203125" style="11" bestFit="1" customWidth="1"/>
    <col min="16194" max="16194" width="7.44140625" style="11" bestFit="1" customWidth="1"/>
    <col min="16195" max="16195" width="10.33203125" style="11" customWidth="1"/>
    <col min="16196" max="16196" width="8.88671875" style="11"/>
    <col min="16197" max="16197" width="4.88671875" style="11" bestFit="1" customWidth="1"/>
    <col min="16198" max="16198" width="5.5546875" style="11" customWidth="1"/>
    <col min="16199" max="16384" width="8.88671875" style="11"/>
  </cols>
  <sheetData>
    <row r="1" spans="1:70" x14ac:dyDescent="0.3">
      <c r="A1" s="11">
        <v>1</v>
      </c>
      <c r="B1" s="11">
        <v>2</v>
      </c>
      <c r="C1" s="11">
        <v>3</v>
      </c>
      <c r="D1" s="11">
        <v>4</v>
      </c>
      <c r="E1" s="11">
        <v>5</v>
      </c>
      <c r="F1" s="11">
        <v>6</v>
      </c>
      <c r="G1" s="11">
        <v>7</v>
      </c>
      <c r="H1" s="11">
        <v>8</v>
      </c>
      <c r="I1" s="11">
        <v>9</v>
      </c>
      <c r="J1" s="11">
        <v>10</v>
      </c>
      <c r="K1" s="11">
        <v>11</v>
      </c>
      <c r="L1" s="11">
        <v>12</v>
      </c>
      <c r="M1" s="11">
        <v>13</v>
      </c>
      <c r="N1" s="11">
        <v>14</v>
      </c>
      <c r="O1" s="11">
        <v>15</v>
      </c>
      <c r="P1" s="11">
        <v>16</v>
      </c>
      <c r="Q1" s="11">
        <v>17</v>
      </c>
      <c r="R1" s="11">
        <v>18</v>
      </c>
      <c r="S1" s="11">
        <v>19</v>
      </c>
      <c r="T1" s="11">
        <v>20</v>
      </c>
      <c r="U1" s="11">
        <v>21</v>
      </c>
      <c r="V1" s="11">
        <v>22</v>
      </c>
      <c r="W1" s="11">
        <v>23</v>
      </c>
      <c r="X1" s="11">
        <v>24</v>
      </c>
      <c r="Y1" s="11">
        <v>25</v>
      </c>
      <c r="Z1" s="11">
        <v>26</v>
      </c>
      <c r="AA1" s="11">
        <v>27</v>
      </c>
      <c r="AB1" s="11">
        <v>28</v>
      </c>
      <c r="AC1" s="11">
        <v>29</v>
      </c>
      <c r="AD1" s="11">
        <v>30</v>
      </c>
      <c r="AE1" s="11">
        <v>31</v>
      </c>
      <c r="AF1" s="11">
        <v>32</v>
      </c>
      <c r="AG1" s="11">
        <v>33</v>
      </c>
      <c r="AH1" s="11">
        <v>34</v>
      </c>
      <c r="AI1" s="11">
        <v>35</v>
      </c>
      <c r="AJ1" s="11">
        <v>36</v>
      </c>
      <c r="AK1" s="11">
        <v>37</v>
      </c>
      <c r="AL1" s="11">
        <v>38</v>
      </c>
      <c r="AM1" s="11">
        <v>39</v>
      </c>
      <c r="AN1" s="11">
        <v>40</v>
      </c>
      <c r="AO1" s="11">
        <v>41</v>
      </c>
      <c r="AP1" s="11">
        <v>42</v>
      </c>
      <c r="AQ1" s="11">
        <v>43</v>
      </c>
      <c r="AR1" s="11">
        <v>44</v>
      </c>
      <c r="AS1" s="11">
        <v>45</v>
      </c>
      <c r="AT1" s="11">
        <v>46</v>
      </c>
      <c r="AU1" s="11">
        <v>47</v>
      </c>
      <c r="AV1" s="11">
        <v>48</v>
      </c>
      <c r="AW1" s="11">
        <v>49</v>
      </c>
      <c r="AX1" s="11">
        <v>50</v>
      </c>
      <c r="AY1" s="11">
        <v>51</v>
      </c>
      <c r="AZ1" s="11">
        <v>52</v>
      </c>
      <c r="BA1" s="11">
        <v>53</v>
      </c>
      <c r="BB1" s="11">
        <v>54</v>
      </c>
      <c r="BC1" s="11">
        <v>55</v>
      </c>
      <c r="BD1" s="11">
        <v>56</v>
      </c>
      <c r="BE1" s="11">
        <v>57</v>
      </c>
      <c r="BF1" s="11">
        <v>58</v>
      </c>
      <c r="BG1" s="11">
        <v>59</v>
      </c>
      <c r="BH1" s="11">
        <v>60</v>
      </c>
      <c r="BI1" s="11">
        <v>61</v>
      </c>
      <c r="BJ1" s="11">
        <v>62</v>
      </c>
      <c r="BK1" s="11">
        <v>63</v>
      </c>
      <c r="BL1" s="11">
        <v>64</v>
      </c>
      <c r="BM1" s="11">
        <v>65</v>
      </c>
      <c r="BN1" s="11">
        <v>66</v>
      </c>
      <c r="BO1" s="11">
        <v>67</v>
      </c>
      <c r="BP1" s="11">
        <v>68</v>
      </c>
      <c r="BQ1" s="11">
        <v>69</v>
      </c>
      <c r="BR1" s="11">
        <v>70</v>
      </c>
    </row>
    <row r="2" spans="1:70" s="13" customFormat="1" ht="40.200000000000003" customHeight="1" x14ac:dyDescent="0.3">
      <c r="A2" s="5" t="s">
        <v>120</v>
      </c>
      <c r="B2" s="375" t="s">
        <v>121</v>
      </c>
      <c r="C2" s="36" t="s">
        <v>1480</v>
      </c>
      <c r="D2" s="36" t="s">
        <v>1481</v>
      </c>
      <c r="E2" s="36" t="s">
        <v>1482</v>
      </c>
      <c r="F2" s="36" t="s">
        <v>1483</v>
      </c>
      <c r="G2" s="36" t="s">
        <v>1484</v>
      </c>
      <c r="H2" s="36" t="s">
        <v>1485</v>
      </c>
      <c r="I2" s="36" t="s">
        <v>1486</v>
      </c>
      <c r="J2" s="36" t="s">
        <v>1487</v>
      </c>
      <c r="K2" s="36" t="s">
        <v>1488</v>
      </c>
      <c r="L2" s="36" t="s">
        <v>1489</v>
      </c>
      <c r="M2" s="34" t="s">
        <v>91</v>
      </c>
      <c r="N2" s="34" t="s">
        <v>92</v>
      </c>
      <c r="O2" s="34" t="s">
        <v>93</v>
      </c>
      <c r="P2" s="352" t="s">
        <v>1490</v>
      </c>
      <c r="Q2" s="352" t="s">
        <v>1491</v>
      </c>
      <c r="R2" s="352" t="s">
        <v>1492</v>
      </c>
      <c r="S2" s="352" t="s">
        <v>1493</v>
      </c>
      <c r="T2" s="352" t="s">
        <v>1494</v>
      </c>
      <c r="U2" s="352" t="s">
        <v>1495</v>
      </c>
      <c r="V2" s="352" t="s">
        <v>1496</v>
      </c>
      <c r="W2" s="352" t="s">
        <v>1497</v>
      </c>
      <c r="X2" s="14" t="s">
        <v>94</v>
      </c>
      <c r="Y2" s="14" t="s">
        <v>95</v>
      </c>
      <c r="Z2" s="352" t="s">
        <v>1498</v>
      </c>
      <c r="AA2" s="14" t="s">
        <v>96</v>
      </c>
      <c r="AB2" s="14" t="s">
        <v>97</v>
      </c>
      <c r="AC2" s="14" t="s">
        <v>98</v>
      </c>
      <c r="AD2" s="14" t="s">
        <v>99</v>
      </c>
      <c r="AE2" s="14" t="s">
        <v>100</v>
      </c>
      <c r="AF2" s="14" t="s">
        <v>101</v>
      </c>
      <c r="AG2" s="14" t="s">
        <v>102</v>
      </c>
      <c r="AH2" s="14" t="s">
        <v>103</v>
      </c>
      <c r="AI2" s="14" t="s">
        <v>104</v>
      </c>
      <c r="AJ2" s="14" t="s">
        <v>105</v>
      </c>
      <c r="AK2" s="14" t="s">
        <v>106</v>
      </c>
      <c r="AL2" s="14" t="s">
        <v>107</v>
      </c>
      <c r="AM2" s="352" t="s">
        <v>1499</v>
      </c>
      <c r="AN2" s="352" t="s">
        <v>1500</v>
      </c>
      <c r="AO2" s="352" t="s">
        <v>1501</v>
      </c>
      <c r="AP2" s="352" t="s">
        <v>1490</v>
      </c>
      <c r="AQ2" s="352" t="s">
        <v>1502</v>
      </c>
      <c r="AR2" s="352" t="s">
        <v>1503</v>
      </c>
      <c r="AS2" s="352" t="s">
        <v>1504</v>
      </c>
      <c r="AT2" s="352" t="s">
        <v>1505</v>
      </c>
      <c r="AU2" s="352" t="s">
        <v>1506</v>
      </c>
      <c r="AV2" s="352" t="s">
        <v>1507</v>
      </c>
      <c r="AW2" s="14" t="s">
        <v>111</v>
      </c>
      <c r="AX2" s="352" t="s">
        <v>1508</v>
      </c>
      <c r="AY2" s="352" t="s">
        <v>1509</v>
      </c>
      <c r="AZ2" s="352" t="s">
        <v>1510</v>
      </c>
      <c r="BA2" s="352" t="s">
        <v>1511</v>
      </c>
      <c r="BB2" s="14" t="s">
        <v>112</v>
      </c>
      <c r="BC2" s="14" t="s">
        <v>113</v>
      </c>
      <c r="BD2" s="14" t="s">
        <v>114</v>
      </c>
      <c r="BE2" s="14" t="s">
        <v>115</v>
      </c>
      <c r="BF2" s="14" t="s">
        <v>116</v>
      </c>
      <c r="BG2" s="6" t="s">
        <v>117</v>
      </c>
      <c r="BI2" s="353" t="s">
        <v>1512</v>
      </c>
      <c r="BJ2" s="353" t="s">
        <v>1513</v>
      </c>
      <c r="BK2" s="353" t="s">
        <v>1514</v>
      </c>
      <c r="BL2" s="353" t="s">
        <v>1515</v>
      </c>
      <c r="BM2" s="353" t="s">
        <v>1516</v>
      </c>
      <c r="BN2" s="353" t="s">
        <v>1517</v>
      </c>
      <c r="BO2" s="353" t="s">
        <v>1518</v>
      </c>
      <c r="BP2" s="353" t="s">
        <v>1519</v>
      </c>
      <c r="BQ2" s="353" t="s">
        <v>1520</v>
      </c>
      <c r="BR2" s="353" t="s">
        <v>1521</v>
      </c>
    </row>
    <row r="3" spans="1:70" s="13" customFormat="1" x14ac:dyDescent="0.3">
      <c r="A3" s="12" t="s">
        <v>122</v>
      </c>
      <c r="B3" s="376" t="s">
        <v>123</v>
      </c>
      <c r="C3" s="354" t="s">
        <v>1522</v>
      </c>
      <c r="D3" s="354" t="s">
        <v>1523</v>
      </c>
      <c r="E3" s="354" t="s">
        <v>1524</v>
      </c>
      <c r="F3" s="354" t="s">
        <v>1525</v>
      </c>
      <c r="G3" s="354" t="s">
        <v>1526</v>
      </c>
      <c r="H3" s="354" t="s">
        <v>1527</v>
      </c>
      <c r="I3" s="354" t="s">
        <v>1528</v>
      </c>
      <c r="J3" s="354" t="s">
        <v>1529</v>
      </c>
      <c r="K3" s="354" t="s">
        <v>1530</v>
      </c>
      <c r="L3" s="354" t="s">
        <v>1531</v>
      </c>
      <c r="M3" s="53" t="s">
        <v>108</v>
      </c>
      <c r="N3" s="53" t="s">
        <v>109</v>
      </c>
      <c r="O3" s="53" t="s">
        <v>110</v>
      </c>
      <c r="P3" s="355" t="s">
        <v>1532</v>
      </c>
      <c r="Q3" s="355" t="s">
        <v>1533</v>
      </c>
      <c r="R3" s="355" t="s">
        <v>1534</v>
      </c>
      <c r="S3" s="355" t="s">
        <v>1535</v>
      </c>
      <c r="T3" s="355" t="s">
        <v>1536</v>
      </c>
      <c r="U3" s="355" t="s">
        <v>1537</v>
      </c>
      <c r="V3" s="355" t="s">
        <v>1538</v>
      </c>
      <c r="W3" s="355" t="s">
        <v>1539</v>
      </c>
      <c r="X3" s="54" t="s">
        <v>118</v>
      </c>
      <c r="Y3" s="53" t="s">
        <v>119</v>
      </c>
      <c r="Z3" s="355" t="s">
        <v>1540</v>
      </c>
      <c r="AA3" s="53" t="s">
        <v>124</v>
      </c>
      <c r="AB3" s="53" t="s">
        <v>125</v>
      </c>
      <c r="AC3" s="53" t="s">
        <v>126</v>
      </c>
      <c r="AD3" s="53" t="s">
        <v>127</v>
      </c>
      <c r="AE3" s="53" t="s">
        <v>128</v>
      </c>
      <c r="AF3" s="53" t="s">
        <v>129</v>
      </c>
      <c r="AG3" s="53" t="s">
        <v>130</v>
      </c>
      <c r="AH3" s="53" t="s">
        <v>131</v>
      </c>
      <c r="AI3" s="53" t="s">
        <v>132</v>
      </c>
      <c r="AJ3" s="53" t="s">
        <v>133</v>
      </c>
      <c r="AK3" s="53" t="s">
        <v>134</v>
      </c>
      <c r="AL3" s="53" t="s">
        <v>135</v>
      </c>
      <c r="AM3" s="355" t="s">
        <v>1541</v>
      </c>
      <c r="AN3" s="355" t="s">
        <v>136</v>
      </c>
      <c r="AO3" s="355" t="s">
        <v>1542</v>
      </c>
      <c r="AP3" s="355" t="s">
        <v>1543</v>
      </c>
      <c r="AQ3" s="355" t="s">
        <v>1544</v>
      </c>
      <c r="AR3" s="355" t="s">
        <v>1545</v>
      </c>
      <c r="AS3" s="355" t="s">
        <v>1546</v>
      </c>
      <c r="AT3" s="355" t="s">
        <v>1547</v>
      </c>
      <c r="AU3" s="355" t="s">
        <v>1548</v>
      </c>
      <c r="AV3" s="355" t="s">
        <v>1549</v>
      </c>
      <c r="AW3" s="53" t="s">
        <v>137</v>
      </c>
      <c r="AX3" s="355" t="s">
        <v>1550</v>
      </c>
      <c r="AY3" s="355" t="s">
        <v>1551</v>
      </c>
      <c r="AZ3" s="356" t="s">
        <v>1552</v>
      </c>
      <c r="BA3" s="355" t="s">
        <v>1553</v>
      </c>
      <c r="BB3" s="53" t="s">
        <v>138</v>
      </c>
      <c r="BC3" s="53" t="s">
        <v>139</v>
      </c>
      <c r="BD3" s="53" t="s">
        <v>140</v>
      </c>
      <c r="BE3" s="53" t="s">
        <v>141</v>
      </c>
      <c r="BF3" s="53" t="s">
        <v>142</v>
      </c>
      <c r="BG3" s="53" t="s">
        <v>143</v>
      </c>
      <c r="BI3" s="357"/>
      <c r="BJ3" s="357"/>
      <c r="BK3" s="357"/>
      <c r="BL3" s="357"/>
      <c r="BM3" s="357"/>
      <c r="BN3" s="357"/>
      <c r="BO3" s="357"/>
      <c r="BP3" s="357"/>
      <c r="BQ3" s="357"/>
      <c r="BR3" s="357"/>
    </row>
    <row r="4" spans="1:70" s="13" customFormat="1" x14ac:dyDescent="0.3">
      <c r="A4" s="380">
        <f>FANSIZE</f>
        <v>450</v>
      </c>
      <c r="C4" s="354"/>
      <c r="D4" s="354"/>
      <c r="E4" s="354"/>
      <c r="F4" s="354"/>
      <c r="G4" s="354"/>
      <c r="H4" s="354"/>
      <c r="I4" s="354"/>
      <c r="J4" s="354"/>
      <c r="K4" s="354"/>
      <c r="L4" s="354"/>
      <c r="M4" s="381">
        <f t="shared" ref="M4:BG4" si="0">VLOOKUP($A$4,$A$5:$BR$24,M1,FALSE)</f>
        <v>17.008199999999999</v>
      </c>
      <c r="N4" s="381">
        <f t="shared" si="0"/>
        <v>60</v>
      </c>
      <c r="O4" s="381">
        <f t="shared" si="0"/>
        <v>6</v>
      </c>
      <c r="P4" s="355">
        <f t="shared" si="0"/>
        <v>0</v>
      </c>
      <c r="Q4" s="355">
        <f t="shared" si="0"/>
        <v>2.48</v>
      </c>
      <c r="R4" s="355">
        <f t="shared" si="0"/>
        <v>1.4139999999999999</v>
      </c>
      <c r="S4" s="355">
        <f t="shared" si="0"/>
        <v>3.14</v>
      </c>
      <c r="T4" s="355">
        <f t="shared" si="0"/>
        <v>4.9119999999999999</v>
      </c>
      <c r="U4" s="355">
        <f t="shared" si="0"/>
        <v>14.083</v>
      </c>
      <c r="V4" s="355">
        <f t="shared" si="0"/>
        <v>20.524000000000001</v>
      </c>
      <c r="W4" s="355">
        <f t="shared" si="0"/>
        <v>1.181</v>
      </c>
      <c r="X4" s="381">
        <f t="shared" si="0"/>
        <v>14.91</v>
      </c>
      <c r="Y4" s="381">
        <f t="shared" si="0"/>
        <v>18.898</v>
      </c>
      <c r="Z4" s="355">
        <f t="shared" si="0"/>
        <v>6.63</v>
      </c>
      <c r="AA4" s="381">
        <f t="shared" si="0"/>
        <v>0.99399999999999999</v>
      </c>
      <c r="AB4" s="381">
        <f t="shared" si="0"/>
        <v>11.927999999999999</v>
      </c>
      <c r="AC4" s="381">
        <f t="shared" si="0"/>
        <v>2.1867999999999999</v>
      </c>
      <c r="AD4" s="381">
        <f t="shared" si="0"/>
        <v>2.1867999999999999</v>
      </c>
      <c r="AE4" s="381">
        <f t="shared" si="0"/>
        <v>7.9000000000000001E-2</v>
      </c>
      <c r="AF4" s="381">
        <f t="shared" si="0"/>
        <v>4.3735999999999997</v>
      </c>
      <c r="AG4" s="381">
        <f t="shared" si="0"/>
        <v>4.97</v>
      </c>
      <c r="AH4" s="381">
        <f t="shared" si="0"/>
        <v>0.27832000000000001</v>
      </c>
      <c r="AI4" s="381">
        <f t="shared" si="0"/>
        <v>0.11928</v>
      </c>
      <c r="AJ4" s="381">
        <f t="shared" si="0"/>
        <v>1.5904</v>
      </c>
      <c r="AK4" s="381">
        <f t="shared" si="0"/>
        <v>65</v>
      </c>
      <c r="AL4" s="381">
        <f t="shared" si="0"/>
        <v>12.3256</v>
      </c>
      <c r="AM4" s="355">
        <f t="shared" si="0"/>
        <v>19.882000000000001</v>
      </c>
      <c r="AN4" s="355">
        <f t="shared" si="0"/>
        <v>7.3029999999999999</v>
      </c>
      <c r="AO4" s="355">
        <f t="shared" si="0"/>
        <v>7.3940000000000001</v>
      </c>
      <c r="AP4" s="355">
        <f t="shared" si="0"/>
        <v>0</v>
      </c>
      <c r="AQ4" s="355">
        <f t="shared" si="0"/>
        <v>1.135</v>
      </c>
      <c r="AR4" s="355">
        <f t="shared" si="0"/>
        <v>0.47199999999999998</v>
      </c>
      <c r="AS4" s="355">
        <f t="shared" si="0"/>
        <v>2.1320000000000001</v>
      </c>
      <c r="AT4" s="355">
        <f t="shared" si="0"/>
        <v>0.39300000000000002</v>
      </c>
      <c r="AU4" s="355">
        <f t="shared" si="0"/>
        <v>9.2110000000000003</v>
      </c>
      <c r="AV4" s="355">
        <f t="shared" si="0"/>
        <v>12</v>
      </c>
      <c r="AW4" s="381">
        <f t="shared" si="0"/>
        <v>4.3760000000000003</v>
      </c>
      <c r="AX4" s="355">
        <f t="shared" si="0"/>
        <v>10.340999999999999</v>
      </c>
      <c r="AY4" s="355">
        <f t="shared" si="0"/>
        <v>10.706</v>
      </c>
      <c r="AZ4" s="356">
        <f t="shared" si="0"/>
        <v>11.08</v>
      </c>
      <c r="BA4" s="355">
        <f t="shared" si="0"/>
        <v>0.30099999999999999</v>
      </c>
      <c r="BB4" s="381">
        <f t="shared" si="0"/>
        <v>7.7531999999999996</v>
      </c>
      <c r="BC4" s="381">
        <f t="shared" si="0"/>
        <v>0.76800000000000002</v>
      </c>
      <c r="BD4" s="381">
        <f t="shared" si="0"/>
        <v>27.831999999999997</v>
      </c>
      <c r="BE4" s="381">
        <f t="shared" si="0"/>
        <v>10.934000000000001</v>
      </c>
      <c r="BF4" s="381">
        <f t="shared" si="0"/>
        <v>18.090799999999998</v>
      </c>
      <c r="BG4" s="381">
        <f t="shared" si="0"/>
        <v>7.6950354330708661</v>
      </c>
      <c r="BI4" s="357"/>
      <c r="BJ4" s="357"/>
      <c r="BK4" s="357"/>
      <c r="BL4" s="357"/>
      <c r="BM4" s="357"/>
      <c r="BN4" s="357"/>
      <c r="BO4" s="357"/>
      <c r="BP4" s="357"/>
      <c r="BQ4" s="357"/>
      <c r="BR4" s="357"/>
    </row>
    <row r="5" spans="1:70" s="13" customFormat="1" ht="15.6" x14ac:dyDescent="0.3">
      <c r="A5" s="358">
        <v>250</v>
      </c>
      <c r="B5" s="377" t="s">
        <v>1554</v>
      </c>
      <c r="C5" s="359">
        <v>17.716999999999999</v>
      </c>
      <c r="D5" s="359">
        <v>0</v>
      </c>
      <c r="E5" s="359">
        <v>0.1</v>
      </c>
      <c r="F5" s="359">
        <v>0.28100000000000003</v>
      </c>
      <c r="G5" s="359">
        <v>0.98399999999999999</v>
      </c>
      <c r="H5" s="359"/>
      <c r="I5" s="359"/>
      <c r="J5" s="359"/>
      <c r="K5" s="359"/>
      <c r="L5" s="359"/>
      <c r="M5" s="360">
        <f t="shared" ref="M5:M24" si="1">Y5*0.9</f>
        <v>10.557</v>
      </c>
      <c r="N5" s="361">
        <v>90</v>
      </c>
      <c r="O5" s="361">
        <v>4</v>
      </c>
      <c r="P5" s="362"/>
      <c r="Q5" s="362"/>
      <c r="R5" s="362"/>
      <c r="S5" s="362"/>
      <c r="T5" s="362"/>
      <c r="U5" s="362">
        <v>8.1219999999999999</v>
      </c>
      <c r="V5" s="362"/>
      <c r="W5" s="362"/>
      <c r="X5" s="304">
        <f t="shared" ref="X5:X14" si="2">B5*0.75</f>
        <v>8.3849999999999998</v>
      </c>
      <c r="Y5" s="305">
        <v>11.73</v>
      </c>
      <c r="Z5" s="362"/>
      <c r="AA5" s="360">
        <f t="shared" ref="AA5:AA24" si="3">B5*0.05</f>
        <v>0.55900000000000005</v>
      </c>
      <c r="AB5" s="360">
        <f t="shared" ref="AB5:AB24" si="4">B5*0.6</f>
        <v>6.7079999999999993</v>
      </c>
      <c r="AC5" s="360">
        <f t="shared" ref="AC5:AC24" si="5">B5*0.11</f>
        <v>1.2298</v>
      </c>
      <c r="AD5" s="360">
        <f t="shared" ref="AD5:AD24" si="6">B5*0.11</f>
        <v>1.2298</v>
      </c>
      <c r="AE5" s="361">
        <v>5.8999999999999997E-2</v>
      </c>
      <c r="AF5" s="360">
        <f t="shared" ref="AF5:AF24" si="7">$B5*0.22</f>
        <v>2.4596</v>
      </c>
      <c r="AG5" s="360">
        <f t="shared" ref="AG5:AG24" si="8">$B5*0.25</f>
        <v>2.7949999999999999</v>
      </c>
      <c r="AH5" s="360">
        <f t="shared" ref="AH5:AH24" si="9">$B5*0.014</f>
        <v>0.15651999999999999</v>
      </c>
      <c r="AI5" s="360">
        <f>$B5*0.006</f>
        <v>6.7080000000000001E-2</v>
      </c>
      <c r="AJ5" s="360">
        <f t="shared" ref="AJ5:AJ24" si="10">B5*0.08</f>
        <v>0.89439999999999997</v>
      </c>
      <c r="AK5" s="361">
        <v>65</v>
      </c>
      <c r="AL5" s="360">
        <f t="shared" ref="AL5:AL24" si="11">B5*0.62</f>
        <v>6.9315999999999995</v>
      </c>
      <c r="AM5" s="362"/>
      <c r="AN5" s="362"/>
      <c r="AO5" s="362"/>
      <c r="AP5" s="362"/>
      <c r="AQ5" s="362"/>
      <c r="AR5" s="362"/>
      <c r="AS5" s="362"/>
      <c r="AT5" s="362"/>
      <c r="AU5" s="362"/>
      <c r="AV5" s="362"/>
      <c r="AW5" s="363">
        <v>2.2240000000000002</v>
      </c>
      <c r="AX5" s="362"/>
      <c r="AY5" s="362"/>
      <c r="AZ5" s="362"/>
      <c r="BA5" s="362"/>
      <c r="BB5" s="360">
        <f t="shared" ref="BB5:BB24" si="12">$B5*0.39</f>
        <v>4.3601999999999999</v>
      </c>
      <c r="BC5" s="360">
        <f>BC7-0.03</f>
        <v>0.61799999999999988</v>
      </c>
      <c r="BD5" s="360">
        <f t="shared" ref="BD5:BD24" si="13">$B5*1.4</f>
        <v>15.651999999999999</v>
      </c>
      <c r="BE5" s="360">
        <f t="shared" ref="BE5:BE24" si="14">$B5*0.55</f>
        <v>6.149</v>
      </c>
      <c r="BF5" s="360">
        <f t="shared" ref="BF5:BF24" si="15">$B5*0.91</f>
        <v>10.1738</v>
      </c>
      <c r="BG5" s="364">
        <v>5.59</v>
      </c>
      <c r="BI5" s="357">
        <v>1.403</v>
      </c>
      <c r="BJ5" s="357">
        <f t="shared" ref="BJ5:BJ24" si="16">BI5+E5+U5+AW5</f>
        <v>11.849</v>
      </c>
      <c r="BK5" s="357">
        <f>10+BJ5+2.5+2.34+0.5</f>
        <v>27.189</v>
      </c>
      <c r="BL5" s="357">
        <f t="shared" ref="BL5:BL24" si="17">10+BJ5+2+1.528</f>
        <v>25.376999999999999</v>
      </c>
      <c r="BM5" s="365">
        <f>ROUNDUP(BK5,0)</f>
        <v>28</v>
      </c>
      <c r="BN5" s="365">
        <f>ROUNDUP(BL5,0)</f>
        <v>26</v>
      </c>
      <c r="BO5" s="365">
        <f t="shared" ref="BO5:BO24" si="18">ROUNDUP(10+BJ5+1,0)</f>
        <v>23</v>
      </c>
      <c r="BP5" s="365">
        <f>BO5+2</f>
        <v>25</v>
      </c>
      <c r="BQ5" s="357">
        <f t="shared" ref="BQ5:BQ24" si="19">ROUNDUP(10.476*2+C5+1.5*2,0)</f>
        <v>42</v>
      </c>
      <c r="BR5" s="357">
        <f t="shared" ref="BR5:BR24" si="20">ROUNDUP((4.049+1)*2+C5,0)</f>
        <v>28</v>
      </c>
    </row>
    <row r="6" spans="1:70" s="13" customFormat="1" ht="15.6" x14ac:dyDescent="0.3">
      <c r="A6" s="366">
        <v>25</v>
      </c>
      <c r="B6" s="378">
        <f>5.709*2</f>
        <v>11.417999999999999</v>
      </c>
      <c r="C6" s="359">
        <v>18.701000000000001</v>
      </c>
      <c r="D6" s="359">
        <v>0</v>
      </c>
      <c r="E6" s="359">
        <v>0.1</v>
      </c>
      <c r="F6" s="359"/>
      <c r="G6" s="359"/>
      <c r="H6" s="359"/>
      <c r="I6" s="359"/>
      <c r="J6" s="359"/>
      <c r="K6" s="359"/>
      <c r="L6" s="359"/>
      <c r="M6" s="367">
        <f>5.059*2</f>
        <v>10.118</v>
      </c>
      <c r="N6" s="367">
        <v>60</v>
      </c>
      <c r="O6" s="367">
        <v>6</v>
      </c>
      <c r="P6" s="362"/>
      <c r="Q6" s="362"/>
      <c r="R6" s="362"/>
      <c r="S6" s="362"/>
      <c r="T6" s="362"/>
      <c r="U6" s="362">
        <v>9.4019999999999992</v>
      </c>
      <c r="V6" s="362"/>
      <c r="W6" s="362"/>
      <c r="X6" s="367">
        <f>4.528*2</f>
        <v>9.0559999999999992</v>
      </c>
      <c r="Y6" s="367">
        <f>5.453*2</f>
        <v>10.906000000000001</v>
      </c>
      <c r="Z6" s="362"/>
      <c r="AA6" s="368">
        <f>B6*0.05</f>
        <v>0.57089999999999996</v>
      </c>
      <c r="AB6" s="368">
        <f>B6*0.6</f>
        <v>6.8507999999999996</v>
      </c>
      <c r="AC6" s="368">
        <f>B6*0.11</f>
        <v>1.2559799999999999</v>
      </c>
      <c r="AD6" s="368">
        <f>B6*0.11</f>
        <v>1.2559799999999999</v>
      </c>
      <c r="AE6" s="368">
        <v>5.8999999999999997E-2</v>
      </c>
      <c r="AF6" s="368">
        <f t="shared" si="7"/>
        <v>2.5119599999999997</v>
      </c>
      <c r="AG6" s="368">
        <f t="shared" si="8"/>
        <v>2.8544999999999998</v>
      </c>
      <c r="AH6" s="368">
        <f t="shared" si="9"/>
        <v>0.15985199999999999</v>
      </c>
      <c r="AI6" s="368">
        <f>B6*0.006</f>
        <v>6.8507999999999999E-2</v>
      </c>
      <c r="AJ6" s="368">
        <f>B6*0.08</f>
        <v>0.91343999999999992</v>
      </c>
      <c r="AK6" s="368">
        <v>65</v>
      </c>
      <c r="AL6" s="368">
        <f>B6*0.62</f>
        <v>7.0791599999999999</v>
      </c>
      <c r="AM6" s="362"/>
      <c r="AN6" s="362"/>
      <c r="AO6" s="362"/>
      <c r="AP6" s="362"/>
      <c r="AQ6" s="362"/>
      <c r="AR6" s="362"/>
      <c r="AS6" s="362"/>
      <c r="AT6" s="362"/>
      <c r="AU6" s="362"/>
      <c r="AV6" s="362"/>
      <c r="AW6" s="369">
        <v>1.181</v>
      </c>
      <c r="AX6" s="362"/>
      <c r="AY6" s="362"/>
      <c r="AZ6" s="362"/>
      <c r="BA6" s="362"/>
      <c r="BB6" s="368">
        <f t="shared" si="12"/>
        <v>4.4530199999999995</v>
      </c>
      <c r="BC6" s="368">
        <f>BC7-0.03</f>
        <v>0.61799999999999988</v>
      </c>
      <c r="BD6" s="368">
        <f t="shared" si="13"/>
        <v>15.985199999999997</v>
      </c>
      <c r="BE6" s="368">
        <f t="shared" si="14"/>
        <v>6.2799000000000005</v>
      </c>
      <c r="BF6" s="368">
        <f t="shared" si="15"/>
        <v>10.39038</v>
      </c>
      <c r="BG6" s="369">
        <v>5.59</v>
      </c>
      <c r="BI6" s="370">
        <v>1.403</v>
      </c>
      <c r="BJ6" s="370">
        <f>BI6+E6+U6+AW6</f>
        <v>12.085999999999999</v>
      </c>
      <c r="BK6" s="370">
        <f>10+BJ6+2.5+2.34+0.5</f>
        <v>27.425999999999998</v>
      </c>
      <c r="BL6" s="370">
        <f>10+BJ6+2+1.528</f>
        <v>25.613999999999997</v>
      </c>
      <c r="BM6" s="371">
        <f>ROUNDUP(BK6,0)</f>
        <v>28</v>
      </c>
      <c r="BN6" s="371">
        <f>ROUNDUP(BL6,0)</f>
        <v>26</v>
      </c>
      <c r="BO6" s="371">
        <f>ROUNDUP(10+BJ6+1,0)</f>
        <v>24</v>
      </c>
      <c r="BP6" s="371">
        <f>BO6+2</f>
        <v>26</v>
      </c>
      <c r="BQ6" s="370">
        <f>ROUNDUP(10.476*2+C6+1.5*2,0)</f>
        <v>43</v>
      </c>
      <c r="BR6" s="370">
        <f>ROUNDUP((4.049+1)*2+C6,0)</f>
        <v>29</v>
      </c>
    </row>
    <row r="7" spans="1:70" s="13" customFormat="1" ht="15.6" x14ac:dyDescent="0.3">
      <c r="A7" s="35">
        <v>280</v>
      </c>
      <c r="B7" s="379" t="s">
        <v>1555</v>
      </c>
      <c r="C7" s="359">
        <v>18.701000000000001</v>
      </c>
      <c r="D7" s="359">
        <v>0</v>
      </c>
      <c r="E7" s="359">
        <v>0.1</v>
      </c>
      <c r="F7" s="359"/>
      <c r="G7" s="359"/>
      <c r="H7" s="359"/>
      <c r="I7" s="359"/>
      <c r="J7" s="359"/>
      <c r="K7" s="359"/>
      <c r="L7" s="359"/>
      <c r="M7" s="360">
        <f t="shared" si="1"/>
        <v>11.515499999999999</v>
      </c>
      <c r="N7" s="361">
        <v>90</v>
      </c>
      <c r="O7" s="361">
        <v>4</v>
      </c>
      <c r="P7" s="362"/>
      <c r="Q7" s="362"/>
      <c r="R7" s="362"/>
      <c r="S7" s="362"/>
      <c r="T7" s="362"/>
      <c r="U7" s="362">
        <v>9.4019999999999992</v>
      </c>
      <c r="V7" s="362"/>
      <c r="W7" s="362"/>
      <c r="X7" s="304">
        <f t="shared" si="2"/>
        <v>9.42</v>
      </c>
      <c r="Y7" s="302">
        <v>12.795</v>
      </c>
      <c r="Z7" s="362"/>
      <c r="AA7" s="360">
        <f t="shared" si="3"/>
        <v>0.62800000000000011</v>
      </c>
      <c r="AB7" s="360">
        <f t="shared" si="4"/>
        <v>7.5359999999999996</v>
      </c>
      <c r="AC7" s="360">
        <f t="shared" si="5"/>
        <v>1.3816000000000002</v>
      </c>
      <c r="AD7" s="360">
        <f t="shared" si="6"/>
        <v>1.3816000000000002</v>
      </c>
      <c r="AE7" s="361">
        <v>5.8999999999999997E-2</v>
      </c>
      <c r="AF7" s="360">
        <f t="shared" si="7"/>
        <v>2.7632000000000003</v>
      </c>
      <c r="AG7" s="360">
        <f t="shared" si="8"/>
        <v>3.14</v>
      </c>
      <c r="AH7" s="360">
        <f t="shared" si="9"/>
        <v>0.17584000000000002</v>
      </c>
      <c r="AI7" s="360">
        <f t="shared" ref="AI7:AI24" si="21">B7*0.006</f>
        <v>7.536000000000001E-2</v>
      </c>
      <c r="AJ7" s="360">
        <f t="shared" si="10"/>
        <v>1.0048000000000001</v>
      </c>
      <c r="AK7" s="361">
        <v>65</v>
      </c>
      <c r="AL7" s="360">
        <f t="shared" si="11"/>
        <v>7.7872000000000003</v>
      </c>
      <c r="AM7" s="362"/>
      <c r="AN7" s="362"/>
      <c r="AO7" s="362"/>
      <c r="AP7" s="362"/>
      <c r="AQ7" s="362"/>
      <c r="AR7" s="362"/>
      <c r="AS7" s="362"/>
      <c r="AT7" s="362"/>
      <c r="AU7" s="362"/>
      <c r="AV7" s="362"/>
      <c r="AW7" s="363">
        <v>1.181</v>
      </c>
      <c r="AX7" s="362"/>
      <c r="AY7" s="362"/>
      <c r="AZ7" s="362"/>
      <c r="BA7" s="362"/>
      <c r="BB7" s="360">
        <f t="shared" si="12"/>
        <v>4.8984000000000005</v>
      </c>
      <c r="BC7" s="360">
        <f>BC8-0.03</f>
        <v>0.64799999999999991</v>
      </c>
      <c r="BD7" s="360">
        <f t="shared" si="13"/>
        <v>17.584</v>
      </c>
      <c r="BE7" s="360">
        <f t="shared" si="14"/>
        <v>6.9080000000000013</v>
      </c>
      <c r="BF7" s="360">
        <f t="shared" si="15"/>
        <v>11.429600000000001</v>
      </c>
      <c r="BG7" s="372">
        <v>5.59</v>
      </c>
      <c r="BI7" s="357">
        <v>1.403</v>
      </c>
      <c r="BJ7" s="357">
        <f t="shared" si="16"/>
        <v>12.085999999999999</v>
      </c>
      <c r="BK7" s="357">
        <f t="shared" ref="BK7:BK24" si="22">10+BJ7+2.5+2.34+0.5</f>
        <v>27.425999999999998</v>
      </c>
      <c r="BL7" s="357">
        <f t="shared" si="17"/>
        <v>25.613999999999997</v>
      </c>
      <c r="BM7" s="365">
        <f t="shared" ref="BM7:BN24" si="23">ROUNDUP(BK7,0)</f>
        <v>28</v>
      </c>
      <c r="BN7" s="365">
        <f t="shared" si="23"/>
        <v>26</v>
      </c>
      <c r="BO7" s="365">
        <f t="shared" si="18"/>
        <v>24</v>
      </c>
      <c r="BP7" s="365">
        <f t="shared" ref="BP7:BP24" si="24">BO7+2</f>
        <v>26</v>
      </c>
      <c r="BQ7" s="357">
        <f t="shared" si="19"/>
        <v>43</v>
      </c>
      <c r="BR7" s="357">
        <f t="shared" si="20"/>
        <v>29</v>
      </c>
    </row>
    <row r="8" spans="1:70" s="13" customFormat="1" ht="15.6" x14ac:dyDescent="0.3">
      <c r="A8" s="373">
        <v>310</v>
      </c>
      <c r="B8" s="377" t="s">
        <v>144</v>
      </c>
      <c r="C8" s="359">
        <v>19.684999999999999</v>
      </c>
      <c r="D8" s="359">
        <v>0.59099999999999997</v>
      </c>
      <c r="E8" s="359">
        <v>0.11799999999999999</v>
      </c>
      <c r="F8" s="359">
        <v>0.433</v>
      </c>
      <c r="G8" s="359">
        <v>0.98399999999999999</v>
      </c>
      <c r="H8" s="359">
        <v>2</v>
      </c>
      <c r="I8" s="359">
        <v>17.716999999999999</v>
      </c>
      <c r="J8" s="359">
        <v>2.2149999999999999</v>
      </c>
      <c r="K8" s="359">
        <v>3.5510000000000002</v>
      </c>
      <c r="L8" s="359">
        <v>1.89</v>
      </c>
      <c r="M8" s="360">
        <f t="shared" si="1"/>
        <v>12.401999999999999</v>
      </c>
      <c r="N8" s="361">
        <v>90</v>
      </c>
      <c r="O8" s="361">
        <v>4</v>
      </c>
      <c r="P8" s="362"/>
      <c r="Q8" s="362">
        <v>2.48</v>
      </c>
      <c r="R8" s="362">
        <v>1.4139999999999999</v>
      </c>
      <c r="S8" s="362"/>
      <c r="T8" s="362"/>
      <c r="U8" s="362">
        <v>10.177</v>
      </c>
      <c r="V8" s="362">
        <v>16.535</v>
      </c>
      <c r="W8" s="362">
        <v>1.181</v>
      </c>
      <c r="X8" s="304">
        <f t="shared" si="2"/>
        <v>10.6275</v>
      </c>
      <c r="Y8" s="306">
        <v>13.78</v>
      </c>
      <c r="Z8" s="362"/>
      <c r="AA8" s="360">
        <f t="shared" si="3"/>
        <v>0.70850000000000002</v>
      </c>
      <c r="AB8" s="360">
        <f t="shared" si="4"/>
        <v>8.5019999999999989</v>
      </c>
      <c r="AC8" s="360">
        <f t="shared" si="5"/>
        <v>1.5587</v>
      </c>
      <c r="AD8" s="360">
        <f t="shared" si="6"/>
        <v>1.5587</v>
      </c>
      <c r="AE8" s="361">
        <v>5.8999999999999997E-2</v>
      </c>
      <c r="AF8" s="360">
        <f t="shared" si="7"/>
        <v>3.1173999999999999</v>
      </c>
      <c r="AG8" s="360">
        <f t="shared" si="8"/>
        <v>3.5425</v>
      </c>
      <c r="AH8" s="360">
        <f t="shared" si="9"/>
        <v>0.19838</v>
      </c>
      <c r="AI8" s="360">
        <f t="shared" si="21"/>
        <v>8.5019999999999998E-2</v>
      </c>
      <c r="AJ8" s="360">
        <f t="shared" si="10"/>
        <v>1.1335999999999999</v>
      </c>
      <c r="AK8" s="361">
        <v>65</v>
      </c>
      <c r="AL8" s="360">
        <f t="shared" si="11"/>
        <v>8.7853999999999992</v>
      </c>
      <c r="AM8" s="362">
        <v>14.173</v>
      </c>
      <c r="AN8" s="362">
        <v>5.6689999999999996</v>
      </c>
      <c r="AO8" s="362">
        <v>5.4349999999999996</v>
      </c>
      <c r="AP8" s="362"/>
      <c r="AQ8" s="362">
        <v>0.88700000000000001</v>
      </c>
      <c r="AR8" s="362">
        <v>0.35399999999999998</v>
      </c>
      <c r="AS8" s="362">
        <v>0.96899999999999997</v>
      </c>
      <c r="AT8" s="362">
        <v>3.9E-2</v>
      </c>
      <c r="AU8" s="362">
        <v>5.9560000000000004</v>
      </c>
      <c r="AV8" s="362">
        <f>4.721*2</f>
        <v>9.4420000000000002</v>
      </c>
      <c r="AW8" s="374">
        <v>2.7360000000000002</v>
      </c>
      <c r="AX8" s="362">
        <f>4.429*2</f>
        <v>8.8580000000000005</v>
      </c>
      <c r="AY8" s="362">
        <v>9.1280000000000001</v>
      </c>
      <c r="AZ8" s="362">
        <v>9.173</v>
      </c>
      <c r="BA8" s="362">
        <v>0.45</v>
      </c>
      <c r="BB8" s="360">
        <f t="shared" si="12"/>
        <v>5.5263</v>
      </c>
      <c r="BC8" s="360">
        <f>BC10-0.03</f>
        <v>0.67799999999999994</v>
      </c>
      <c r="BD8" s="360">
        <f t="shared" si="13"/>
        <v>19.837999999999997</v>
      </c>
      <c r="BE8" s="360">
        <f t="shared" si="14"/>
        <v>7.7935000000000008</v>
      </c>
      <c r="BF8" s="360">
        <f t="shared" si="15"/>
        <v>12.8947</v>
      </c>
      <c r="BG8" s="374">
        <v>5.59</v>
      </c>
      <c r="BI8" s="357">
        <v>1.403</v>
      </c>
      <c r="BJ8" s="357">
        <f t="shared" si="16"/>
        <v>14.434000000000001</v>
      </c>
      <c r="BK8" s="357">
        <f t="shared" si="22"/>
        <v>29.774000000000001</v>
      </c>
      <c r="BL8" s="357">
        <f t="shared" si="17"/>
        <v>27.962</v>
      </c>
      <c r="BM8" s="365">
        <f t="shared" si="23"/>
        <v>30</v>
      </c>
      <c r="BN8" s="365">
        <f t="shared" si="23"/>
        <v>28</v>
      </c>
      <c r="BO8" s="365">
        <f t="shared" si="18"/>
        <v>26</v>
      </c>
      <c r="BP8" s="365">
        <f t="shared" si="24"/>
        <v>28</v>
      </c>
      <c r="BQ8" s="357">
        <f t="shared" si="19"/>
        <v>44</v>
      </c>
      <c r="BR8" s="357">
        <f t="shared" si="20"/>
        <v>30</v>
      </c>
    </row>
    <row r="9" spans="1:70" s="13" customFormat="1" ht="15.6" x14ac:dyDescent="0.3">
      <c r="A9" s="366">
        <v>31</v>
      </c>
      <c r="B9" s="378">
        <f>7.087*2</f>
        <v>14.173999999999999</v>
      </c>
      <c r="C9" s="359">
        <v>19.684999999999999</v>
      </c>
      <c r="D9" s="359">
        <v>0.59099999999999997</v>
      </c>
      <c r="E9" s="359">
        <v>0.11799999999999999</v>
      </c>
      <c r="F9" s="359">
        <v>0.433</v>
      </c>
      <c r="G9" s="359">
        <v>0.98399999999999999</v>
      </c>
      <c r="H9" s="359">
        <v>2</v>
      </c>
      <c r="I9" s="359">
        <v>17.716999999999999</v>
      </c>
      <c r="J9" s="359">
        <v>2.2149999999999999</v>
      </c>
      <c r="K9" s="359">
        <v>3.5510000000000002</v>
      </c>
      <c r="L9" s="359">
        <v>1.89</v>
      </c>
      <c r="M9" s="367">
        <f>6.24*2</f>
        <v>12.48</v>
      </c>
      <c r="N9" s="367">
        <v>90</v>
      </c>
      <c r="O9" s="367">
        <v>8</v>
      </c>
      <c r="P9" s="362"/>
      <c r="Q9" s="362">
        <v>2.48</v>
      </c>
      <c r="R9" s="362">
        <v>1.4139999999999999</v>
      </c>
      <c r="S9" s="362"/>
      <c r="T9" s="362"/>
      <c r="U9" s="362">
        <v>10.177</v>
      </c>
      <c r="V9" s="362">
        <v>16.535</v>
      </c>
      <c r="W9" s="362">
        <v>1.181</v>
      </c>
      <c r="X9" s="367">
        <f>5.709*2</f>
        <v>11.417999999999999</v>
      </c>
      <c r="Y9" s="367">
        <f>6.752*2</f>
        <v>13.504</v>
      </c>
      <c r="Z9" s="362"/>
      <c r="AA9" s="368">
        <f>B9*0.05</f>
        <v>0.7087</v>
      </c>
      <c r="AB9" s="368">
        <f>B9*0.6</f>
        <v>8.5043999999999986</v>
      </c>
      <c r="AC9" s="368">
        <f>B9*0.11</f>
        <v>1.55914</v>
      </c>
      <c r="AD9" s="368">
        <f>B9*0.11</f>
        <v>1.55914</v>
      </c>
      <c r="AE9" s="368">
        <v>5.8999999999999997E-2</v>
      </c>
      <c r="AF9" s="368">
        <f t="shared" si="7"/>
        <v>3.1182799999999999</v>
      </c>
      <c r="AG9" s="368">
        <f t="shared" si="8"/>
        <v>3.5434999999999999</v>
      </c>
      <c r="AH9" s="368">
        <f t="shared" si="9"/>
        <v>0.198436</v>
      </c>
      <c r="AI9" s="368">
        <f>B9*0.006</f>
        <v>8.5043999999999995E-2</v>
      </c>
      <c r="AJ9" s="368">
        <f>B9*0.08</f>
        <v>1.13392</v>
      </c>
      <c r="AK9" s="368">
        <v>65</v>
      </c>
      <c r="AL9" s="368">
        <f>B9*0.62</f>
        <v>8.7878799999999995</v>
      </c>
      <c r="AM9" s="362">
        <v>14.173</v>
      </c>
      <c r="AN9" s="362">
        <v>5.6689999999999996</v>
      </c>
      <c r="AO9" s="362">
        <v>5.4349999999999996</v>
      </c>
      <c r="AP9" s="362"/>
      <c r="AQ9" s="362">
        <v>0.88700000000000001</v>
      </c>
      <c r="AR9" s="362">
        <v>0.35399999999999998</v>
      </c>
      <c r="AS9" s="362">
        <v>0.96899999999999997</v>
      </c>
      <c r="AT9" s="362">
        <v>3.9E-2</v>
      </c>
      <c r="AU9" s="362">
        <v>5.9560000000000004</v>
      </c>
      <c r="AV9" s="362">
        <f>4.721*2</f>
        <v>9.4420000000000002</v>
      </c>
      <c r="AW9" s="369"/>
      <c r="AX9" s="362">
        <f>4.429*2</f>
        <v>8.8580000000000005</v>
      </c>
      <c r="AY9" s="362">
        <v>9.1280000000000001</v>
      </c>
      <c r="AZ9" s="362">
        <v>9.173</v>
      </c>
      <c r="BA9" s="362">
        <v>0.45</v>
      </c>
      <c r="BB9" s="368">
        <f t="shared" si="12"/>
        <v>5.5278599999999996</v>
      </c>
      <c r="BC9" s="368">
        <f>BC8</f>
        <v>0.67799999999999994</v>
      </c>
      <c r="BD9" s="368">
        <f t="shared" si="13"/>
        <v>19.843599999999999</v>
      </c>
      <c r="BE9" s="368">
        <f t="shared" si="14"/>
        <v>7.7957000000000001</v>
      </c>
      <c r="BF9" s="368">
        <f t="shared" si="15"/>
        <v>12.898339999999999</v>
      </c>
      <c r="BG9" s="369">
        <v>5.59</v>
      </c>
      <c r="BI9" s="370">
        <v>1.403</v>
      </c>
      <c r="BJ9" s="370">
        <f>BI9+E9+U9+AW9</f>
        <v>11.698</v>
      </c>
      <c r="BK9" s="370">
        <f>10+BJ9+2.5+2.34+0.5</f>
        <v>27.038</v>
      </c>
      <c r="BL9" s="370">
        <f>10+BJ9+2+1.528</f>
        <v>25.225999999999999</v>
      </c>
      <c r="BM9" s="371">
        <f>ROUNDUP(BK9,0)</f>
        <v>28</v>
      </c>
      <c r="BN9" s="371">
        <f>ROUNDUP(BL9,0)</f>
        <v>26</v>
      </c>
      <c r="BO9" s="371">
        <f>ROUNDUP(10+BJ9+1,0)</f>
        <v>23</v>
      </c>
      <c r="BP9" s="371">
        <f>BO9+2</f>
        <v>25</v>
      </c>
      <c r="BQ9" s="370">
        <f>ROUNDUP(10.476*2+C9+1.5*2,0)</f>
        <v>44</v>
      </c>
      <c r="BR9" s="370">
        <f>ROUNDUP((4.049+1)*2+C9,0)</f>
        <v>30</v>
      </c>
    </row>
    <row r="10" spans="1:70" s="13" customFormat="1" ht="15.6" x14ac:dyDescent="0.3">
      <c r="A10" s="35">
        <v>355</v>
      </c>
      <c r="B10" s="379" t="s">
        <v>145</v>
      </c>
      <c r="C10" s="359">
        <v>19.684999999999999</v>
      </c>
      <c r="D10" s="359">
        <v>0.59099999999999997</v>
      </c>
      <c r="E10" s="359">
        <v>0.108</v>
      </c>
      <c r="F10" s="359"/>
      <c r="G10" s="359"/>
      <c r="H10" s="359"/>
      <c r="I10" s="359"/>
      <c r="J10" s="359"/>
      <c r="K10" s="359"/>
      <c r="L10" s="359"/>
      <c r="M10" s="360">
        <f t="shared" si="1"/>
        <v>13.110300000000001</v>
      </c>
      <c r="N10" s="361">
        <v>90</v>
      </c>
      <c r="O10" s="361">
        <v>4</v>
      </c>
      <c r="P10" s="362"/>
      <c r="Q10" s="362"/>
      <c r="R10" s="362"/>
      <c r="S10" s="362"/>
      <c r="T10" s="362"/>
      <c r="U10" s="362">
        <v>11.196</v>
      </c>
      <c r="V10" s="362"/>
      <c r="W10" s="362"/>
      <c r="X10" s="304">
        <f t="shared" si="2"/>
        <v>11.932500000000001</v>
      </c>
      <c r="Y10" s="320">
        <v>14.567</v>
      </c>
      <c r="Z10" s="362"/>
      <c r="AA10" s="360">
        <f t="shared" si="3"/>
        <v>0.7955000000000001</v>
      </c>
      <c r="AB10" s="360">
        <f t="shared" si="4"/>
        <v>9.5459999999999994</v>
      </c>
      <c r="AC10" s="360">
        <f t="shared" si="5"/>
        <v>1.7501</v>
      </c>
      <c r="AD10" s="360">
        <f t="shared" si="6"/>
        <v>1.7501</v>
      </c>
      <c r="AE10" s="361">
        <v>5.8999999999999997E-2</v>
      </c>
      <c r="AF10" s="360">
        <f t="shared" si="7"/>
        <v>3.5002</v>
      </c>
      <c r="AG10" s="360">
        <f t="shared" si="8"/>
        <v>3.9775</v>
      </c>
      <c r="AH10" s="360">
        <f t="shared" si="9"/>
        <v>0.22273999999999999</v>
      </c>
      <c r="AI10" s="360">
        <f t="shared" si="21"/>
        <v>9.5460000000000003E-2</v>
      </c>
      <c r="AJ10" s="360">
        <f t="shared" si="10"/>
        <v>1.2727999999999999</v>
      </c>
      <c r="AK10" s="361">
        <v>65</v>
      </c>
      <c r="AL10" s="360">
        <f t="shared" si="11"/>
        <v>9.8642000000000003</v>
      </c>
      <c r="AM10" s="362"/>
      <c r="AN10" s="362"/>
      <c r="AO10" s="362"/>
      <c r="AP10" s="362"/>
      <c r="AQ10" s="362"/>
      <c r="AR10" s="362"/>
      <c r="AS10" s="362"/>
      <c r="AT10" s="362"/>
      <c r="AU10" s="362"/>
      <c r="AV10" s="362"/>
      <c r="AW10" s="363">
        <v>2.8319999999999999</v>
      </c>
      <c r="AX10" s="362"/>
      <c r="AY10" s="362"/>
      <c r="AZ10" s="362"/>
      <c r="BA10" s="362"/>
      <c r="BB10" s="360">
        <f t="shared" si="12"/>
        <v>6.2049000000000003</v>
      </c>
      <c r="BC10" s="360">
        <f>BC12-0.03</f>
        <v>0.70799999999999996</v>
      </c>
      <c r="BD10" s="360">
        <f t="shared" si="13"/>
        <v>22.273999999999997</v>
      </c>
      <c r="BE10" s="360">
        <f t="shared" si="14"/>
        <v>8.7505000000000006</v>
      </c>
      <c r="BF10" s="360">
        <f t="shared" si="15"/>
        <v>14.478100000000001</v>
      </c>
      <c r="BG10" s="363">
        <v>6.5138779527559061</v>
      </c>
      <c r="BI10" s="357">
        <v>1.403</v>
      </c>
      <c r="BJ10" s="357">
        <f t="shared" si="16"/>
        <v>15.539000000000001</v>
      </c>
      <c r="BK10" s="357">
        <f t="shared" si="22"/>
        <v>30.879000000000001</v>
      </c>
      <c r="BL10" s="357">
        <f t="shared" si="17"/>
        <v>29.067</v>
      </c>
      <c r="BM10" s="365">
        <f t="shared" si="23"/>
        <v>31</v>
      </c>
      <c r="BN10" s="365">
        <f t="shared" si="23"/>
        <v>30</v>
      </c>
      <c r="BO10" s="365">
        <f t="shared" si="18"/>
        <v>27</v>
      </c>
      <c r="BP10" s="365">
        <f t="shared" si="24"/>
        <v>29</v>
      </c>
      <c r="BQ10" s="357">
        <f t="shared" si="19"/>
        <v>44</v>
      </c>
      <c r="BR10" s="357">
        <f t="shared" si="20"/>
        <v>30</v>
      </c>
    </row>
    <row r="11" spans="1:70" s="13" customFormat="1" ht="15.6" x14ac:dyDescent="0.3">
      <c r="A11" s="366">
        <v>35</v>
      </c>
      <c r="B11" s="378">
        <f>7.992*2</f>
        <v>15.984</v>
      </c>
      <c r="C11" s="359">
        <v>19.684999999999999</v>
      </c>
      <c r="D11" s="359">
        <v>0.59099999999999997</v>
      </c>
      <c r="E11" s="359">
        <v>0.108</v>
      </c>
      <c r="F11" s="359"/>
      <c r="G11" s="359"/>
      <c r="H11" s="359"/>
      <c r="I11" s="359"/>
      <c r="J11" s="359"/>
      <c r="K11" s="359"/>
      <c r="L11" s="359"/>
      <c r="M11" s="367">
        <f>6.929*2</f>
        <v>13.858000000000001</v>
      </c>
      <c r="N11" s="367">
        <v>90</v>
      </c>
      <c r="O11" s="367">
        <v>8</v>
      </c>
      <c r="P11" s="362"/>
      <c r="Q11" s="362"/>
      <c r="R11" s="362"/>
      <c r="S11" s="362"/>
      <c r="T11" s="362"/>
      <c r="U11" s="362">
        <v>11.196</v>
      </c>
      <c r="V11" s="362"/>
      <c r="W11" s="362"/>
      <c r="X11" s="367">
        <f>6.496*2</f>
        <v>12.992000000000001</v>
      </c>
      <c r="Y11" s="367">
        <f>7.441*2</f>
        <v>14.882</v>
      </c>
      <c r="Z11" s="362"/>
      <c r="AA11" s="368">
        <f>B11*0.05</f>
        <v>0.79920000000000002</v>
      </c>
      <c r="AB11" s="368">
        <f>B11*0.6</f>
        <v>9.5903999999999989</v>
      </c>
      <c r="AC11" s="368">
        <f>B11*0.11</f>
        <v>1.75824</v>
      </c>
      <c r="AD11" s="368">
        <f>B11*0.11</f>
        <v>1.75824</v>
      </c>
      <c r="AE11" s="368">
        <v>5.8999999999999997E-2</v>
      </c>
      <c r="AF11" s="368">
        <f t="shared" si="7"/>
        <v>3.5164800000000001</v>
      </c>
      <c r="AG11" s="368">
        <f t="shared" si="8"/>
        <v>3.996</v>
      </c>
      <c r="AH11" s="368">
        <f t="shared" si="9"/>
        <v>0.223776</v>
      </c>
      <c r="AI11" s="368">
        <f>B11*0.006</f>
        <v>9.5904000000000003E-2</v>
      </c>
      <c r="AJ11" s="368">
        <f>B11*0.08</f>
        <v>1.2787200000000001</v>
      </c>
      <c r="AK11" s="368">
        <v>65</v>
      </c>
      <c r="AL11" s="368">
        <f>B11*0.62</f>
        <v>9.9100800000000007</v>
      </c>
      <c r="AM11" s="362"/>
      <c r="AN11" s="362"/>
      <c r="AO11" s="362"/>
      <c r="AP11" s="362"/>
      <c r="AQ11" s="362"/>
      <c r="AR11" s="362"/>
      <c r="AS11" s="362"/>
      <c r="AT11" s="362"/>
      <c r="AU11" s="362"/>
      <c r="AV11" s="362"/>
      <c r="AW11" s="369">
        <v>2.8319999999999999</v>
      </c>
      <c r="AX11" s="362"/>
      <c r="AY11" s="362"/>
      <c r="AZ11" s="362"/>
      <c r="BA11" s="362"/>
      <c r="BB11" s="368">
        <f t="shared" si="12"/>
        <v>6.2337600000000002</v>
      </c>
      <c r="BC11" s="368">
        <f>BC14-0.03</f>
        <v>0.73799999999999999</v>
      </c>
      <c r="BD11" s="368">
        <f t="shared" si="13"/>
        <v>22.377599999999997</v>
      </c>
      <c r="BE11" s="368">
        <f t="shared" si="14"/>
        <v>8.7911999999999999</v>
      </c>
      <c r="BF11" s="368">
        <f t="shared" si="15"/>
        <v>14.545440000000001</v>
      </c>
      <c r="BG11" s="369">
        <v>6.5138779527559061</v>
      </c>
      <c r="BI11" s="370">
        <v>1.403</v>
      </c>
      <c r="BJ11" s="370">
        <f>BI11+E11+U11+AW11</f>
        <v>15.539000000000001</v>
      </c>
      <c r="BK11" s="370">
        <f>10+BJ11+2.5+2.34+0.5</f>
        <v>30.879000000000001</v>
      </c>
      <c r="BL11" s="370">
        <f>10+BJ11+2+1.528</f>
        <v>29.067</v>
      </c>
      <c r="BM11" s="371">
        <f>ROUNDUP(BK11,0)</f>
        <v>31</v>
      </c>
      <c r="BN11" s="371">
        <f>ROUNDUP(BL11,0)</f>
        <v>30</v>
      </c>
      <c r="BO11" s="371">
        <f>ROUNDUP(10+BJ11+1,0)</f>
        <v>27</v>
      </c>
      <c r="BP11" s="371">
        <f>BO11+2</f>
        <v>29</v>
      </c>
      <c r="BQ11" s="370">
        <f>ROUNDUP(10.476*2+C11+1.5*2,0)</f>
        <v>44</v>
      </c>
      <c r="BR11" s="370">
        <f>ROUNDUP((4.049+1)*2+C11,0)</f>
        <v>30</v>
      </c>
    </row>
    <row r="12" spans="1:70" s="13" customFormat="1" ht="15.6" x14ac:dyDescent="0.3">
      <c r="A12" s="35">
        <v>400</v>
      </c>
      <c r="B12" s="379" t="s">
        <v>146</v>
      </c>
      <c r="C12" s="359">
        <v>21.684999999999999</v>
      </c>
      <c r="D12" s="359">
        <v>0.59099999999999997</v>
      </c>
      <c r="E12" s="359">
        <v>0.108</v>
      </c>
      <c r="F12" s="359"/>
      <c r="G12" s="359"/>
      <c r="H12" s="359"/>
      <c r="I12" s="359"/>
      <c r="J12" s="359"/>
      <c r="K12" s="359"/>
      <c r="L12" s="359"/>
      <c r="M12" s="360">
        <f t="shared" si="1"/>
        <v>14.634000000000002</v>
      </c>
      <c r="N12" s="360">
        <v>60</v>
      </c>
      <c r="O12" s="360">
        <v>6</v>
      </c>
      <c r="P12" s="362"/>
      <c r="Q12" s="362"/>
      <c r="R12" s="362"/>
      <c r="S12" s="362"/>
      <c r="T12" s="362"/>
      <c r="U12" s="362">
        <v>12.64</v>
      </c>
      <c r="V12" s="362"/>
      <c r="W12" s="362"/>
      <c r="X12" s="304">
        <f t="shared" si="2"/>
        <v>13.432500000000001</v>
      </c>
      <c r="Y12" s="306">
        <v>16.260000000000002</v>
      </c>
      <c r="Z12" s="362"/>
      <c r="AA12" s="360">
        <f t="shared" si="3"/>
        <v>0.89550000000000007</v>
      </c>
      <c r="AB12" s="360">
        <f t="shared" si="4"/>
        <v>10.746</v>
      </c>
      <c r="AC12" s="360">
        <f t="shared" si="5"/>
        <v>1.9701</v>
      </c>
      <c r="AD12" s="360">
        <f t="shared" si="6"/>
        <v>1.9701</v>
      </c>
      <c r="AE12" s="361">
        <v>5.8999999999999997E-2</v>
      </c>
      <c r="AF12" s="360">
        <f t="shared" si="7"/>
        <v>3.9401999999999999</v>
      </c>
      <c r="AG12" s="360">
        <f t="shared" si="8"/>
        <v>4.4775</v>
      </c>
      <c r="AH12" s="360">
        <f t="shared" si="9"/>
        <v>0.25074000000000002</v>
      </c>
      <c r="AI12" s="360">
        <f t="shared" si="21"/>
        <v>0.10746</v>
      </c>
      <c r="AJ12" s="360">
        <f t="shared" si="10"/>
        <v>1.4328000000000001</v>
      </c>
      <c r="AK12" s="361">
        <v>65</v>
      </c>
      <c r="AL12" s="360">
        <f t="shared" si="11"/>
        <v>11.104200000000001</v>
      </c>
      <c r="AM12" s="362"/>
      <c r="AN12" s="362"/>
      <c r="AO12" s="362"/>
      <c r="AP12" s="362"/>
      <c r="AQ12" s="362"/>
      <c r="AR12" s="362"/>
      <c r="AS12" s="362"/>
      <c r="AT12" s="362"/>
      <c r="AU12" s="362"/>
      <c r="AV12" s="362"/>
      <c r="AW12" s="363">
        <v>2.6669999999999998</v>
      </c>
      <c r="AX12" s="362"/>
      <c r="AY12" s="362"/>
      <c r="AZ12" s="362"/>
      <c r="BA12" s="362"/>
      <c r="BB12" s="360">
        <f t="shared" si="12"/>
        <v>6.9849000000000006</v>
      </c>
      <c r="BC12" s="360">
        <f>BC14-0.03</f>
        <v>0.73799999999999999</v>
      </c>
      <c r="BD12" s="360">
        <f t="shared" si="13"/>
        <v>25.073999999999998</v>
      </c>
      <c r="BE12" s="360">
        <f t="shared" si="14"/>
        <v>9.8505000000000003</v>
      </c>
      <c r="BF12" s="360">
        <f t="shared" si="15"/>
        <v>16.298100000000002</v>
      </c>
      <c r="BG12" s="363">
        <v>7.2855314960629931</v>
      </c>
      <c r="BI12" s="357">
        <v>1.403</v>
      </c>
      <c r="BJ12" s="357">
        <f t="shared" si="16"/>
        <v>16.817999999999998</v>
      </c>
      <c r="BK12" s="357">
        <f t="shared" si="22"/>
        <v>32.158000000000001</v>
      </c>
      <c r="BL12" s="357">
        <f t="shared" si="17"/>
        <v>30.345999999999997</v>
      </c>
      <c r="BM12" s="365">
        <f t="shared" si="23"/>
        <v>33</v>
      </c>
      <c r="BN12" s="365">
        <f t="shared" si="23"/>
        <v>31</v>
      </c>
      <c r="BO12" s="365">
        <f t="shared" si="18"/>
        <v>28</v>
      </c>
      <c r="BP12" s="365">
        <f t="shared" si="24"/>
        <v>30</v>
      </c>
      <c r="BQ12" s="357">
        <f t="shared" si="19"/>
        <v>46</v>
      </c>
      <c r="BR12" s="357">
        <f t="shared" si="20"/>
        <v>32</v>
      </c>
    </row>
    <row r="13" spans="1:70" s="13" customFormat="1" ht="15.6" x14ac:dyDescent="0.3">
      <c r="A13" s="366">
        <v>40</v>
      </c>
      <c r="B13" s="378">
        <f>8.985*2</f>
        <v>17.97</v>
      </c>
      <c r="C13" s="359">
        <v>21.684999999999999</v>
      </c>
      <c r="D13" s="359">
        <v>0.59099999999999997</v>
      </c>
      <c r="E13" s="359">
        <v>0.108</v>
      </c>
      <c r="F13" s="359"/>
      <c r="G13" s="359"/>
      <c r="H13" s="359"/>
      <c r="I13" s="359"/>
      <c r="J13" s="359"/>
      <c r="K13" s="359"/>
      <c r="L13" s="359"/>
      <c r="M13" s="367">
        <f>7.717*2</f>
        <v>15.433999999999999</v>
      </c>
      <c r="N13" s="367">
        <v>90</v>
      </c>
      <c r="O13" s="367">
        <v>8</v>
      </c>
      <c r="P13" s="362"/>
      <c r="Q13" s="362"/>
      <c r="R13" s="362"/>
      <c r="S13" s="362"/>
      <c r="T13" s="362"/>
      <c r="U13" s="362">
        <v>12.64</v>
      </c>
      <c r="V13" s="362"/>
      <c r="W13" s="362"/>
      <c r="X13" s="367">
        <f>7.283*2</f>
        <v>14.566000000000001</v>
      </c>
      <c r="Y13" s="367">
        <f>8.228*2</f>
        <v>16.456</v>
      </c>
      <c r="Z13" s="362"/>
      <c r="AA13" s="368">
        <f>B13*0.05</f>
        <v>0.89849999999999997</v>
      </c>
      <c r="AB13" s="368">
        <f>B13*0.6</f>
        <v>10.781999999999998</v>
      </c>
      <c r="AC13" s="368">
        <f>B13*0.11</f>
        <v>1.9766999999999999</v>
      </c>
      <c r="AD13" s="368">
        <f>B13*0.11</f>
        <v>1.9766999999999999</v>
      </c>
      <c r="AE13" s="368">
        <v>5.8999999999999997E-2</v>
      </c>
      <c r="AF13" s="368">
        <f t="shared" si="7"/>
        <v>3.9533999999999998</v>
      </c>
      <c r="AG13" s="368">
        <f t="shared" si="8"/>
        <v>4.4924999999999997</v>
      </c>
      <c r="AH13" s="368">
        <f t="shared" si="9"/>
        <v>0.25157999999999997</v>
      </c>
      <c r="AI13" s="368">
        <f>B13*0.006</f>
        <v>0.10782</v>
      </c>
      <c r="AJ13" s="368">
        <f>B13*0.08</f>
        <v>1.4376</v>
      </c>
      <c r="AK13" s="368">
        <v>65</v>
      </c>
      <c r="AL13" s="368">
        <f>B13*0.62</f>
        <v>11.141399999999999</v>
      </c>
      <c r="AM13" s="362"/>
      <c r="AN13" s="362"/>
      <c r="AO13" s="362"/>
      <c r="AP13" s="362"/>
      <c r="AQ13" s="362"/>
      <c r="AR13" s="362"/>
      <c r="AS13" s="362"/>
      <c r="AT13" s="362"/>
      <c r="AU13" s="362"/>
      <c r="AV13" s="362"/>
      <c r="AW13" s="369">
        <v>2.6669999999999998</v>
      </c>
      <c r="AX13" s="362"/>
      <c r="AY13" s="362"/>
      <c r="AZ13" s="362"/>
      <c r="BA13" s="362"/>
      <c r="BB13" s="368">
        <f t="shared" si="12"/>
        <v>7.0083000000000002</v>
      </c>
      <c r="BC13" s="368">
        <f>BC16-0.03</f>
        <v>0.76800000000000002</v>
      </c>
      <c r="BD13" s="368">
        <f t="shared" si="13"/>
        <v>25.157999999999998</v>
      </c>
      <c r="BE13" s="368">
        <f t="shared" si="14"/>
        <v>9.8834999999999997</v>
      </c>
      <c r="BF13" s="368">
        <f t="shared" si="15"/>
        <v>16.352699999999999</v>
      </c>
      <c r="BG13" s="369">
        <v>7.2855314960629931</v>
      </c>
      <c r="BI13" s="370">
        <v>1.403</v>
      </c>
      <c r="BJ13" s="370">
        <f>BI13+E13+U13+AW13</f>
        <v>16.817999999999998</v>
      </c>
      <c r="BK13" s="370">
        <f>10+BJ13+2.5+2.34+0.5</f>
        <v>32.158000000000001</v>
      </c>
      <c r="BL13" s="370">
        <f>10+BJ13+2+1.528</f>
        <v>30.345999999999997</v>
      </c>
      <c r="BM13" s="371">
        <f>ROUNDUP(BK13,0)</f>
        <v>33</v>
      </c>
      <c r="BN13" s="371">
        <f>ROUNDUP(BL13,0)</f>
        <v>31</v>
      </c>
      <c r="BO13" s="371">
        <f>ROUNDUP(10+BJ13+1,0)</f>
        <v>28</v>
      </c>
      <c r="BP13" s="371">
        <f>BO13+2</f>
        <v>30</v>
      </c>
      <c r="BQ13" s="370">
        <f>ROUNDUP(10.476*2+C13+1.5*2,0)</f>
        <v>46</v>
      </c>
      <c r="BR13" s="370">
        <f>ROUNDUP((4.049+1)*2+C13,0)</f>
        <v>32</v>
      </c>
    </row>
    <row r="14" spans="1:70" s="13" customFormat="1" ht="15.6" x14ac:dyDescent="0.3">
      <c r="A14" s="358">
        <v>450</v>
      </c>
      <c r="B14" s="377" t="s">
        <v>147</v>
      </c>
      <c r="C14" s="359">
        <v>24.803000000000001</v>
      </c>
      <c r="D14" s="359">
        <v>0.59099999999999997</v>
      </c>
      <c r="E14" s="359">
        <v>0.12</v>
      </c>
      <c r="F14" s="359">
        <v>0.433</v>
      </c>
      <c r="G14" s="359">
        <v>0.98399999999999999</v>
      </c>
      <c r="H14" s="359">
        <v>3</v>
      </c>
      <c r="I14" s="359">
        <v>11.417</v>
      </c>
      <c r="J14" s="359">
        <v>3.9670000000000001</v>
      </c>
      <c r="K14" s="359">
        <v>3.14</v>
      </c>
      <c r="L14" s="359">
        <v>1.89</v>
      </c>
      <c r="M14" s="360">
        <f t="shared" si="1"/>
        <v>17.008199999999999</v>
      </c>
      <c r="N14" s="360">
        <v>60</v>
      </c>
      <c r="O14" s="360">
        <v>6</v>
      </c>
      <c r="P14" s="362"/>
      <c r="Q14" s="362">
        <v>2.48</v>
      </c>
      <c r="R14" s="362">
        <v>1.4139999999999999</v>
      </c>
      <c r="S14" s="362">
        <v>3.14</v>
      </c>
      <c r="T14" s="362">
        <v>4.9119999999999999</v>
      </c>
      <c r="U14" s="362">
        <v>14.083</v>
      </c>
      <c r="V14" s="362">
        <v>20.524000000000001</v>
      </c>
      <c r="W14" s="362">
        <v>1.181</v>
      </c>
      <c r="X14" s="304">
        <f t="shared" si="2"/>
        <v>14.91</v>
      </c>
      <c r="Y14" s="303">
        <v>18.898</v>
      </c>
      <c r="Z14" s="362">
        <v>6.63</v>
      </c>
      <c r="AA14" s="360">
        <f t="shared" si="3"/>
        <v>0.99399999999999999</v>
      </c>
      <c r="AB14" s="360">
        <f t="shared" si="4"/>
        <v>11.927999999999999</v>
      </c>
      <c r="AC14" s="360">
        <f t="shared" si="5"/>
        <v>2.1867999999999999</v>
      </c>
      <c r="AD14" s="360">
        <f t="shared" si="6"/>
        <v>2.1867999999999999</v>
      </c>
      <c r="AE14" s="360">
        <v>7.9000000000000001E-2</v>
      </c>
      <c r="AF14" s="360">
        <f t="shared" si="7"/>
        <v>4.3735999999999997</v>
      </c>
      <c r="AG14" s="360">
        <f t="shared" si="8"/>
        <v>4.97</v>
      </c>
      <c r="AH14" s="360">
        <f t="shared" si="9"/>
        <v>0.27832000000000001</v>
      </c>
      <c r="AI14" s="360">
        <f t="shared" si="21"/>
        <v>0.11928</v>
      </c>
      <c r="AJ14" s="360">
        <f t="shared" si="10"/>
        <v>1.5904</v>
      </c>
      <c r="AK14" s="361">
        <v>65</v>
      </c>
      <c r="AL14" s="360">
        <f t="shared" si="11"/>
        <v>12.3256</v>
      </c>
      <c r="AM14" s="362">
        <v>19.882000000000001</v>
      </c>
      <c r="AN14" s="362">
        <v>7.3029999999999999</v>
      </c>
      <c r="AO14" s="362">
        <v>7.3940000000000001</v>
      </c>
      <c r="AP14" s="362"/>
      <c r="AQ14" s="362">
        <v>1.135</v>
      </c>
      <c r="AR14" s="362">
        <v>0.47199999999999998</v>
      </c>
      <c r="AS14" s="362">
        <v>2.1320000000000001</v>
      </c>
      <c r="AT14" s="362">
        <v>0.39300000000000002</v>
      </c>
      <c r="AU14" s="362">
        <v>9.2110000000000003</v>
      </c>
      <c r="AV14" s="362">
        <v>12</v>
      </c>
      <c r="AW14" s="363">
        <v>4.3760000000000003</v>
      </c>
      <c r="AX14" s="362">
        <v>10.340999999999999</v>
      </c>
      <c r="AY14" s="362">
        <v>10.706</v>
      </c>
      <c r="AZ14" s="362">
        <v>11.08</v>
      </c>
      <c r="BA14" s="362">
        <v>0.30099999999999999</v>
      </c>
      <c r="BB14" s="360">
        <f t="shared" si="12"/>
        <v>7.7531999999999996</v>
      </c>
      <c r="BC14" s="360">
        <v>0.76800000000000002</v>
      </c>
      <c r="BD14" s="360">
        <f t="shared" si="13"/>
        <v>27.831999999999997</v>
      </c>
      <c r="BE14" s="360">
        <f t="shared" si="14"/>
        <v>10.934000000000001</v>
      </c>
      <c r="BF14" s="360">
        <f t="shared" si="15"/>
        <v>18.090799999999998</v>
      </c>
      <c r="BG14" s="363">
        <v>7.6950354330708661</v>
      </c>
      <c r="BI14" s="357">
        <v>1.403</v>
      </c>
      <c r="BJ14" s="357">
        <f t="shared" si="16"/>
        <v>19.981999999999999</v>
      </c>
      <c r="BK14" s="357">
        <f t="shared" si="22"/>
        <v>35.322000000000003</v>
      </c>
      <c r="BL14" s="357">
        <f t="shared" si="17"/>
        <v>33.51</v>
      </c>
      <c r="BM14" s="365">
        <f t="shared" si="23"/>
        <v>36</v>
      </c>
      <c r="BN14" s="365">
        <f t="shared" si="23"/>
        <v>34</v>
      </c>
      <c r="BO14" s="365">
        <f t="shared" si="18"/>
        <v>31</v>
      </c>
      <c r="BP14" s="365">
        <f t="shared" si="24"/>
        <v>33</v>
      </c>
      <c r="BQ14" s="357">
        <f t="shared" si="19"/>
        <v>49</v>
      </c>
      <c r="BR14" s="357">
        <f t="shared" si="20"/>
        <v>35</v>
      </c>
    </row>
    <row r="15" spans="1:70" s="13" customFormat="1" ht="15.6" x14ac:dyDescent="0.3">
      <c r="A15" s="366">
        <v>45</v>
      </c>
      <c r="B15" s="378">
        <f>10.127*2</f>
        <v>20.254000000000001</v>
      </c>
      <c r="C15" s="359">
        <v>24.803000000000001</v>
      </c>
      <c r="D15" s="359">
        <v>0.59099999999999997</v>
      </c>
      <c r="E15" s="359">
        <v>0.12</v>
      </c>
      <c r="F15" s="359">
        <v>0.433</v>
      </c>
      <c r="G15" s="359">
        <v>0.98399999999999999</v>
      </c>
      <c r="H15" s="359">
        <v>3</v>
      </c>
      <c r="I15" s="359">
        <v>11.417</v>
      </c>
      <c r="J15" s="359">
        <v>3.9670000000000001</v>
      </c>
      <c r="K15" s="359">
        <v>3.14</v>
      </c>
      <c r="L15" s="359">
        <v>1.89</v>
      </c>
      <c r="M15" s="367">
        <f>8.622*2</f>
        <v>17.244</v>
      </c>
      <c r="N15" s="367">
        <v>90</v>
      </c>
      <c r="O15" s="367">
        <v>8</v>
      </c>
      <c r="P15" s="362"/>
      <c r="Q15" s="362">
        <v>2.48</v>
      </c>
      <c r="R15" s="362">
        <v>1.4139999999999999</v>
      </c>
      <c r="S15" s="362">
        <v>3.14</v>
      </c>
      <c r="T15" s="362">
        <v>4.9119999999999999</v>
      </c>
      <c r="U15" s="362">
        <v>14.083</v>
      </c>
      <c r="V15" s="362">
        <v>20.524000000000001</v>
      </c>
      <c r="W15" s="362">
        <v>1.181</v>
      </c>
      <c r="X15" s="367">
        <f>7.972*2</f>
        <v>15.944000000000001</v>
      </c>
      <c r="Y15" s="367">
        <f>9.134*2</f>
        <v>18.268000000000001</v>
      </c>
      <c r="Z15" s="362">
        <v>6.63</v>
      </c>
      <c r="AA15" s="368">
        <f>B15*0.05</f>
        <v>1.0127000000000002</v>
      </c>
      <c r="AB15" s="368">
        <f>B15*0.6</f>
        <v>12.1524</v>
      </c>
      <c r="AC15" s="368">
        <f>B15*0.11</f>
        <v>2.2279400000000003</v>
      </c>
      <c r="AD15" s="368">
        <f>B15*0.11</f>
        <v>2.2279400000000003</v>
      </c>
      <c r="AE15" s="368">
        <v>7.9000000000000001E-2</v>
      </c>
      <c r="AF15" s="368">
        <f t="shared" si="7"/>
        <v>4.4558800000000005</v>
      </c>
      <c r="AG15" s="368">
        <f t="shared" si="8"/>
        <v>5.0635000000000003</v>
      </c>
      <c r="AH15" s="368">
        <f t="shared" si="9"/>
        <v>0.28355600000000003</v>
      </c>
      <c r="AI15" s="368">
        <f>B15*0.006</f>
        <v>0.12152400000000001</v>
      </c>
      <c r="AJ15" s="368">
        <f>B15*0.08</f>
        <v>1.6203200000000002</v>
      </c>
      <c r="AK15" s="368">
        <v>65</v>
      </c>
      <c r="AL15" s="368">
        <f>B15*0.62</f>
        <v>12.55748</v>
      </c>
      <c r="AM15" s="362">
        <v>19.882000000000001</v>
      </c>
      <c r="AN15" s="362">
        <v>7.3029999999999999</v>
      </c>
      <c r="AO15" s="362">
        <v>7.3940000000000001</v>
      </c>
      <c r="AP15" s="362"/>
      <c r="AQ15" s="362">
        <v>1.135</v>
      </c>
      <c r="AR15" s="362">
        <v>0.47199999999999998</v>
      </c>
      <c r="AS15" s="362">
        <v>2.1320000000000001</v>
      </c>
      <c r="AT15" s="362">
        <v>0.39300000000000002</v>
      </c>
      <c r="AU15" s="362">
        <v>9.2110000000000003</v>
      </c>
      <c r="AV15" s="362">
        <v>12</v>
      </c>
      <c r="AW15" s="369">
        <v>4.3760000000000003</v>
      </c>
      <c r="AX15" s="362">
        <v>10.340999999999999</v>
      </c>
      <c r="AY15" s="362">
        <v>10.706</v>
      </c>
      <c r="AZ15" s="362">
        <v>11.08</v>
      </c>
      <c r="BA15" s="362">
        <v>0.30099999999999999</v>
      </c>
      <c r="BB15" s="368">
        <f t="shared" si="12"/>
        <v>7.8990600000000004</v>
      </c>
      <c r="BC15" s="368">
        <v>0.76800000000000002</v>
      </c>
      <c r="BD15" s="368">
        <f t="shared" si="13"/>
        <v>28.355599999999999</v>
      </c>
      <c r="BE15" s="368">
        <f t="shared" si="14"/>
        <v>11.139700000000001</v>
      </c>
      <c r="BF15" s="368">
        <f t="shared" si="15"/>
        <v>18.431140000000003</v>
      </c>
      <c r="BG15" s="369">
        <v>7.6950354330708661</v>
      </c>
      <c r="BI15" s="370">
        <v>1.403</v>
      </c>
      <c r="BJ15" s="370">
        <f>BI15+E15+U15+AW15</f>
        <v>19.981999999999999</v>
      </c>
      <c r="BK15" s="370">
        <f>10+BJ15+2.5+2.34+0.5</f>
        <v>35.322000000000003</v>
      </c>
      <c r="BL15" s="370">
        <f>10+BJ15+2+1.528</f>
        <v>33.51</v>
      </c>
      <c r="BM15" s="371">
        <f>ROUNDUP(BK15,0)</f>
        <v>36</v>
      </c>
      <c r="BN15" s="371">
        <f>ROUNDUP(BL15,0)</f>
        <v>34</v>
      </c>
      <c r="BO15" s="371">
        <f>ROUNDUP(10+BJ15+1,0)</f>
        <v>31</v>
      </c>
      <c r="BP15" s="371">
        <f>BO15+2</f>
        <v>33</v>
      </c>
      <c r="BQ15" s="370">
        <f>ROUNDUP(10.476*2+C15+1.5*2,0)</f>
        <v>49</v>
      </c>
      <c r="BR15" s="370">
        <f>ROUNDUP((4.049+1)*2+C15,0)</f>
        <v>35</v>
      </c>
    </row>
    <row r="16" spans="1:70" s="13" customFormat="1" ht="15.6" x14ac:dyDescent="0.3">
      <c r="A16" s="35">
        <v>500</v>
      </c>
      <c r="B16" s="379" t="s">
        <v>148</v>
      </c>
      <c r="C16" s="359">
        <v>26.76</v>
      </c>
      <c r="D16" s="359">
        <v>0.625</v>
      </c>
      <c r="E16" s="359">
        <v>0.11799999999999999</v>
      </c>
      <c r="F16" s="359"/>
      <c r="G16" s="359"/>
      <c r="H16" s="359"/>
      <c r="I16" s="359"/>
      <c r="J16" s="359"/>
      <c r="K16" s="359"/>
      <c r="L16" s="359"/>
      <c r="M16" s="360">
        <f t="shared" si="1"/>
        <v>16.653600000000001</v>
      </c>
      <c r="N16" s="360">
        <v>60</v>
      </c>
      <c r="O16" s="360">
        <v>6</v>
      </c>
      <c r="P16" s="362"/>
      <c r="Q16" s="362"/>
      <c r="R16" s="362"/>
      <c r="S16" s="362"/>
      <c r="T16" s="362"/>
      <c r="U16" s="362">
        <v>15.571</v>
      </c>
      <c r="V16" s="362"/>
      <c r="W16" s="362"/>
      <c r="X16" s="304">
        <f>B16*0.7</f>
        <v>15.596</v>
      </c>
      <c r="Y16" s="319">
        <v>18.504000000000001</v>
      </c>
      <c r="Z16" s="362"/>
      <c r="AA16" s="360">
        <f t="shared" si="3"/>
        <v>1.1140000000000001</v>
      </c>
      <c r="AB16" s="360">
        <f t="shared" si="4"/>
        <v>13.368</v>
      </c>
      <c r="AC16" s="360">
        <f t="shared" si="5"/>
        <v>2.4508000000000001</v>
      </c>
      <c r="AD16" s="360">
        <f t="shared" si="6"/>
        <v>2.4508000000000001</v>
      </c>
      <c r="AE16" s="360">
        <v>7.9000000000000001E-2</v>
      </c>
      <c r="AF16" s="360">
        <f t="shared" si="7"/>
        <v>4.9016000000000002</v>
      </c>
      <c r="AG16" s="360">
        <f t="shared" si="8"/>
        <v>5.57</v>
      </c>
      <c r="AH16" s="360">
        <f t="shared" si="9"/>
        <v>0.31192000000000003</v>
      </c>
      <c r="AI16" s="360">
        <f t="shared" si="21"/>
        <v>0.13368000000000002</v>
      </c>
      <c r="AJ16" s="360">
        <f t="shared" si="10"/>
        <v>1.7824000000000002</v>
      </c>
      <c r="AK16" s="361">
        <v>65</v>
      </c>
      <c r="AL16" s="360">
        <f t="shared" si="11"/>
        <v>13.813600000000001</v>
      </c>
      <c r="AM16" s="362"/>
      <c r="AN16" s="362"/>
      <c r="AO16" s="362"/>
      <c r="AP16" s="362"/>
      <c r="AQ16" s="362"/>
      <c r="AR16" s="362"/>
      <c r="AS16" s="362"/>
      <c r="AT16" s="362"/>
      <c r="AU16" s="362"/>
      <c r="AV16" s="362"/>
      <c r="AW16" s="363">
        <v>4.3739999999999997</v>
      </c>
      <c r="AX16" s="362"/>
      <c r="AY16" s="362"/>
      <c r="AZ16" s="362"/>
      <c r="BA16" s="362"/>
      <c r="BB16" s="360">
        <f t="shared" si="12"/>
        <v>8.6892000000000014</v>
      </c>
      <c r="BC16" s="360">
        <f t="shared" ref="BC16:BC22" si="25">BC14+0.03</f>
        <v>0.79800000000000004</v>
      </c>
      <c r="BD16" s="360">
        <f t="shared" si="13"/>
        <v>31.192</v>
      </c>
      <c r="BE16" s="360">
        <f t="shared" si="14"/>
        <v>12.254000000000001</v>
      </c>
      <c r="BF16" s="360">
        <f t="shared" si="15"/>
        <v>20.274800000000003</v>
      </c>
      <c r="BG16" s="363">
        <v>8.6850393700787407</v>
      </c>
      <c r="BI16" s="357">
        <v>1.403</v>
      </c>
      <c r="BJ16" s="357">
        <f t="shared" si="16"/>
        <v>21.465999999999998</v>
      </c>
      <c r="BK16" s="357">
        <f t="shared" si="22"/>
        <v>36.805999999999997</v>
      </c>
      <c r="BL16" s="357">
        <f t="shared" si="17"/>
        <v>34.993999999999993</v>
      </c>
      <c r="BM16" s="365">
        <f t="shared" si="23"/>
        <v>37</v>
      </c>
      <c r="BN16" s="365">
        <f t="shared" si="23"/>
        <v>35</v>
      </c>
      <c r="BO16" s="365">
        <f t="shared" si="18"/>
        <v>33</v>
      </c>
      <c r="BP16" s="365">
        <f t="shared" si="24"/>
        <v>35</v>
      </c>
      <c r="BQ16" s="357">
        <f t="shared" si="19"/>
        <v>51</v>
      </c>
      <c r="BR16" s="357">
        <f t="shared" si="20"/>
        <v>37</v>
      </c>
    </row>
    <row r="17" spans="1:74" s="13" customFormat="1" ht="15.6" x14ac:dyDescent="0.3">
      <c r="A17" s="366">
        <v>50</v>
      </c>
      <c r="B17" s="378">
        <f>11.382*2</f>
        <v>22.763999999999999</v>
      </c>
      <c r="C17" s="359">
        <v>26.76</v>
      </c>
      <c r="D17" s="359">
        <v>0.625</v>
      </c>
      <c r="E17" s="359">
        <v>0.11799999999999999</v>
      </c>
      <c r="F17" s="359"/>
      <c r="G17" s="359"/>
      <c r="H17" s="359"/>
      <c r="I17" s="359"/>
      <c r="J17" s="359"/>
      <c r="K17" s="359"/>
      <c r="L17" s="359"/>
      <c r="M17" s="367">
        <f>9.606*2</f>
        <v>19.212</v>
      </c>
      <c r="N17" s="367">
        <v>90</v>
      </c>
      <c r="O17" s="367">
        <v>4</v>
      </c>
      <c r="P17" s="362"/>
      <c r="Q17" s="362"/>
      <c r="R17" s="362"/>
      <c r="S17" s="362"/>
      <c r="T17" s="362"/>
      <c r="U17" s="362">
        <v>15.571</v>
      </c>
      <c r="V17" s="362"/>
      <c r="W17" s="362"/>
      <c r="X17" s="367">
        <f>9.055*2</f>
        <v>18.11</v>
      </c>
      <c r="Y17" s="367">
        <f>10.118*2</f>
        <v>20.236000000000001</v>
      </c>
      <c r="Z17" s="362"/>
      <c r="AA17" s="368">
        <f>B17*0.05</f>
        <v>1.1382000000000001</v>
      </c>
      <c r="AB17" s="368">
        <f>B17*0.6</f>
        <v>13.658399999999999</v>
      </c>
      <c r="AC17" s="368">
        <f>B17*0.11</f>
        <v>2.5040399999999998</v>
      </c>
      <c r="AD17" s="368">
        <f>B17*0.11</f>
        <v>2.5040399999999998</v>
      </c>
      <c r="AE17" s="368">
        <v>7.9000000000000001E-2</v>
      </c>
      <c r="AF17" s="368">
        <f t="shared" si="7"/>
        <v>5.0080799999999996</v>
      </c>
      <c r="AG17" s="368">
        <f t="shared" si="8"/>
        <v>5.6909999999999998</v>
      </c>
      <c r="AH17" s="368">
        <f t="shared" si="9"/>
        <v>0.31869599999999998</v>
      </c>
      <c r="AI17" s="368">
        <f>B17*0.006</f>
        <v>0.13658400000000001</v>
      </c>
      <c r="AJ17" s="368">
        <f>B17*0.08</f>
        <v>1.8211200000000001</v>
      </c>
      <c r="AK17" s="368">
        <v>65</v>
      </c>
      <c r="AL17" s="368">
        <f>B17*0.62</f>
        <v>14.113679999999999</v>
      </c>
      <c r="AM17" s="362"/>
      <c r="AN17" s="362"/>
      <c r="AO17" s="362"/>
      <c r="AP17" s="362"/>
      <c r="AQ17" s="362"/>
      <c r="AR17" s="362"/>
      <c r="AS17" s="362"/>
      <c r="AT17" s="362"/>
      <c r="AU17" s="362"/>
      <c r="AV17" s="362"/>
      <c r="AW17" s="369">
        <v>4.3739999999999997</v>
      </c>
      <c r="AX17" s="362"/>
      <c r="AY17" s="362"/>
      <c r="AZ17" s="362"/>
      <c r="BA17" s="362"/>
      <c r="BB17" s="368">
        <f t="shared" si="12"/>
        <v>8.8779599999999999</v>
      </c>
      <c r="BC17" s="368">
        <f t="shared" si="25"/>
        <v>0.79800000000000004</v>
      </c>
      <c r="BD17" s="368">
        <f t="shared" si="13"/>
        <v>31.869599999999998</v>
      </c>
      <c r="BE17" s="368">
        <f t="shared" si="14"/>
        <v>12.520200000000001</v>
      </c>
      <c r="BF17" s="368">
        <f t="shared" si="15"/>
        <v>20.715240000000001</v>
      </c>
      <c r="BG17" s="369">
        <v>8.6850393700787407</v>
      </c>
      <c r="BI17" s="370">
        <v>1.403</v>
      </c>
      <c r="BJ17" s="370">
        <f>BI17+E17+U17+AW17</f>
        <v>21.465999999999998</v>
      </c>
      <c r="BK17" s="370">
        <f>10+BJ17+2.5+2.34+0.5</f>
        <v>36.805999999999997</v>
      </c>
      <c r="BL17" s="370">
        <f>10+BJ17+2+1.528</f>
        <v>34.993999999999993</v>
      </c>
      <c r="BM17" s="371">
        <f>ROUNDUP(BK17,0)</f>
        <v>37</v>
      </c>
      <c r="BN17" s="371">
        <f>ROUNDUP(BL17,0)</f>
        <v>35</v>
      </c>
      <c r="BO17" s="371">
        <f>ROUNDUP(10+BJ17+1,0)</f>
        <v>33</v>
      </c>
      <c r="BP17" s="371">
        <f>BO17+2</f>
        <v>35</v>
      </c>
      <c r="BQ17" s="370">
        <f>ROUNDUP(10.476*2+C17+1.5*2,0)</f>
        <v>51</v>
      </c>
      <c r="BR17" s="370">
        <f>ROUNDUP((4.049+1)*2+C17,0)</f>
        <v>37</v>
      </c>
    </row>
    <row r="18" spans="1:74" s="13" customFormat="1" ht="15.6" x14ac:dyDescent="0.3">
      <c r="A18" s="358">
        <v>560</v>
      </c>
      <c r="B18" s="377" t="s">
        <v>149</v>
      </c>
      <c r="C18" s="359">
        <v>31.495999999999999</v>
      </c>
      <c r="D18" s="359">
        <v>0.59099999999999997</v>
      </c>
      <c r="E18" s="359">
        <v>0.108</v>
      </c>
      <c r="F18" s="359">
        <v>0.433</v>
      </c>
      <c r="G18" s="359">
        <v>0.98399999999999999</v>
      </c>
      <c r="H18" s="359">
        <v>3</v>
      </c>
      <c r="I18" s="359">
        <v>14.763999999999999</v>
      </c>
      <c r="J18" s="359">
        <v>5.157</v>
      </c>
      <c r="K18" s="359">
        <v>4.33</v>
      </c>
      <c r="L18" s="359">
        <v>1.89</v>
      </c>
      <c r="M18" s="360">
        <f t="shared" si="1"/>
        <v>18.252000000000002</v>
      </c>
      <c r="N18" s="360">
        <v>60</v>
      </c>
      <c r="O18" s="360">
        <v>6</v>
      </c>
      <c r="P18" s="362"/>
      <c r="Q18" s="359">
        <v>2.48</v>
      </c>
      <c r="R18" s="359">
        <v>1.4139999999999999</v>
      </c>
      <c r="S18" s="362">
        <v>3.14</v>
      </c>
      <c r="T18" s="362">
        <v>4.9119999999999999</v>
      </c>
      <c r="U18" s="362">
        <v>17.911000000000001</v>
      </c>
      <c r="V18" s="362">
        <v>24.803000000000001</v>
      </c>
      <c r="W18" s="362">
        <v>1.181</v>
      </c>
      <c r="X18" s="304">
        <f>B18*0.7</f>
        <v>17.527999999999999</v>
      </c>
      <c r="Y18" s="303">
        <v>20.28</v>
      </c>
      <c r="Z18" s="359">
        <v>6.63</v>
      </c>
      <c r="AA18" s="360">
        <f t="shared" si="3"/>
        <v>1.252</v>
      </c>
      <c r="AB18" s="360">
        <f t="shared" si="4"/>
        <v>15.023999999999999</v>
      </c>
      <c r="AC18" s="360">
        <f t="shared" si="5"/>
        <v>2.7544</v>
      </c>
      <c r="AD18" s="360">
        <f t="shared" si="6"/>
        <v>2.7544</v>
      </c>
      <c r="AE18" s="360">
        <v>7.9000000000000001E-2</v>
      </c>
      <c r="AF18" s="360">
        <f t="shared" si="7"/>
        <v>5.5087999999999999</v>
      </c>
      <c r="AG18" s="360">
        <f t="shared" si="8"/>
        <v>6.26</v>
      </c>
      <c r="AH18" s="360">
        <f t="shared" si="9"/>
        <v>0.35055999999999998</v>
      </c>
      <c r="AI18" s="360">
        <f t="shared" si="21"/>
        <v>0.15023999999999998</v>
      </c>
      <c r="AJ18" s="360">
        <f t="shared" si="10"/>
        <v>2.0032000000000001</v>
      </c>
      <c r="AK18" s="361">
        <v>65</v>
      </c>
      <c r="AL18" s="360">
        <f t="shared" si="11"/>
        <v>15.524799999999999</v>
      </c>
      <c r="AM18" s="362">
        <v>25.039000000000001</v>
      </c>
      <c r="AN18" s="362">
        <v>8.6809999999999992</v>
      </c>
      <c r="AO18" s="362">
        <v>7.3940000000000001</v>
      </c>
      <c r="AP18" s="362"/>
      <c r="AQ18" s="362">
        <v>1.135</v>
      </c>
      <c r="AR18" s="362">
        <v>0.47199999999999998</v>
      </c>
      <c r="AS18" s="362">
        <v>2.0059999999999998</v>
      </c>
      <c r="AT18" s="362">
        <v>0.19700000000000001</v>
      </c>
      <c r="AU18" s="362">
        <v>9.2249999999999996</v>
      </c>
      <c r="AV18" s="362">
        <f>6.353*2</f>
        <v>12.706</v>
      </c>
      <c r="AW18" s="363">
        <v>4.383</v>
      </c>
      <c r="AX18" s="362">
        <v>10.340999999999999</v>
      </c>
      <c r="AY18" s="362">
        <v>10.706</v>
      </c>
      <c r="AZ18" s="362">
        <v>11.08</v>
      </c>
      <c r="BA18" s="362">
        <v>0.30099999999999999</v>
      </c>
      <c r="BB18" s="360">
        <f t="shared" si="12"/>
        <v>9.7655999999999992</v>
      </c>
      <c r="BC18" s="360">
        <f t="shared" si="25"/>
        <v>0.82800000000000007</v>
      </c>
      <c r="BD18" s="360">
        <f t="shared" si="13"/>
        <v>35.055999999999997</v>
      </c>
      <c r="BE18" s="360">
        <f t="shared" si="14"/>
        <v>13.772</v>
      </c>
      <c r="BF18" s="360">
        <f t="shared" si="15"/>
        <v>22.7864</v>
      </c>
      <c r="BG18" s="363">
        <v>8.6792440944881903</v>
      </c>
      <c r="BI18" s="357">
        <v>1.403</v>
      </c>
      <c r="BJ18" s="357">
        <f t="shared" si="16"/>
        <v>23.805</v>
      </c>
      <c r="BK18" s="357">
        <f t="shared" si="22"/>
        <v>39.144999999999996</v>
      </c>
      <c r="BL18" s="357">
        <f t="shared" si="17"/>
        <v>37.332999999999998</v>
      </c>
      <c r="BM18" s="365">
        <f t="shared" si="23"/>
        <v>40</v>
      </c>
      <c r="BN18" s="365">
        <f t="shared" si="23"/>
        <v>38</v>
      </c>
      <c r="BO18" s="365">
        <f t="shared" si="18"/>
        <v>35</v>
      </c>
      <c r="BP18" s="365">
        <f t="shared" si="24"/>
        <v>37</v>
      </c>
      <c r="BQ18" s="357">
        <f t="shared" si="19"/>
        <v>56</v>
      </c>
      <c r="BR18" s="357">
        <f t="shared" si="20"/>
        <v>42</v>
      </c>
    </row>
    <row r="19" spans="1:74" s="13" customFormat="1" ht="15.6" x14ac:dyDescent="0.3">
      <c r="A19" s="366">
        <v>56</v>
      </c>
      <c r="B19" s="378">
        <f>12.653*2</f>
        <v>25.306000000000001</v>
      </c>
      <c r="C19" s="359">
        <v>31.495999999999999</v>
      </c>
      <c r="D19" s="359">
        <v>0.59099999999999997</v>
      </c>
      <c r="E19" s="359">
        <v>0.108</v>
      </c>
      <c r="F19" s="359">
        <v>0.433</v>
      </c>
      <c r="G19" s="359">
        <v>0.98399999999999999</v>
      </c>
      <c r="H19" s="359">
        <v>3</v>
      </c>
      <c r="I19" s="359">
        <v>14.763999999999999</v>
      </c>
      <c r="J19" s="359">
        <v>5.157</v>
      </c>
      <c r="K19" s="359">
        <v>4.33</v>
      </c>
      <c r="L19" s="359">
        <v>1.89</v>
      </c>
      <c r="M19" s="367">
        <f>10.591*2</f>
        <v>21.181999999999999</v>
      </c>
      <c r="N19" s="367">
        <v>90</v>
      </c>
      <c r="O19" s="367">
        <v>8</v>
      </c>
      <c r="P19" s="362"/>
      <c r="Q19" s="362">
        <v>2.48</v>
      </c>
      <c r="R19" s="362">
        <v>1.4139999999999999</v>
      </c>
      <c r="S19" s="362">
        <v>3.14</v>
      </c>
      <c r="T19" s="362">
        <v>4.9119999999999999</v>
      </c>
      <c r="U19" s="362">
        <v>17.911000000000001</v>
      </c>
      <c r="V19" s="362">
        <v>24.803000000000001</v>
      </c>
      <c r="W19" s="362">
        <v>1.181</v>
      </c>
      <c r="X19" s="367">
        <f>10.138*2</f>
        <v>20.276</v>
      </c>
      <c r="Y19" s="367">
        <f>11.102*2</f>
        <v>22.204000000000001</v>
      </c>
      <c r="Z19" s="362">
        <v>6.63</v>
      </c>
      <c r="AA19" s="368">
        <f>B19*0.05</f>
        <v>1.2653000000000001</v>
      </c>
      <c r="AB19" s="368">
        <f>B19*0.6</f>
        <v>15.1836</v>
      </c>
      <c r="AC19" s="368">
        <f>B19*0.11</f>
        <v>2.7836600000000002</v>
      </c>
      <c r="AD19" s="368">
        <f>B19*0.11</f>
        <v>2.7836600000000002</v>
      </c>
      <c r="AE19" s="368">
        <v>7.9000000000000001E-2</v>
      </c>
      <c r="AF19" s="368">
        <f t="shared" si="7"/>
        <v>5.5673200000000005</v>
      </c>
      <c r="AG19" s="368">
        <f t="shared" si="8"/>
        <v>6.3265000000000002</v>
      </c>
      <c r="AH19" s="368">
        <f t="shared" si="9"/>
        <v>0.35428400000000004</v>
      </c>
      <c r="AI19" s="368">
        <f>B19*0.006</f>
        <v>0.151836</v>
      </c>
      <c r="AJ19" s="368">
        <f>B19*0.08</f>
        <v>2.0244800000000001</v>
      </c>
      <c r="AK19" s="368">
        <v>65</v>
      </c>
      <c r="AL19" s="368">
        <f>B19*0.62</f>
        <v>15.689720000000001</v>
      </c>
      <c r="AM19" s="362">
        <v>25.039000000000001</v>
      </c>
      <c r="AN19" s="362">
        <v>8.6809999999999992</v>
      </c>
      <c r="AO19" s="362">
        <v>7.3940000000000001</v>
      </c>
      <c r="AP19" s="362"/>
      <c r="AQ19" s="362">
        <v>1.135</v>
      </c>
      <c r="AR19" s="362">
        <v>0.47199999999999998</v>
      </c>
      <c r="AS19" s="362">
        <v>2.0059999999999998</v>
      </c>
      <c r="AT19" s="362">
        <v>0.19700000000000001</v>
      </c>
      <c r="AU19" s="362">
        <v>9.2249999999999996</v>
      </c>
      <c r="AV19" s="362">
        <f>6.353*2</f>
        <v>12.706</v>
      </c>
      <c r="AW19" s="369">
        <v>4.383</v>
      </c>
      <c r="AX19" s="362">
        <v>10.340999999999999</v>
      </c>
      <c r="AY19" s="362">
        <v>10.706</v>
      </c>
      <c r="AZ19" s="362">
        <v>11.08</v>
      </c>
      <c r="BA19" s="362">
        <v>0.30099999999999999</v>
      </c>
      <c r="BB19" s="368">
        <f t="shared" si="12"/>
        <v>9.8693400000000011</v>
      </c>
      <c r="BC19" s="368">
        <f t="shared" si="25"/>
        <v>0.82800000000000007</v>
      </c>
      <c r="BD19" s="368">
        <f t="shared" si="13"/>
        <v>35.428399999999996</v>
      </c>
      <c r="BE19" s="368">
        <f t="shared" si="14"/>
        <v>13.918300000000002</v>
      </c>
      <c r="BF19" s="368">
        <f t="shared" si="15"/>
        <v>23.028460000000003</v>
      </c>
      <c r="BG19" s="369">
        <v>8.6792440944881903</v>
      </c>
      <c r="BI19" s="370">
        <v>1.403</v>
      </c>
      <c r="BJ19" s="370">
        <f>BI19+E19+U19+AW19</f>
        <v>23.805</v>
      </c>
      <c r="BK19" s="370">
        <f>10+BJ19+2.5+2.34+0.5</f>
        <v>39.144999999999996</v>
      </c>
      <c r="BL19" s="370">
        <f>10+BJ19+2+1.528</f>
        <v>37.332999999999998</v>
      </c>
      <c r="BM19" s="371">
        <f>ROUNDUP(BK19,0)</f>
        <v>40</v>
      </c>
      <c r="BN19" s="371">
        <f>ROUNDUP(BL19,0)</f>
        <v>38</v>
      </c>
      <c r="BO19" s="371">
        <f>ROUNDUP(10+BJ19+1,0)</f>
        <v>35</v>
      </c>
      <c r="BP19" s="371">
        <f>BO19+2</f>
        <v>37</v>
      </c>
      <c r="BQ19" s="370">
        <f>ROUNDUP(10.476*2+C19+1.5*2,0)</f>
        <v>56</v>
      </c>
      <c r="BR19" s="370">
        <f>ROUNDUP((4.049+1)*2+C19,0)</f>
        <v>42</v>
      </c>
    </row>
    <row r="20" spans="1:74" s="13" customFormat="1" ht="15.6" x14ac:dyDescent="0.3">
      <c r="A20" s="35">
        <v>630</v>
      </c>
      <c r="B20" s="379" t="s">
        <v>150</v>
      </c>
      <c r="C20" s="359">
        <v>31.495999999999999</v>
      </c>
      <c r="D20" s="359">
        <v>0.78700000000000003</v>
      </c>
      <c r="E20" s="359">
        <v>0.11799999999999999</v>
      </c>
      <c r="F20" s="359">
        <v>0.433</v>
      </c>
      <c r="G20" s="359">
        <v>1.9690000000000001</v>
      </c>
      <c r="H20" s="359"/>
      <c r="I20" s="359"/>
      <c r="J20" s="359"/>
      <c r="K20" s="359"/>
      <c r="L20" s="359"/>
      <c r="M20" s="360">
        <f t="shared" si="1"/>
        <v>22.4649</v>
      </c>
      <c r="N20" s="360">
        <v>60</v>
      </c>
      <c r="O20" s="360">
        <v>6</v>
      </c>
      <c r="P20" s="362"/>
      <c r="Q20" s="362"/>
      <c r="R20" s="362"/>
      <c r="S20" s="362"/>
      <c r="T20" s="362"/>
      <c r="U20" s="362">
        <v>22.323</v>
      </c>
      <c r="V20" s="362"/>
      <c r="W20" s="362"/>
      <c r="X20" s="304">
        <f>B20*0.75</f>
        <v>21.142500000000002</v>
      </c>
      <c r="Y20" s="319">
        <v>24.960999999999999</v>
      </c>
      <c r="Z20" s="362"/>
      <c r="AA20" s="360">
        <f t="shared" si="3"/>
        <v>1.4095000000000002</v>
      </c>
      <c r="AB20" s="360">
        <f t="shared" si="4"/>
        <v>16.914000000000001</v>
      </c>
      <c r="AC20" s="360">
        <f t="shared" si="5"/>
        <v>3.1009000000000002</v>
      </c>
      <c r="AD20" s="360">
        <f t="shared" si="6"/>
        <v>3.1009000000000002</v>
      </c>
      <c r="AE20" s="360">
        <v>7.9000000000000001E-2</v>
      </c>
      <c r="AF20" s="360">
        <f t="shared" si="7"/>
        <v>6.2018000000000004</v>
      </c>
      <c r="AG20" s="360">
        <f t="shared" si="8"/>
        <v>7.0475000000000003</v>
      </c>
      <c r="AH20" s="360">
        <f t="shared" si="9"/>
        <v>0.39466000000000001</v>
      </c>
      <c r="AI20" s="360">
        <f t="shared" si="21"/>
        <v>0.16914000000000001</v>
      </c>
      <c r="AJ20" s="360">
        <f t="shared" si="10"/>
        <v>2.2552000000000003</v>
      </c>
      <c r="AK20" s="361">
        <v>65</v>
      </c>
      <c r="AL20" s="360">
        <f t="shared" si="11"/>
        <v>17.477800000000002</v>
      </c>
      <c r="AM20" s="362"/>
      <c r="AN20" s="362"/>
      <c r="AO20" s="362"/>
      <c r="AP20" s="362"/>
      <c r="AQ20" s="362"/>
      <c r="AR20" s="362"/>
      <c r="AS20" s="362"/>
      <c r="AT20" s="362"/>
      <c r="AU20" s="362"/>
      <c r="AV20" s="362"/>
      <c r="AW20" s="363">
        <v>5.2359999999999998</v>
      </c>
      <c r="AX20" s="362"/>
      <c r="AY20" s="362"/>
      <c r="AZ20" s="362"/>
      <c r="BA20" s="362"/>
      <c r="BB20" s="360">
        <f t="shared" si="12"/>
        <v>10.994100000000001</v>
      </c>
      <c r="BC20" s="360">
        <f t="shared" si="25"/>
        <v>0.8580000000000001</v>
      </c>
      <c r="BD20" s="360">
        <f t="shared" si="13"/>
        <v>39.466000000000001</v>
      </c>
      <c r="BE20" s="360">
        <f t="shared" si="14"/>
        <v>15.504500000000002</v>
      </c>
      <c r="BF20" s="360">
        <f t="shared" si="15"/>
        <v>25.652900000000002</v>
      </c>
      <c r="BG20" s="363">
        <v>12.222649606299214</v>
      </c>
      <c r="BI20" s="357">
        <v>1.403</v>
      </c>
      <c r="BJ20" s="357">
        <f t="shared" si="16"/>
        <v>29.080000000000002</v>
      </c>
      <c r="BK20" s="357">
        <f t="shared" si="22"/>
        <v>44.42</v>
      </c>
      <c r="BL20" s="357">
        <f t="shared" si="17"/>
        <v>42.607999999999997</v>
      </c>
      <c r="BM20" s="365">
        <f t="shared" si="23"/>
        <v>45</v>
      </c>
      <c r="BN20" s="365">
        <f t="shared" si="23"/>
        <v>43</v>
      </c>
      <c r="BO20" s="365">
        <f t="shared" si="18"/>
        <v>41</v>
      </c>
      <c r="BP20" s="365">
        <f t="shared" si="24"/>
        <v>43</v>
      </c>
      <c r="BQ20" s="357">
        <f t="shared" si="19"/>
        <v>56</v>
      </c>
      <c r="BR20" s="357">
        <f t="shared" si="20"/>
        <v>42</v>
      </c>
    </row>
    <row r="21" spans="1:74" s="13" customFormat="1" ht="15.6" x14ac:dyDescent="0.3">
      <c r="A21" s="366">
        <v>63</v>
      </c>
      <c r="B21" s="378">
        <f>14.162*2</f>
        <v>28.324000000000002</v>
      </c>
      <c r="C21" s="359">
        <v>31.495999999999999</v>
      </c>
      <c r="D21" s="359">
        <v>0.78700000000000003</v>
      </c>
      <c r="E21" s="359">
        <v>0.11799999999999999</v>
      </c>
      <c r="F21" s="359">
        <v>0.433</v>
      </c>
      <c r="G21" s="359">
        <v>1.9690000000000001</v>
      </c>
      <c r="H21" s="359"/>
      <c r="I21" s="359"/>
      <c r="J21" s="359"/>
      <c r="K21" s="359"/>
      <c r="L21" s="359"/>
      <c r="M21" s="367">
        <f>11.811*2</f>
        <v>23.622</v>
      </c>
      <c r="N21" s="367">
        <v>90</v>
      </c>
      <c r="O21" s="367">
        <v>12</v>
      </c>
      <c r="P21" s="362"/>
      <c r="Q21" s="362"/>
      <c r="R21" s="362"/>
      <c r="S21" s="362"/>
      <c r="T21" s="362"/>
      <c r="U21" s="362">
        <v>22.323</v>
      </c>
      <c r="V21" s="362"/>
      <c r="W21" s="362"/>
      <c r="X21" s="367">
        <f>11.417*2</f>
        <v>22.834</v>
      </c>
      <c r="Y21" s="367">
        <f>12.48*2</f>
        <v>24.96</v>
      </c>
      <c r="Z21" s="362"/>
      <c r="AA21" s="368">
        <f>B21*0.05</f>
        <v>1.4162000000000001</v>
      </c>
      <c r="AB21" s="368">
        <f>B21*0.6</f>
        <v>16.994399999999999</v>
      </c>
      <c r="AC21" s="368">
        <f>B21*0.11</f>
        <v>3.1156400000000004</v>
      </c>
      <c r="AD21" s="368">
        <f>B21*0.11</f>
        <v>3.1156400000000004</v>
      </c>
      <c r="AE21" s="368">
        <v>7.9000000000000001E-2</v>
      </c>
      <c r="AF21" s="368">
        <f t="shared" si="7"/>
        <v>6.2312800000000008</v>
      </c>
      <c r="AG21" s="368">
        <f t="shared" si="8"/>
        <v>7.0810000000000004</v>
      </c>
      <c r="AH21" s="368">
        <f t="shared" si="9"/>
        <v>0.39653600000000006</v>
      </c>
      <c r="AI21" s="368">
        <f>B21*0.006</f>
        <v>0.16994400000000001</v>
      </c>
      <c r="AJ21" s="368">
        <f>B21*0.08</f>
        <v>2.2659200000000004</v>
      </c>
      <c r="AK21" s="368">
        <v>65</v>
      </c>
      <c r="AL21" s="368">
        <f>B21*0.62</f>
        <v>17.560880000000001</v>
      </c>
      <c r="AM21" s="362"/>
      <c r="AN21" s="362"/>
      <c r="AO21" s="362"/>
      <c r="AP21" s="362"/>
      <c r="AQ21" s="362"/>
      <c r="AR21" s="362"/>
      <c r="AS21" s="362"/>
      <c r="AT21" s="362"/>
      <c r="AU21" s="362"/>
      <c r="AV21" s="362"/>
      <c r="AW21" s="369">
        <v>5.2359999999999998</v>
      </c>
      <c r="AX21" s="362"/>
      <c r="AY21" s="362"/>
      <c r="AZ21" s="362"/>
      <c r="BA21" s="362"/>
      <c r="BB21" s="368">
        <f t="shared" si="12"/>
        <v>11.046360000000002</v>
      </c>
      <c r="BC21" s="368">
        <f t="shared" si="25"/>
        <v>0.8580000000000001</v>
      </c>
      <c r="BD21" s="368">
        <f t="shared" si="13"/>
        <v>39.653599999999997</v>
      </c>
      <c r="BE21" s="368">
        <f t="shared" si="14"/>
        <v>15.578200000000002</v>
      </c>
      <c r="BF21" s="368">
        <f t="shared" si="15"/>
        <v>25.774840000000001</v>
      </c>
      <c r="BG21" s="369">
        <v>12.222649606299214</v>
      </c>
      <c r="BI21" s="370">
        <v>1.403</v>
      </c>
      <c r="BJ21" s="370">
        <f>BI21+E21+U21+AW21</f>
        <v>29.080000000000002</v>
      </c>
      <c r="BK21" s="370">
        <f>10+BJ21+2.5+2.34+0.5</f>
        <v>44.42</v>
      </c>
      <c r="BL21" s="370">
        <f>10+BJ21+2+1.528</f>
        <v>42.607999999999997</v>
      </c>
      <c r="BM21" s="371">
        <f>ROUNDUP(BK21,0)</f>
        <v>45</v>
      </c>
      <c r="BN21" s="371">
        <f>ROUNDUP(BL21,0)</f>
        <v>43</v>
      </c>
      <c r="BO21" s="371">
        <f>ROUNDUP(10+BJ21+1,0)</f>
        <v>41</v>
      </c>
      <c r="BP21" s="371">
        <f>BO21+2</f>
        <v>43</v>
      </c>
      <c r="BQ21" s="370">
        <f>ROUNDUP(10.476*2+C21+1.5*2,0)</f>
        <v>56</v>
      </c>
      <c r="BR21" s="370">
        <f>ROUNDUP((4.049+1)*2+C21,0)</f>
        <v>42</v>
      </c>
    </row>
    <row r="22" spans="1:74" s="13" customFormat="1" ht="15.6" x14ac:dyDescent="0.3">
      <c r="A22" s="358">
        <v>710</v>
      </c>
      <c r="B22" s="377" t="s">
        <v>151</v>
      </c>
      <c r="C22" s="359">
        <v>37.795000000000002</v>
      </c>
      <c r="D22" s="359">
        <v>2</v>
      </c>
      <c r="E22" s="359">
        <v>0.11799999999999999</v>
      </c>
      <c r="F22" s="359"/>
      <c r="G22" s="359"/>
      <c r="H22" s="359"/>
      <c r="I22" s="359"/>
      <c r="J22" s="359"/>
      <c r="K22" s="359"/>
      <c r="L22" s="359"/>
      <c r="M22" s="360">
        <f t="shared" si="1"/>
        <v>25.511400000000002</v>
      </c>
      <c r="N22" s="360">
        <v>60</v>
      </c>
      <c r="O22" s="360">
        <v>6</v>
      </c>
      <c r="P22" s="362"/>
      <c r="Q22" s="362"/>
      <c r="R22" s="362"/>
      <c r="S22" s="362"/>
      <c r="T22" s="362"/>
      <c r="U22" s="362">
        <v>24.271999999999998</v>
      </c>
      <c r="V22" s="362"/>
      <c r="W22" s="362"/>
      <c r="X22" s="304">
        <f>B22*0.75</f>
        <v>23.797499999999999</v>
      </c>
      <c r="Y22" s="303">
        <v>28.346</v>
      </c>
      <c r="Z22" s="362"/>
      <c r="AA22" s="360">
        <f t="shared" si="3"/>
        <v>1.5865</v>
      </c>
      <c r="AB22" s="360">
        <f t="shared" si="4"/>
        <v>19.038</v>
      </c>
      <c r="AC22" s="360">
        <f t="shared" si="5"/>
        <v>3.4903</v>
      </c>
      <c r="AD22" s="360">
        <f t="shared" si="6"/>
        <v>3.4903</v>
      </c>
      <c r="AE22" s="360">
        <v>7.9000000000000001E-2</v>
      </c>
      <c r="AF22" s="360">
        <f t="shared" si="7"/>
        <v>6.9805999999999999</v>
      </c>
      <c r="AG22" s="360">
        <f t="shared" si="8"/>
        <v>7.9325000000000001</v>
      </c>
      <c r="AH22" s="360">
        <f t="shared" si="9"/>
        <v>0.44422</v>
      </c>
      <c r="AI22" s="360">
        <f t="shared" si="21"/>
        <v>0.19037999999999999</v>
      </c>
      <c r="AJ22" s="360">
        <f t="shared" si="10"/>
        <v>2.5384000000000002</v>
      </c>
      <c r="AK22" s="361">
        <v>65</v>
      </c>
      <c r="AL22" s="360">
        <f t="shared" si="11"/>
        <v>19.672599999999999</v>
      </c>
      <c r="AM22" s="362"/>
      <c r="AN22" s="362"/>
      <c r="AO22" s="362"/>
      <c r="AP22" s="362"/>
      <c r="AQ22" s="362"/>
      <c r="AR22" s="362"/>
      <c r="AS22" s="362"/>
      <c r="AT22" s="362"/>
      <c r="AU22" s="362"/>
      <c r="AV22" s="362"/>
      <c r="AW22" s="363">
        <v>5.1769999999999996</v>
      </c>
      <c r="AX22" s="362"/>
      <c r="AY22" s="362"/>
      <c r="AZ22" s="362"/>
      <c r="BA22" s="362"/>
      <c r="BB22" s="360">
        <f t="shared" si="12"/>
        <v>12.374700000000001</v>
      </c>
      <c r="BC22" s="360">
        <f t="shared" si="25"/>
        <v>0.88800000000000012</v>
      </c>
      <c r="BD22" s="360">
        <f t="shared" si="13"/>
        <v>44.421999999999997</v>
      </c>
      <c r="BE22" s="360">
        <f t="shared" si="14"/>
        <v>17.451500000000003</v>
      </c>
      <c r="BF22" s="360">
        <f t="shared" si="15"/>
        <v>28.874300000000002</v>
      </c>
      <c r="BG22" s="363">
        <v>11.435255905511809</v>
      </c>
      <c r="BI22" s="357">
        <v>2</v>
      </c>
      <c r="BJ22" s="357">
        <f t="shared" si="16"/>
        <v>31.566999999999997</v>
      </c>
      <c r="BK22" s="357">
        <f t="shared" si="22"/>
        <v>46.906999999999996</v>
      </c>
      <c r="BL22" s="357">
        <f t="shared" si="17"/>
        <v>45.094999999999992</v>
      </c>
      <c r="BM22" s="365">
        <f t="shared" si="23"/>
        <v>47</v>
      </c>
      <c r="BN22" s="365">
        <f t="shared" si="23"/>
        <v>46</v>
      </c>
      <c r="BO22" s="365">
        <f t="shared" si="18"/>
        <v>43</v>
      </c>
      <c r="BP22" s="365">
        <f t="shared" si="24"/>
        <v>45</v>
      </c>
      <c r="BQ22" s="357">
        <f t="shared" si="19"/>
        <v>62</v>
      </c>
      <c r="BR22" s="357">
        <f t="shared" si="20"/>
        <v>48</v>
      </c>
    </row>
    <row r="23" spans="1:74" s="13" customFormat="1" ht="15.6" x14ac:dyDescent="0.3">
      <c r="A23" s="35">
        <v>800</v>
      </c>
      <c r="B23" s="379" t="s">
        <v>152</v>
      </c>
      <c r="C23" s="359">
        <v>37.795000000000002</v>
      </c>
      <c r="D23" s="359">
        <v>1.083</v>
      </c>
      <c r="E23" s="359">
        <v>0.11799999999999999</v>
      </c>
      <c r="F23" s="359">
        <v>0.433</v>
      </c>
      <c r="G23" s="359">
        <v>1.575</v>
      </c>
      <c r="H23" s="359"/>
      <c r="I23" s="359"/>
      <c r="J23" s="359"/>
      <c r="K23" s="359"/>
      <c r="L23" s="359"/>
      <c r="M23" s="360">
        <f t="shared" si="1"/>
        <v>25.511400000000002</v>
      </c>
      <c r="N23" s="360">
        <v>60</v>
      </c>
      <c r="O23" s="360">
        <v>6</v>
      </c>
      <c r="P23" s="362"/>
      <c r="Q23" s="362"/>
      <c r="R23" s="362"/>
      <c r="S23" s="362"/>
      <c r="T23" s="362"/>
      <c r="U23" s="362">
        <v>25.709</v>
      </c>
      <c r="V23" s="362"/>
      <c r="W23" s="362"/>
      <c r="X23" s="304">
        <f>B23*0.7</f>
        <v>25.052999999999997</v>
      </c>
      <c r="Y23" s="306">
        <v>28.346</v>
      </c>
      <c r="Z23" s="362"/>
      <c r="AA23" s="360">
        <f t="shared" si="3"/>
        <v>1.7895000000000001</v>
      </c>
      <c r="AB23" s="360">
        <f t="shared" si="4"/>
        <v>21.474</v>
      </c>
      <c r="AC23" s="360">
        <f t="shared" si="5"/>
        <v>3.9369000000000001</v>
      </c>
      <c r="AD23" s="360">
        <f t="shared" si="6"/>
        <v>3.9369000000000001</v>
      </c>
      <c r="AE23" s="360">
        <v>7.9000000000000001E-2</v>
      </c>
      <c r="AF23" s="360">
        <f t="shared" si="7"/>
        <v>7.8738000000000001</v>
      </c>
      <c r="AG23" s="360">
        <f t="shared" si="8"/>
        <v>8.9474999999999998</v>
      </c>
      <c r="AH23" s="360">
        <f t="shared" si="9"/>
        <v>0.50105999999999995</v>
      </c>
      <c r="AI23" s="360">
        <f t="shared" si="21"/>
        <v>0.21473999999999999</v>
      </c>
      <c r="AJ23" s="360">
        <f t="shared" si="10"/>
        <v>2.8632</v>
      </c>
      <c r="AK23" s="361">
        <v>65</v>
      </c>
      <c r="AL23" s="360">
        <f t="shared" si="11"/>
        <v>22.189799999999998</v>
      </c>
      <c r="AM23" s="362"/>
      <c r="AN23" s="362"/>
      <c r="AO23" s="362"/>
      <c r="AP23" s="362"/>
      <c r="AQ23" s="362"/>
      <c r="AR23" s="362"/>
      <c r="AS23" s="362"/>
      <c r="AT23" s="362"/>
      <c r="AU23" s="362"/>
      <c r="AV23" s="362"/>
      <c r="AW23" s="363">
        <v>4.6849999999999996</v>
      </c>
      <c r="AX23" s="362"/>
      <c r="AY23" s="362"/>
      <c r="AZ23" s="362"/>
      <c r="BA23" s="362"/>
      <c r="BB23" s="360">
        <f t="shared" si="12"/>
        <v>13.9581</v>
      </c>
      <c r="BC23" s="360">
        <f>BC22+0.03</f>
        <v>0.91800000000000015</v>
      </c>
      <c r="BD23" s="360">
        <f t="shared" si="13"/>
        <v>50.105999999999995</v>
      </c>
      <c r="BE23" s="360">
        <f t="shared" si="14"/>
        <v>19.6845</v>
      </c>
      <c r="BF23" s="360">
        <f t="shared" si="15"/>
        <v>32.568899999999999</v>
      </c>
      <c r="BG23" s="363">
        <v>14.978562992125983</v>
      </c>
      <c r="BI23" s="357">
        <v>1.403</v>
      </c>
      <c r="BJ23" s="357">
        <f t="shared" si="16"/>
        <v>31.914999999999999</v>
      </c>
      <c r="BK23" s="357">
        <f t="shared" si="22"/>
        <v>47.254999999999995</v>
      </c>
      <c r="BL23" s="357">
        <f t="shared" si="17"/>
        <v>45.442999999999998</v>
      </c>
      <c r="BM23" s="365">
        <f t="shared" si="23"/>
        <v>48</v>
      </c>
      <c r="BN23" s="365">
        <f t="shared" si="23"/>
        <v>46</v>
      </c>
      <c r="BO23" s="365">
        <f t="shared" si="18"/>
        <v>43</v>
      </c>
      <c r="BP23" s="365">
        <f t="shared" si="24"/>
        <v>45</v>
      </c>
      <c r="BQ23" s="357">
        <f t="shared" si="19"/>
        <v>62</v>
      </c>
      <c r="BR23" s="357">
        <f t="shared" si="20"/>
        <v>48</v>
      </c>
    </row>
    <row r="24" spans="1:74" s="13" customFormat="1" ht="15.6" x14ac:dyDescent="0.3">
      <c r="A24" s="358">
        <v>900</v>
      </c>
      <c r="B24" s="377" t="s">
        <v>1556</v>
      </c>
      <c r="C24" s="359">
        <v>46.457000000000001</v>
      </c>
      <c r="D24" s="359">
        <v>1.2989999999999999</v>
      </c>
      <c r="E24" s="359">
        <v>0.11799999999999999</v>
      </c>
      <c r="F24" s="359"/>
      <c r="G24" s="359"/>
      <c r="H24" s="359"/>
      <c r="I24" s="359"/>
      <c r="J24" s="359"/>
      <c r="K24" s="359"/>
      <c r="L24" s="359"/>
      <c r="M24" s="360">
        <f t="shared" si="1"/>
        <v>31.889700000000001</v>
      </c>
      <c r="N24" s="360">
        <v>60</v>
      </c>
      <c r="O24" s="360">
        <v>6</v>
      </c>
      <c r="P24" s="362"/>
      <c r="Q24" s="362"/>
      <c r="R24" s="362"/>
      <c r="S24" s="362"/>
      <c r="T24" s="362"/>
      <c r="U24" s="362">
        <v>24.015999999999998</v>
      </c>
      <c r="V24" s="362"/>
      <c r="W24" s="362"/>
      <c r="X24" s="304">
        <f>B24*0.75</f>
        <v>29.7075</v>
      </c>
      <c r="Y24" s="302">
        <v>35.433</v>
      </c>
      <c r="Z24" s="362"/>
      <c r="AA24" s="360">
        <f t="shared" si="3"/>
        <v>1.9805000000000001</v>
      </c>
      <c r="AB24" s="360">
        <f t="shared" si="4"/>
        <v>23.765999999999998</v>
      </c>
      <c r="AC24" s="360">
        <f t="shared" si="5"/>
        <v>4.3571</v>
      </c>
      <c r="AD24" s="360">
        <f t="shared" si="6"/>
        <v>4.3571</v>
      </c>
      <c r="AE24" s="360">
        <v>7.9000000000000001E-2</v>
      </c>
      <c r="AF24" s="360">
        <f t="shared" si="7"/>
        <v>8.7141999999999999</v>
      </c>
      <c r="AG24" s="360">
        <f t="shared" si="8"/>
        <v>9.9024999999999999</v>
      </c>
      <c r="AH24" s="360">
        <f t="shared" si="9"/>
        <v>0.55454000000000003</v>
      </c>
      <c r="AI24" s="360">
        <f t="shared" si="21"/>
        <v>0.23766000000000001</v>
      </c>
      <c r="AJ24" s="360">
        <f t="shared" si="10"/>
        <v>3.1688000000000001</v>
      </c>
      <c r="AK24" s="361">
        <v>65</v>
      </c>
      <c r="AL24" s="360">
        <f t="shared" si="11"/>
        <v>24.558199999999999</v>
      </c>
      <c r="AM24" s="362"/>
      <c r="AN24" s="362"/>
      <c r="AO24" s="362"/>
      <c r="AP24" s="362"/>
      <c r="AQ24" s="362"/>
      <c r="AR24" s="362"/>
      <c r="AS24" s="362"/>
      <c r="AT24" s="362"/>
      <c r="AU24" s="362"/>
      <c r="AV24" s="362"/>
      <c r="AW24" s="363">
        <v>4.8819999999999997</v>
      </c>
      <c r="AX24" s="362"/>
      <c r="AY24" s="362"/>
      <c r="AZ24" s="362"/>
      <c r="BA24" s="362"/>
      <c r="BB24" s="360">
        <f t="shared" si="12"/>
        <v>15.447900000000001</v>
      </c>
      <c r="BC24" s="360">
        <f>BC23+0.03</f>
        <v>0.94800000000000018</v>
      </c>
      <c r="BD24" s="360">
        <f t="shared" si="13"/>
        <v>55.453999999999994</v>
      </c>
      <c r="BE24" s="360">
        <f t="shared" si="14"/>
        <v>21.785500000000003</v>
      </c>
      <c r="BF24" s="360">
        <f t="shared" si="15"/>
        <v>36.045099999999998</v>
      </c>
      <c r="BG24" s="363">
        <v>14.584570866141732</v>
      </c>
      <c r="BI24" s="357">
        <v>1.403</v>
      </c>
      <c r="BJ24" s="357">
        <f t="shared" si="16"/>
        <v>30.418999999999997</v>
      </c>
      <c r="BK24" s="357">
        <f t="shared" si="22"/>
        <v>45.759</v>
      </c>
      <c r="BL24" s="357">
        <f t="shared" si="17"/>
        <v>43.946999999999996</v>
      </c>
      <c r="BM24" s="365">
        <f t="shared" si="23"/>
        <v>46</v>
      </c>
      <c r="BN24" s="365">
        <f t="shared" si="23"/>
        <v>44</v>
      </c>
      <c r="BO24" s="365">
        <f t="shared" si="18"/>
        <v>42</v>
      </c>
      <c r="BP24" s="365">
        <f t="shared" si="24"/>
        <v>44</v>
      </c>
      <c r="BQ24" s="357">
        <f t="shared" si="19"/>
        <v>71</v>
      </c>
      <c r="BR24" s="357">
        <f t="shared" si="20"/>
        <v>57</v>
      </c>
    </row>
    <row r="25" spans="1:74" x14ac:dyDescent="0.3">
      <c r="BV25" s="13"/>
    </row>
    <row r="26" spans="1:74" x14ac:dyDescent="0.3">
      <c r="M26" s="597" t="s">
        <v>1557</v>
      </c>
      <c r="N26" s="597"/>
      <c r="O26" s="597"/>
      <c r="P26" s="598" t="s">
        <v>1558</v>
      </c>
      <c r="Q26" s="598"/>
      <c r="R26" s="598"/>
      <c r="S26" s="598"/>
      <c r="T26" s="598"/>
      <c r="U26" s="598"/>
      <c r="V26" s="598"/>
      <c r="W26" s="598"/>
      <c r="BV26" s="13"/>
    </row>
    <row r="27" spans="1:74" ht="15" customHeight="1" x14ac:dyDescent="0.3">
      <c r="M27" s="597"/>
      <c r="N27" s="597"/>
      <c r="O27" s="597"/>
      <c r="P27" s="598"/>
      <c r="Q27" s="598"/>
      <c r="R27" s="598"/>
      <c r="S27" s="598"/>
      <c r="T27" s="598"/>
      <c r="U27" s="598"/>
      <c r="V27" s="598"/>
      <c r="W27" s="598"/>
      <c r="BV27" s="13"/>
    </row>
    <row r="28" spans="1:74" x14ac:dyDescent="0.3">
      <c r="BP28" s="13"/>
    </row>
    <row r="29" spans="1:74" x14ac:dyDescent="0.3">
      <c r="BP29" s="13"/>
    </row>
    <row r="30" spans="1:74" x14ac:dyDescent="0.3">
      <c r="BP30" s="13"/>
    </row>
    <row r="31" spans="1:74" x14ac:dyDescent="0.3">
      <c r="BP31" s="13"/>
    </row>
    <row r="32" spans="1:74" x14ac:dyDescent="0.3">
      <c r="BP32" s="13"/>
    </row>
    <row r="33" spans="2:68" x14ac:dyDescent="0.3">
      <c r="BP33" s="13"/>
    </row>
    <row r="34" spans="2:68" x14ac:dyDescent="0.3">
      <c r="BP34" s="13"/>
    </row>
    <row r="35" spans="2:68" x14ac:dyDescent="0.3">
      <c r="BP35" s="13"/>
    </row>
    <row r="36" spans="2:68" x14ac:dyDescent="0.3">
      <c r="BP36" s="13"/>
    </row>
    <row r="39" spans="2:68" x14ac:dyDescent="0.3">
      <c r="B39" s="11" t="s">
        <v>1898</v>
      </c>
    </row>
  </sheetData>
  <mergeCells count="2">
    <mergeCell ref="M26:O27"/>
    <mergeCell ref="P26:W27"/>
  </mergeCell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B6E89-FB57-472D-B727-393DA171D869}">
  <dimension ref="A1:AP111"/>
  <sheetViews>
    <sheetView showGridLines="0" zoomScale="70" zoomScaleNormal="70" workbookViewId="0">
      <pane ySplit="4" topLeftCell="A32" activePane="bottomLeft" state="frozen"/>
      <selection pane="bottomLeft" activeCell="D4" sqref="D4"/>
    </sheetView>
  </sheetViews>
  <sheetFormatPr defaultRowHeight="18" x14ac:dyDescent="0.35"/>
  <cols>
    <col min="1" max="1" width="2.33203125" style="3" customWidth="1"/>
    <col min="2" max="2" width="10.88671875" style="20" bestFit="1" customWidth="1"/>
    <col min="3" max="3" width="9.44140625" style="3" customWidth="1"/>
    <col min="4" max="4" width="20.109375" style="3" customWidth="1"/>
    <col min="5" max="5" width="9.33203125" style="3" customWidth="1"/>
    <col min="6" max="6" width="8.5546875" style="3" customWidth="1"/>
    <col min="7" max="7" width="9.5546875" style="3" customWidth="1"/>
    <col min="8" max="11" width="8.5546875" style="4" customWidth="1"/>
    <col min="12" max="12" width="8.44140625" style="4" customWidth="1"/>
    <col min="13" max="14" width="10.33203125" style="4" customWidth="1"/>
    <col min="15" max="15" width="8.88671875" style="4" customWidth="1"/>
    <col min="16" max="16" width="10.109375" style="4" customWidth="1"/>
    <col min="17" max="17" width="8.33203125" style="4" customWidth="1"/>
    <col min="18" max="18" width="9.88671875" style="4" customWidth="1"/>
    <col min="19" max="19" width="10.5546875" style="4" customWidth="1"/>
    <col min="20" max="20" width="12.109375" style="4" customWidth="1"/>
    <col min="21" max="21" width="10.6640625" style="4" customWidth="1"/>
    <col min="22" max="22" width="10.44140625" style="4" customWidth="1"/>
    <col min="23" max="23" width="10.88671875" style="4" customWidth="1"/>
    <col min="24" max="24" width="12" style="3" customWidth="1"/>
    <col min="25" max="25" width="10.44140625" style="3" customWidth="1"/>
    <col min="26" max="26" width="16.6640625" style="3" customWidth="1"/>
    <col min="27" max="30" width="15.33203125" style="3" customWidth="1"/>
    <col min="31" max="31" width="8.88671875" style="3" customWidth="1"/>
    <col min="32" max="32" width="11.88671875" style="3" bestFit="1" customWidth="1"/>
    <col min="33" max="33" width="8.88671875" style="4"/>
    <col min="34" max="37" width="8.88671875" style="3"/>
    <col min="38" max="38" width="17.6640625" style="4" bestFit="1" customWidth="1"/>
    <col min="39" max="256" width="8.88671875" style="3"/>
    <col min="257" max="257" width="2.33203125" style="3" customWidth="1"/>
    <col min="258" max="258" width="10.88671875" style="3" bestFit="1" customWidth="1"/>
    <col min="259" max="259" width="9.44140625" style="3" customWidth="1"/>
    <col min="260" max="260" width="20.109375" style="3" customWidth="1"/>
    <col min="261" max="261" width="9.33203125" style="3" customWidth="1"/>
    <col min="262" max="262" width="8.5546875" style="3" customWidth="1"/>
    <col min="263" max="263" width="9.5546875" style="3" customWidth="1"/>
    <col min="264" max="267" width="8.5546875" style="3" customWidth="1"/>
    <col min="268" max="268" width="8.44140625" style="3" customWidth="1"/>
    <col min="269" max="270" width="10.33203125" style="3" customWidth="1"/>
    <col min="271" max="271" width="8.88671875" style="3"/>
    <col min="272" max="272" width="10.109375" style="3" customWidth="1"/>
    <col min="273" max="273" width="8.33203125" style="3" customWidth="1"/>
    <col min="274" max="274" width="9.88671875" style="3" customWidth="1"/>
    <col min="275" max="275" width="10.5546875" style="3" customWidth="1"/>
    <col min="276" max="276" width="12.109375" style="3" customWidth="1"/>
    <col min="277" max="277" width="10.6640625" style="3" customWidth="1"/>
    <col min="278" max="278" width="10.44140625" style="3" customWidth="1"/>
    <col min="279" max="279" width="10.88671875" style="3" customWidth="1"/>
    <col min="280" max="280" width="12" style="3" customWidth="1"/>
    <col min="281" max="281" width="10.44140625" style="3" customWidth="1"/>
    <col min="282" max="282" width="16.6640625" style="3" customWidth="1"/>
    <col min="283" max="286" width="15.33203125" style="3" customWidth="1"/>
    <col min="287" max="287" width="8.88671875" style="3"/>
    <col min="288" max="288" width="11.88671875" style="3" bestFit="1" customWidth="1"/>
    <col min="289" max="293" width="8.88671875" style="3"/>
    <col min="294" max="294" width="17.6640625" style="3" bestFit="1" customWidth="1"/>
    <col min="295" max="512" width="8.88671875" style="3"/>
    <col min="513" max="513" width="2.33203125" style="3" customWidth="1"/>
    <col min="514" max="514" width="10.88671875" style="3" bestFit="1" customWidth="1"/>
    <col min="515" max="515" width="9.44140625" style="3" customWidth="1"/>
    <col min="516" max="516" width="20.109375" style="3" customWidth="1"/>
    <col min="517" max="517" width="9.33203125" style="3" customWidth="1"/>
    <col min="518" max="518" width="8.5546875" style="3" customWidth="1"/>
    <col min="519" max="519" width="9.5546875" style="3" customWidth="1"/>
    <col min="520" max="523" width="8.5546875" style="3" customWidth="1"/>
    <col min="524" max="524" width="8.44140625" style="3" customWidth="1"/>
    <col min="525" max="526" width="10.33203125" style="3" customWidth="1"/>
    <col min="527" max="527" width="8.88671875" style="3"/>
    <col min="528" max="528" width="10.109375" style="3" customWidth="1"/>
    <col min="529" max="529" width="8.33203125" style="3" customWidth="1"/>
    <col min="530" max="530" width="9.88671875" style="3" customWidth="1"/>
    <col min="531" max="531" width="10.5546875" style="3" customWidth="1"/>
    <col min="532" max="532" width="12.109375" style="3" customWidth="1"/>
    <col min="533" max="533" width="10.6640625" style="3" customWidth="1"/>
    <col min="534" max="534" width="10.44140625" style="3" customWidth="1"/>
    <col min="535" max="535" width="10.88671875" style="3" customWidth="1"/>
    <col min="536" max="536" width="12" style="3" customWidth="1"/>
    <col min="537" max="537" width="10.44140625" style="3" customWidth="1"/>
    <col min="538" max="538" width="16.6640625" style="3" customWidth="1"/>
    <col min="539" max="542" width="15.33203125" style="3" customWidth="1"/>
    <col min="543" max="543" width="8.88671875" style="3"/>
    <col min="544" max="544" width="11.88671875" style="3" bestFit="1" customWidth="1"/>
    <col min="545" max="549" width="8.88671875" style="3"/>
    <col min="550" max="550" width="17.6640625" style="3" bestFit="1" customWidth="1"/>
    <col min="551" max="768" width="8.88671875" style="3"/>
    <col min="769" max="769" width="2.33203125" style="3" customWidth="1"/>
    <col min="770" max="770" width="10.88671875" style="3" bestFit="1" customWidth="1"/>
    <col min="771" max="771" width="9.44140625" style="3" customWidth="1"/>
    <col min="772" max="772" width="20.109375" style="3" customWidth="1"/>
    <col min="773" max="773" width="9.33203125" style="3" customWidth="1"/>
    <col min="774" max="774" width="8.5546875" style="3" customWidth="1"/>
    <col min="775" max="775" width="9.5546875" style="3" customWidth="1"/>
    <col min="776" max="779" width="8.5546875" style="3" customWidth="1"/>
    <col min="780" max="780" width="8.44140625" style="3" customWidth="1"/>
    <col min="781" max="782" width="10.33203125" style="3" customWidth="1"/>
    <col min="783" max="783" width="8.88671875" style="3"/>
    <col min="784" max="784" width="10.109375" style="3" customWidth="1"/>
    <col min="785" max="785" width="8.33203125" style="3" customWidth="1"/>
    <col min="786" max="786" width="9.88671875" style="3" customWidth="1"/>
    <col min="787" max="787" width="10.5546875" style="3" customWidth="1"/>
    <col min="788" max="788" width="12.109375" style="3" customWidth="1"/>
    <col min="789" max="789" width="10.6640625" style="3" customWidth="1"/>
    <col min="790" max="790" width="10.44140625" style="3" customWidth="1"/>
    <col min="791" max="791" width="10.88671875" style="3" customWidth="1"/>
    <col min="792" max="792" width="12" style="3" customWidth="1"/>
    <col min="793" max="793" width="10.44140625" style="3" customWidth="1"/>
    <col min="794" max="794" width="16.6640625" style="3" customWidth="1"/>
    <col min="795" max="798" width="15.33203125" style="3" customWidth="1"/>
    <col min="799" max="799" width="8.88671875" style="3"/>
    <col min="800" max="800" width="11.88671875" style="3" bestFit="1" customWidth="1"/>
    <col min="801" max="805" width="8.88671875" style="3"/>
    <col min="806" max="806" width="17.6640625" style="3" bestFit="1" customWidth="1"/>
    <col min="807" max="1024" width="8.88671875" style="3"/>
    <col min="1025" max="1025" width="2.33203125" style="3" customWidth="1"/>
    <col min="1026" max="1026" width="10.88671875" style="3" bestFit="1" customWidth="1"/>
    <col min="1027" max="1027" width="9.44140625" style="3" customWidth="1"/>
    <col min="1028" max="1028" width="20.109375" style="3" customWidth="1"/>
    <col min="1029" max="1029" width="9.33203125" style="3" customWidth="1"/>
    <col min="1030" max="1030" width="8.5546875" style="3" customWidth="1"/>
    <col min="1031" max="1031" width="9.5546875" style="3" customWidth="1"/>
    <col min="1032" max="1035" width="8.5546875" style="3" customWidth="1"/>
    <col min="1036" max="1036" width="8.44140625" style="3" customWidth="1"/>
    <col min="1037" max="1038" width="10.33203125" style="3" customWidth="1"/>
    <col min="1039" max="1039" width="8.88671875" style="3"/>
    <col min="1040" max="1040" width="10.109375" style="3" customWidth="1"/>
    <col min="1041" max="1041" width="8.33203125" style="3" customWidth="1"/>
    <col min="1042" max="1042" width="9.88671875" style="3" customWidth="1"/>
    <col min="1043" max="1043" width="10.5546875" style="3" customWidth="1"/>
    <col min="1044" max="1044" width="12.109375" style="3" customWidth="1"/>
    <col min="1045" max="1045" width="10.6640625" style="3" customWidth="1"/>
    <col min="1046" max="1046" width="10.44140625" style="3" customWidth="1"/>
    <col min="1047" max="1047" width="10.88671875" style="3" customWidth="1"/>
    <col min="1048" max="1048" width="12" style="3" customWidth="1"/>
    <col min="1049" max="1049" width="10.44140625" style="3" customWidth="1"/>
    <col min="1050" max="1050" width="16.6640625" style="3" customWidth="1"/>
    <col min="1051" max="1054" width="15.33203125" style="3" customWidth="1"/>
    <col min="1055" max="1055" width="8.88671875" style="3"/>
    <col min="1056" max="1056" width="11.88671875" style="3" bestFit="1" customWidth="1"/>
    <col min="1057" max="1061" width="8.88671875" style="3"/>
    <col min="1062" max="1062" width="17.6640625" style="3" bestFit="1" customWidth="1"/>
    <col min="1063" max="1280" width="8.88671875" style="3"/>
    <col min="1281" max="1281" width="2.33203125" style="3" customWidth="1"/>
    <col min="1282" max="1282" width="10.88671875" style="3" bestFit="1" customWidth="1"/>
    <col min="1283" max="1283" width="9.44140625" style="3" customWidth="1"/>
    <col min="1284" max="1284" width="20.109375" style="3" customWidth="1"/>
    <col min="1285" max="1285" width="9.33203125" style="3" customWidth="1"/>
    <col min="1286" max="1286" width="8.5546875" style="3" customWidth="1"/>
    <col min="1287" max="1287" width="9.5546875" style="3" customWidth="1"/>
    <col min="1288" max="1291" width="8.5546875" style="3" customWidth="1"/>
    <col min="1292" max="1292" width="8.44140625" style="3" customWidth="1"/>
    <col min="1293" max="1294" width="10.33203125" style="3" customWidth="1"/>
    <col min="1295" max="1295" width="8.88671875" style="3"/>
    <col min="1296" max="1296" width="10.109375" style="3" customWidth="1"/>
    <col min="1297" max="1297" width="8.33203125" style="3" customWidth="1"/>
    <col min="1298" max="1298" width="9.88671875" style="3" customWidth="1"/>
    <col min="1299" max="1299" width="10.5546875" style="3" customWidth="1"/>
    <col min="1300" max="1300" width="12.109375" style="3" customWidth="1"/>
    <col min="1301" max="1301" width="10.6640625" style="3" customWidth="1"/>
    <col min="1302" max="1302" width="10.44140625" style="3" customWidth="1"/>
    <col min="1303" max="1303" width="10.88671875" style="3" customWidth="1"/>
    <col min="1304" max="1304" width="12" style="3" customWidth="1"/>
    <col min="1305" max="1305" width="10.44140625" style="3" customWidth="1"/>
    <col min="1306" max="1306" width="16.6640625" style="3" customWidth="1"/>
    <col min="1307" max="1310" width="15.33203125" style="3" customWidth="1"/>
    <col min="1311" max="1311" width="8.88671875" style="3"/>
    <col min="1312" max="1312" width="11.88671875" style="3" bestFit="1" customWidth="1"/>
    <col min="1313" max="1317" width="8.88671875" style="3"/>
    <col min="1318" max="1318" width="17.6640625" style="3" bestFit="1" customWidth="1"/>
    <col min="1319" max="1536" width="8.88671875" style="3"/>
    <col min="1537" max="1537" width="2.33203125" style="3" customWidth="1"/>
    <col min="1538" max="1538" width="10.88671875" style="3" bestFit="1" customWidth="1"/>
    <col min="1539" max="1539" width="9.44140625" style="3" customWidth="1"/>
    <col min="1540" max="1540" width="20.109375" style="3" customWidth="1"/>
    <col min="1541" max="1541" width="9.33203125" style="3" customWidth="1"/>
    <col min="1542" max="1542" width="8.5546875" style="3" customWidth="1"/>
    <col min="1543" max="1543" width="9.5546875" style="3" customWidth="1"/>
    <col min="1544" max="1547" width="8.5546875" style="3" customWidth="1"/>
    <col min="1548" max="1548" width="8.44140625" style="3" customWidth="1"/>
    <col min="1549" max="1550" width="10.33203125" style="3" customWidth="1"/>
    <col min="1551" max="1551" width="8.88671875" style="3"/>
    <col min="1552" max="1552" width="10.109375" style="3" customWidth="1"/>
    <col min="1553" max="1553" width="8.33203125" style="3" customWidth="1"/>
    <col min="1554" max="1554" width="9.88671875" style="3" customWidth="1"/>
    <col min="1555" max="1555" width="10.5546875" style="3" customWidth="1"/>
    <col min="1556" max="1556" width="12.109375" style="3" customWidth="1"/>
    <col min="1557" max="1557" width="10.6640625" style="3" customWidth="1"/>
    <col min="1558" max="1558" width="10.44140625" style="3" customWidth="1"/>
    <col min="1559" max="1559" width="10.88671875" style="3" customWidth="1"/>
    <col min="1560" max="1560" width="12" style="3" customWidth="1"/>
    <col min="1561" max="1561" width="10.44140625" style="3" customWidth="1"/>
    <col min="1562" max="1562" width="16.6640625" style="3" customWidth="1"/>
    <col min="1563" max="1566" width="15.33203125" style="3" customWidth="1"/>
    <col min="1567" max="1567" width="8.88671875" style="3"/>
    <col min="1568" max="1568" width="11.88671875" style="3" bestFit="1" customWidth="1"/>
    <col min="1569" max="1573" width="8.88671875" style="3"/>
    <col min="1574" max="1574" width="17.6640625" style="3" bestFit="1" customWidth="1"/>
    <col min="1575" max="1792" width="8.88671875" style="3"/>
    <col min="1793" max="1793" width="2.33203125" style="3" customWidth="1"/>
    <col min="1794" max="1794" width="10.88671875" style="3" bestFit="1" customWidth="1"/>
    <col min="1795" max="1795" width="9.44140625" style="3" customWidth="1"/>
    <col min="1796" max="1796" width="20.109375" style="3" customWidth="1"/>
    <col min="1797" max="1797" width="9.33203125" style="3" customWidth="1"/>
    <col min="1798" max="1798" width="8.5546875" style="3" customWidth="1"/>
    <col min="1799" max="1799" width="9.5546875" style="3" customWidth="1"/>
    <col min="1800" max="1803" width="8.5546875" style="3" customWidth="1"/>
    <col min="1804" max="1804" width="8.44140625" style="3" customWidth="1"/>
    <col min="1805" max="1806" width="10.33203125" style="3" customWidth="1"/>
    <col min="1807" max="1807" width="8.88671875" style="3"/>
    <col min="1808" max="1808" width="10.109375" style="3" customWidth="1"/>
    <col min="1809" max="1809" width="8.33203125" style="3" customWidth="1"/>
    <col min="1810" max="1810" width="9.88671875" style="3" customWidth="1"/>
    <col min="1811" max="1811" width="10.5546875" style="3" customWidth="1"/>
    <col min="1812" max="1812" width="12.109375" style="3" customWidth="1"/>
    <col min="1813" max="1813" width="10.6640625" style="3" customWidth="1"/>
    <col min="1814" max="1814" width="10.44140625" style="3" customWidth="1"/>
    <col min="1815" max="1815" width="10.88671875" style="3" customWidth="1"/>
    <col min="1816" max="1816" width="12" style="3" customWidth="1"/>
    <col min="1817" max="1817" width="10.44140625" style="3" customWidth="1"/>
    <col min="1818" max="1818" width="16.6640625" style="3" customWidth="1"/>
    <col min="1819" max="1822" width="15.33203125" style="3" customWidth="1"/>
    <col min="1823" max="1823" width="8.88671875" style="3"/>
    <col min="1824" max="1824" width="11.88671875" style="3" bestFit="1" customWidth="1"/>
    <col min="1825" max="1829" width="8.88671875" style="3"/>
    <col min="1830" max="1830" width="17.6640625" style="3" bestFit="1" customWidth="1"/>
    <col min="1831" max="2048" width="8.88671875" style="3"/>
    <col min="2049" max="2049" width="2.33203125" style="3" customWidth="1"/>
    <col min="2050" max="2050" width="10.88671875" style="3" bestFit="1" customWidth="1"/>
    <col min="2051" max="2051" width="9.44140625" style="3" customWidth="1"/>
    <col min="2052" max="2052" width="20.109375" style="3" customWidth="1"/>
    <col min="2053" max="2053" width="9.33203125" style="3" customWidth="1"/>
    <col min="2054" max="2054" width="8.5546875" style="3" customWidth="1"/>
    <col min="2055" max="2055" width="9.5546875" style="3" customWidth="1"/>
    <col min="2056" max="2059" width="8.5546875" style="3" customWidth="1"/>
    <col min="2060" max="2060" width="8.44140625" style="3" customWidth="1"/>
    <col min="2061" max="2062" width="10.33203125" style="3" customWidth="1"/>
    <col min="2063" max="2063" width="8.88671875" style="3"/>
    <col min="2064" max="2064" width="10.109375" style="3" customWidth="1"/>
    <col min="2065" max="2065" width="8.33203125" style="3" customWidth="1"/>
    <col min="2066" max="2066" width="9.88671875" style="3" customWidth="1"/>
    <col min="2067" max="2067" width="10.5546875" style="3" customWidth="1"/>
    <col min="2068" max="2068" width="12.109375" style="3" customWidth="1"/>
    <col min="2069" max="2069" width="10.6640625" style="3" customWidth="1"/>
    <col min="2070" max="2070" width="10.44140625" style="3" customWidth="1"/>
    <col min="2071" max="2071" width="10.88671875" style="3" customWidth="1"/>
    <col min="2072" max="2072" width="12" style="3" customWidth="1"/>
    <col min="2073" max="2073" width="10.44140625" style="3" customWidth="1"/>
    <col min="2074" max="2074" width="16.6640625" style="3" customWidth="1"/>
    <col min="2075" max="2078" width="15.33203125" style="3" customWidth="1"/>
    <col min="2079" max="2079" width="8.88671875" style="3"/>
    <col min="2080" max="2080" width="11.88671875" style="3" bestFit="1" customWidth="1"/>
    <col min="2081" max="2085" width="8.88671875" style="3"/>
    <col min="2086" max="2086" width="17.6640625" style="3" bestFit="1" customWidth="1"/>
    <col min="2087" max="2304" width="8.88671875" style="3"/>
    <col min="2305" max="2305" width="2.33203125" style="3" customWidth="1"/>
    <col min="2306" max="2306" width="10.88671875" style="3" bestFit="1" customWidth="1"/>
    <col min="2307" max="2307" width="9.44140625" style="3" customWidth="1"/>
    <col min="2308" max="2308" width="20.109375" style="3" customWidth="1"/>
    <col min="2309" max="2309" width="9.33203125" style="3" customWidth="1"/>
    <col min="2310" max="2310" width="8.5546875" style="3" customWidth="1"/>
    <col min="2311" max="2311" width="9.5546875" style="3" customWidth="1"/>
    <col min="2312" max="2315" width="8.5546875" style="3" customWidth="1"/>
    <col min="2316" max="2316" width="8.44140625" style="3" customWidth="1"/>
    <col min="2317" max="2318" width="10.33203125" style="3" customWidth="1"/>
    <col min="2319" max="2319" width="8.88671875" style="3"/>
    <col min="2320" max="2320" width="10.109375" style="3" customWidth="1"/>
    <col min="2321" max="2321" width="8.33203125" style="3" customWidth="1"/>
    <col min="2322" max="2322" width="9.88671875" style="3" customWidth="1"/>
    <col min="2323" max="2323" width="10.5546875" style="3" customWidth="1"/>
    <col min="2324" max="2324" width="12.109375" style="3" customWidth="1"/>
    <col min="2325" max="2325" width="10.6640625" style="3" customWidth="1"/>
    <col min="2326" max="2326" width="10.44140625" style="3" customWidth="1"/>
    <col min="2327" max="2327" width="10.88671875" style="3" customWidth="1"/>
    <col min="2328" max="2328" width="12" style="3" customWidth="1"/>
    <col min="2329" max="2329" width="10.44140625" style="3" customWidth="1"/>
    <col min="2330" max="2330" width="16.6640625" style="3" customWidth="1"/>
    <col min="2331" max="2334" width="15.33203125" style="3" customWidth="1"/>
    <col min="2335" max="2335" width="8.88671875" style="3"/>
    <col min="2336" max="2336" width="11.88671875" style="3" bestFit="1" customWidth="1"/>
    <col min="2337" max="2341" width="8.88671875" style="3"/>
    <col min="2342" max="2342" width="17.6640625" style="3" bestFit="1" customWidth="1"/>
    <col min="2343" max="2560" width="8.88671875" style="3"/>
    <col min="2561" max="2561" width="2.33203125" style="3" customWidth="1"/>
    <col min="2562" max="2562" width="10.88671875" style="3" bestFit="1" customWidth="1"/>
    <col min="2563" max="2563" width="9.44140625" style="3" customWidth="1"/>
    <col min="2564" max="2564" width="20.109375" style="3" customWidth="1"/>
    <col min="2565" max="2565" width="9.33203125" style="3" customWidth="1"/>
    <col min="2566" max="2566" width="8.5546875" style="3" customWidth="1"/>
    <col min="2567" max="2567" width="9.5546875" style="3" customWidth="1"/>
    <col min="2568" max="2571" width="8.5546875" style="3" customWidth="1"/>
    <col min="2572" max="2572" width="8.44140625" style="3" customWidth="1"/>
    <col min="2573" max="2574" width="10.33203125" style="3" customWidth="1"/>
    <col min="2575" max="2575" width="8.88671875" style="3"/>
    <col min="2576" max="2576" width="10.109375" style="3" customWidth="1"/>
    <col min="2577" max="2577" width="8.33203125" style="3" customWidth="1"/>
    <col min="2578" max="2578" width="9.88671875" style="3" customWidth="1"/>
    <col min="2579" max="2579" width="10.5546875" style="3" customWidth="1"/>
    <col min="2580" max="2580" width="12.109375" style="3" customWidth="1"/>
    <col min="2581" max="2581" width="10.6640625" style="3" customWidth="1"/>
    <col min="2582" max="2582" width="10.44140625" style="3" customWidth="1"/>
    <col min="2583" max="2583" width="10.88671875" style="3" customWidth="1"/>
    <col min="2584" max="2584" width="12" style="3" customWidth="1"/>
    <col min="2585" max="2585" width="10.44140625" style="3" customWidth="1"/>
    <col min="2586" max="2586" width="16.6640625" style="3" customWidth="1"/>
    <col min="2587" max="2590" width="15.33203125" style="3" customWidth="1"/>
    <col min="2591" max="2591" width="8.88671875" style="3"/>
    <col min="2592" max="2592" width="11.88671875" style="3" bestFit="1" customWidth="1"/>
    <col min="2593" max="2597" width="8.88671875" style="3"/>
    <col min="2598" max="2598" width="17.6640625" style="3" bestFit="1" customWidth="1"/>
    <col min="2599" max="2816" width="8.88671875" style="3"/>
    <col min="2817" max="2817" width="2.33203125" style="3" customWidth="1"/>
    <col min="2818" max="2818" width="10.88671875" style="3" bestFit="1" customWidth="1"/>
    <col min="2819" max="2819" width="9.44140625" style="3" customWidth="1"/>
    <col min="2820" max="2820" width="20.109375" style="3" customWidth="1"/>
    <col min="2821" max="2821" width="9.33203125" style="3" customWidth="1"/>
    <col min="2822" max="2822" width="8.5546875" style="3" customWidth="1"/>
    <col min="2823" max="2823" width="9.5546875" style="3" customWidth="1"/>
    <col min="2824" max="2827" width="8.5546875" style="3" customWidth="1"/>
    <col min="2828" max="2828" width="8.44140625" style="3" customWidth="1"/>
    <col min="2829" max="2830" width="10.33203125" style="3" customWidth="1"/>
    <col min="2831" max="2831" width="8.88671875" style="3"/>
    <col min="2832" max="2832" width="10.109375" style="3" customWidth="1"/>
    <col min="2833" max="2833" width="8.33203125" style="3" customWidth="1"/>
    <col min="2834" max="2834" width="9.88671875" style="3" customWidth="1"/>
    <col min="2835" max="2835" width="10.5546875" style="3" customWidth="1"/>
    <col min="2836" max="2836" width="12.109375" style="3" customWidth="1"/>
    <col min="2837" max="2837" width="10.6640625" style="3" customWidth="1"/>
    <col min="2838" max="2838" width="10.44140625" style="3" customWidth="1"/>
    <col min="2839" max="2839" width="10.88671875" style="3" customWidth="1"/>
    <col min="2840" max="2840" width="12" style="3" customWidth="1"/>
    <col min="2841" max="2841" width="10.44140625" style="3" customWidth="1"/>
    <col min="2842" max="2842" width="16.6640625" style="3" customWidth="1"/>
    <col min="2843" max="2846" width="15.33203125" style="3" customWidth="1"/>
    <col min="2847" max="2847" width="8.88671875" style="3"/>
    <col min="2848" max="2848" width="11.88671875" style="3" bestFit="1" customWidth="1"/>
    <col min="2849" max="2853" width="8.88671875" style="3"/>
    <col min="2854" max="2854" width="17.6640625" style="3" bestFit="1" customWidth="1"/>
    <col min="2855" max="3072" width="8.88671875" style="3"/>
    <col min="3073" max="3073" width="2.33203125" style="3" customWidth="1"/>
    <col min="3074" max="3074" width="10.88671875" style="3" bestFit="1" customWidth="1"/>
    <col min="3075" max="3075" width="9.44140625" style="3" customWidth="1"/>
    <col min="3076" max="3076" width="20.109375" style="3" customWidth="1"/>
    <col min="3077" max="3077" width="9.33203125" style="3" customWidth="1"/>
    <col min="3078" max="3078" width="8.5546875" style="3" customWidth="1"/>
    <col min="3079" max="3079" width="9.5546875" style="3" customWidth="1"/>
    <col min="3080" max="3083" width="8.5546875" style="3" customWidth="1"/>
    <col min="3084" max="3084" width="8.44140625" style="3" customWidth="1"/>
    <col min="3085" max="3086" width="10.33203125" style="3" customWidth="1"/>
    <col min="3087" max="3087" width="8.88671875" style="3"/>
    <col min="3088" max="3088" width="10.109375" style="3" customWidth="1"/>
    <col min="3089" max="3089" width="8.33203125" style="3" customWidth="1"/>
    <col min="3090" max="3090" width="9.88671875" style="3" customWidth="1"/>
    <col min="3091" max="3091" width="10.5546875" style="3" customWidth="1"/>
    <col min="3092" max="3092" width="12.109375" style="3" customWidth="1"/>
    <col min="3093" max="3093" width="10.6640625" style="3" customWidth="1"/>
    <col min="3094" max="3094" width="10.44140625" style="3" customWidth="1"/>
    <col min="3095" max="3095" width="10.88671875" style="3" customWidth="1"/>
    <col min="3096" max="3096" width="12" style="3" customWidth="1"/>
    <col min="3097" max="3097" width="10.44140625" style="3" customWidth="1"/>
    <col min="3098" max="3098" width="16.6640625" style="3" customWidth="1"/>
    <col min="3099" max="3102" width="15.33203125" style="3" customWidth="1"/>
    <col min="3103" max="3103" width="8.88671875" style="3"/>
    <col min="3104" max="3104" width="11.88671875" style="3" bestFit="1" customWidth="1"/>
    <col min="3105" max="3109" width="8.88671875" style="3"/>
    <col min="3110" max="3110" width="17.6640625" style="3" bestFit="1" customWidth="1"/>
    <col min="3111" max="3328" width="8.88671875" style="3"/>
    <col min="3329" max="3329" width="2.33203125" style="3" customWidth="1"/>
    <col min="3330" max="3330" width="10.88671875" style="3" bestFit="1" customWidth="1"/>
    <col min="3331" max="3331" width="9.44140625" style="3" customWidth="1"/>
    <col min="3332" max="3332" width="20.109375" style="3" customWidth="1"/>
    <col min="3333" max="3333" width="9.33203125" style="3" customWidth="1"/>
    <col min="3334" max="3334" width="8.5546875" style="3" customWidth="1"/>
    <col min="3335" max="3335" width="9.5546875" style="3" customWidth="1"/>
    <col min="3336" max="3339" width="8.5546875" style="3" customWidth="1"/>
    <col min="3340" max="3340" width="8.44140625" style="3" customWidth="1"/>
    <col min="3341" max="3342" width="10.33203125" style="3" customWidth="1"/>
    <col min="3343" max="3343" width="8.88671875" style="3"/>
    <col min="3344" max="3344" width="10.109375" style="3" customWidth="1"/>
    <col min="3345" max="3345" width="8.33203125" style="3" customWidth="1"/>
    <col min="3346" max="3346" width="9.88671875" style="3" customWidth="1"/>
    <col min="3347" max="3347" width="10.5546875" style="3" customWidth="1"/>
    <col min="3348" max="3348" width="12.109375" style="3" customWidth="1"/>
    <col min="3349" max="3349" width="10.6640625" style="3" customWidth="1"/>
    <col min="3350" max="3350" width="10.44140625" style="3" customWidth="1"/>
    <col min="3351" max="3351" width="10.88671875" style="3" customWidth="1"/>
    <col min="3352" max="3352" width="12" style="3" customWidth="1"/>
    <col min="3353" max="3353" width="10.44140625" style="3" customWidth="1"/>
    <col min="3354" max="3354" width="16.6640625" style="3" customWidth="1"/>
    <col min="3355" max="3358" width="15.33203125" style="3" customWidth="1"/>
    <col min="3359" max="3359" width="8.88671875" style="3"/>
    <col min="3360" max="3360" width="11.88671875" style="3" bestFit="1" customWidth="1"/>
    <col min="3361" max="3365" width="8.88671875" style="3"/>
    <col min="3366" max="3366" width="17.6640625" style="3" bestFit="1" customWidth="1"/>
    <col min="3367" max="3584" width="8.88671875" style="3"/>
    <col min="3585" max="3585" width="2.33203125" style="3" customWidth="1"/>
    <col min="3586" max="3586" width="10.88671875" style="3" bestFit="1" customWidth="1"/>
    <col min="3587" max="3587" width="9.44140625" style="3" customWidth="1"/>
    <col min="3588" max="3588" width="20.109375" style="3" customWidth="1"/>
    <col min="3589" max="3589" width="9.33203125" style="3" customWidth="1"/>
    <col min="3590" max="3590" width="8.5546875" style="3" customWidth="1"/>
    <col min="3591" max="3591" width="9.5546875" style="3" customWidth="1"/>
    <col min="3592" max="3595" width="8.5546875" style="3" customWidth="1"/>
    <col min="3596" max="3596" width="8.44140625" style="3" customWidth="1"/>
    <col min="3597" max="3598" width="10.33203125" style="3" customWidth="1"/>
    <col min="3599" max="3599" width="8.88671875" style="3"/>
    <col min="3600" max="3600" width="10.109375" style="3" customWidth="1"/>
    <col min="3601" max="3601" width="8.33203125" style="3" customWidth="1"/>
    <col min="3602" max="3602" width="9.88671875" style="3" customWidth="1"/>
    <col min="3603" max="3603" width="10.5546875" style="3" customWidth="1"/>
    <col min="3604" max="3604" width="12.109375" style="3" customWidth="1"/>
    <col min="3605" max="3605" width="10.6640625" style="3" customWidth="1"/>
    <col min="3606" max="3606" width="10.44140625" style="3" customWidth="1"/>
    <col min="3607" max="3607" width="10.88671875" style="3" customWidth="1"/>
    <col min="3608" max="3608" width="12" style="3" customWidth="1"/>
    <col min="3609" max="3609" width="10.44140625" style="3" customWidth="1"/>
    <col min="3610" max="3610" width="16.6640625" style="3" customWidth="1"/>
    <col min="3611" max="3614" width="15.33203125" style="3" customWidth="1"/>
    <col min="3615" max="3615" width="8.88671875" style="3"/>
    <col min="3616" max="3616" width="11.88671875" style="3" bestFit="1" customWidth="1"/>
    <col min="3617" max="3621" width="8.88671875" style="3"/>
    <col min="3622" max="3622" width="17.6640625" style="3" bestFit="1" customWidth="1"/>
    <col min="3623" max="3840" width="8.88671875" style="3"/>
    <col min="3841" max="3841" width="2.33203125" style="3" customWidth="1"/>
    <col min="3842" max="3842" width="10.88671875" style="3" bestFit="1" customWidth="1"/>
    <col min="3843" max="3843" width="9.44140625" style="3" customWidth="1"/>
    <col min="3844" max="3844" width="20.109375" style="3" customWidth="1"/>
    <col min="3845" max="3845" width="9.33203125" style="3" customWidth="1"/>
    <col min="3846" max="3846" width="8.5546875" style="3" customWidth="1"/>
    <col min="3847" max="3847" width="9.5546875" style="3" customWidth="1"/>
    <col min="3848" max="3851" width="8.5546875" style="3" customWidth="1"/>
    <col min="3852" max="3852" width="8.44140625" style="3" customWidth="1"/>
    <col min="3853" max="3854" width="10.33203125" style="3" customWidth="1"/>
    <col min="3855" max="3855" width="8.88671875" style="3"/>
    <col min="3856" max="3856" width="10.109375" style="3" customWidth="1"/>
    <col min="3857" max="3857" width="8.33203125" style="3" customWidth="1"/>
    <col min="3858" max="3858" width="9.88671875" style="3" customWidth="1"/>
    <col min="3859" max="3859" width="10.5546875" style="3" customWidth="1"/>
    <col min="3860" max="3860" width="12.109375" style="3" customWidth="1"/>
    <col min="3861" max="3861" width="10.6640625" style="3" customWidth="1"/>
    <col min="3862" max="3862" width="10.44140625" style="3" customWidth="1"/>
    <col min="3863" max="3863" width="10.88671875" style="3" customWidth="1"/>
    <col min="3864" max="3864" width="12" style="3" customWidth="1"/>
    <col min="3865" max="3865" width="10.44140625" style="3" customWidth="1"/>
    <col min="3866" max="3866" width="16.6640625" style="3" customWidth="1"/>
    <col min="3867" max="3870" width="15.33203125" style="3" customWidth="1"/>
    <col min="3871" max="3871" width="8.88671875" style="3"/>
    <col min="3872" max="3872" width="11.88671875" style="3" bestFit="1" customWidth="1"/>
    <col min="3873" max="3877" width="8.88671875" style="3"/>
    <col min="3878" max="3878" width="17.6640625" style="3" bestFit="1" customWidth="1"/>
    <col min="3879" max="4096" width="8.88671875" style="3"/>
    <col min="4097" max="4097" width="2.33203125" style="3" customWidth="1"/>
    <col min="4098" max="4098" width="10.88671875" style="3" bestFit="1" customWidth="1"/>
    <col min="4099" max="4099" width="9.44140625" style="3" customWidth="1"/>
    <col min="4100" max="4100" width="20.109375" style="3" customWidth="1"/>
    <col min="4101" max="4101" width="9.33203125" style="3" customWidth="1"/>
    <col min="4102" max="4102" width="8.5546875" style="3" customWidth="1"/>
    <col min="4103" max="4103" width="9.5546875" style="3" customWidth="1"/>
    <col min="4104" max="4107" width="8.5546875" style="3" customWidth="1"/>
    <col min="4108" max="4108" width="8.44140625" style="3" customWidth="1"/>
    <col min="4109" max="4110" width="10.33203125" style="3" customWidth="1"/>
    <col min="4111" max="4111" width="8.88671875" style="3"/>
    <col min="4112" max="4112" width="10.109375" style="3" customWidth="1"/>
    <col min="4113" max="4113" width="8.33203125" style="3" customWidth="1"/>
    <col min="4114" max="4114" width="9.88671875" style="3" customWidth="1"/>
    <col min="4115" max="4115" width="10.5546875" style="3" customWidth="1"/>
    <col min="4116" max="4116" width="12.109375" style="3" customWidth="1"/>
    <col min="4117" max="4117" width="10.6640625" style="3" customWidth="1"/>
    <col min="4118" max="4118" width="10.44140625" style="3" customWidth="1"/>
    <col min="4119" max="4119" width="10.88671875" style="3" customWidth="1"/>
    <col min="4120" max="4120" width="12" style="3" customWidth="1"/>
    <col min="4121" max="4121" width="10.44140625" style="3" customWidth="1"/>
    <col min="4122" max="4122" width="16.6640625" style="3" customWidth="1"/>
    <col min="4123" max="4126" width="15.33203125" style="3" customWidth="1"/>
    <col min="4127" max="4127" width="8.88671875" style="3"/>
    <col min="4128" max="4128" width="11.88671875" style="3" bestFit="1" customWidth="1"/>
    <col min="4129" max="4133" width="8.88671875" style="3"/>
    <col min="4134" max="4134" width="17.6640625" style="3" bestFit="1" customWidth="1"/>
    <col min="4135" max="4352" width="8.88671875" style="3"/>
    <col min="4353" max="4353" width="2.33203125" style="3" customWidth="1"/>
    <col min="4354" max="4354" width="10.88671875" style="3" bestFit="1" customWidth="1"/>
    <col min="4355" max="4355" width="9.44140625" style="3" customWidth="1"/>
    <col min="4356" max="4356" width="20.109375" style="3" customWidth="1"/>
    <col min="4357" max="4357" width="9.33203125" style="3" customWidth="1"/>
    <col min="4358" max="4358" width="8.5546875" style="3" customWidth="1"/>
    <col min="4359" max="4359" width="9.5546875" style="3" customWidth="1"/>
    <col min="4360" max="4363" width="8.5546875" style="3" customWidth="1"/>
    <col min="4364" max="4364" width="8.44140625" style="3" customWidth="1"/>
    <col min="4365" max="4366" width="10.33203125" style="3" customWidth="1"/>
    <col min="4367" max="4367" width="8.88671875" style="3"/>
    <col min="4368" max="4368" width="10.109375" style="3" customWidth="1"/>
    <col min="4369" max="4369" width="8.33203125" style="3" customWidth="1"/>
    <col min="4370" max="4370" width="9.88671875" style="3" customWidth="1"/>
    <col min="4371" max="4371" width="10.5546875" style="3" customWidth="1"/>
    <col min="4372" max="4372" width="12.109375" style="3" customWidth="1"/>
    <col min="4373" max="4373" width="10.6640625" style="3" customWidth="1"/>
    <col min="4374" max="4374" width="10.44140625" style="3" customWidth="1"/>
    <col min="4375" max="4375" width="10.88671875" style="3" customWidth="1"/>
    <col min="4376" max="4376" width="12" style="3" customWidth="1"/>
    <col min="4377" max="4377" width="10.44140625" style="3" customWidth="1"/>
    <col min="4378" max="4378" width="16.6640625" style="3" customWidth="1"/>
    <col min="4379" max="4382" width="15.33203125" style="3" customWidth="1"/>
    <col min="4383" max="4383" width="8.88671875" style="3"/>
    <col min="4384" max="4384" width="11.88671875" style="3" bestFit="1" customWidth="1"/>
    <col min="4385" max="4389" width="8.88671875" style="3"/>
    <col min="4390" max="4390" width="17.6640625" style="3" bestFit="1" customWidth="1"/>
    <col min="4391" max="4608" width="8.88671875" style="3"/>
    <col min="4609" max="4609" width="2.33203125" style="3" customWidth="1"/>
    <col min="4610" max="4610" width="10.88671875" style="3" bestFit="1" customWidth="1"/>
    <col min="4611" max="4611" width="9.44140625" style="3" customWidth="1"/>
    <col min="4612" max="4612" width="20.109375" style="3" customWidth="1"/>
    <col min="4613" max="4613" width="9.33203125" style="3" customWidth="1"/>
    <col min="4614" max="4614" width="8.5546875" style="3" customWidth="1"/>
    <col min="4615" max="4615" width="9.5546875" style="3" customWidth="1"/>
    <col min="4616" max="4619" width="8.5546875" style="3" customWidth="1"/>
    <col min="4620" max="4620" width="8.44140625" style="3" customWidth="1"/>
    <col min="4621" max="4622" width="10.33203125" style="3" customWidth="1"/>
    <col min="4623" max="4623" width="8.88671875" style="3"/>
    <col min="4624" max="4624" width="10.109375" style="3" customWidth="1"/>
    <col min="4625" max="4625" width="8.33203125" style="3" customWidth="1"/>
    <col min="4626" max="4626" width="9.88671875" style="3" customWidth="1"/>
    <col min="4627" max="4627" width="10.5546875" style="3" customWidth="1"/>
    <col min="4628" max="4628" width="12.109375" style="3" customWidth="1"/>
    <col min="4629" max="4629" width="10.6640625" style="3" customWidth="1"/>
    <col min="4630" max="4630" width="10.44140625" style="3" customWidth="1"/>
    <col min="4631" max="4631" width="10.88671875" style="3" customWidth="1"/>
    <col min="4632" max="4632" width="12" style="3" customWidth="1"/>
    <col min="4633" max="4633" width="10.44140625" style="3" customWidth="1"/>
    <col min="4634" max="4634" width="16.6640625" style="3" customWidth="1"/>
    <col min="4635" max="4638" width="15.33203125" style="3" customWidth="1"/>
    <col min="4639" max="4639" width="8.88671875" style="3"/>
    <col min="4640" max="4640" width="11.88671875" style="3" bestFit="1" customWidth="1"/>
    <col min="4641" max="4645" width="8.88671875" style="3"/>
    <col min="4646" max="4646" width="17.6640625" style="3" bestFit="1" customWidth="1"/>
    <col min="4647" max="4864" width="8.88671875" style="3"/>
    <col min="4865" max="4865" width="2.33203125" style="3" customWidth="1"/>
    <col min="4866" max="4866" width="10.88671875" style="3" bestFit="1" customWidth="1"/>
    <col min="4867" max="4867" width="9.44140625" style="3" customWidth="1"/>
    <col min="4868" max="4868" width="20.109375" style="3" customWidth="1"/>
    <col min="4869" max="4869" width="9.33203125" style="3" customWidth="1"/>
    <col min="4870" max="4870" width="8.5546875" style="3" customWidth="1"/>
    <col min="4871" max="4871" width="9.5546875" style="3" customWidth="1"/>
    <col min="4872" max="4875" width="8.5546875" style="3" customWidth="1"/>
    <col min="4876" max="4876" width="8.44140625" style="3" customWidth="1"/>
    <col min="4877" max="4878" width="10.33203125" style="3" customWidth="1"/>
    <col min="4879" max="4879" width="8.88671875" style="3"/>
    <col min="4880" max="4880" width="10.109375" style="3" customWidth="1"/>
    <col min="4881" max="4881" width="8.33203125" style="3" customWidth="1"/>
    <col min="4882" max="4882" width="9.88671875" style="3" customWidth="1"/>
    <col min="4883" max="4883" width="10.5546875" style="3" customWidth="1"/>
    <col min="4884" max="4884" width="12.109375" style="3" customWidth="1"/>
    <col min="4885" max="4885" width="10.6640625" style="3" customWidth="1"/>
    <col min="4886" max="4886" width="10.44140625" style="3" customWidth="1"/>
    <col min="4887" max="4887" width="10.88671875" style="3" customWidth="1"/>
    <col min="4888" max="4888" width="12" style="3" customWidth="1"/>
    <col min="4889" max="4889" width="10.44140625" style="3" customWidth="1"/>
    <col min="4890" max="4890" width="16.6640625" style="3" customWidth="1"/>
    <col min="4891" max="4894" width="15.33203125" style="3" customWidth="1"/>
    <col min="4895" max="4895" width="8.88671875" style="3"/>
    <col min="4896" max="4896" width="11.88671875" style="3" bestFit="1" customWidth="1"/>
    <col min="4897" max="4901" width="8.88671875" style="3"/>
    <col min="4902" max="4902" width="17.6640625" style="3" bestFit="1" customWidth="1"/>
    <col min="4903" max="5120" width="8.88671875" style="3"/>
    <col min="5121" max="5121" width="2.33203125" style="3" customWidth="1"/>
    <col min="5122" max="5122" width="10.88671875" style="3" bestFit="1" customWidth="1"/>
    <col min="5123" max="5123" width="9.44140625" style="3" customWidth="1"/>
    <col min="5124" max="5124" width="20.109375" style="3" customWidth="1"/>
    <col min="5125" max="5125" width="9.33203125" style="3" customWidth="1"/>
    <col min="5126" max="5126" width="8.5546875" style="3" customWidth="1"/>
    <col min="5127" max="5127" width="9.5546875" style="3" customWidth="1"/>
    <col min="5128" max="5131" width="8.5546875" style="3" customWidth="1"/>
    <col min="5132" max="5132" width="8.44140625" style="3" customWidth="1"/>
    <col min="5133" max="5134" width="10.33203125" style="3" customWidth="1"/>
    <col min="5135" max="5135" width="8.88671875" style="3"/>
    <col min="5136" max="5136" width="10.109375" style="3" customWidth="1"/>
    <col min="5137" max="5137" width="8.33203125" style="3" customWidth="1"/>
    <col min="5138" max="5138" width="9.88671875" style="3" customWidth="1"/>
    <col min="5139" max="5139" width="10.5546875" style="3" customWidth="1"/>
    <col min="5140" max="5140" width="12.109375" style="3" customWidth="1"/>
    <col min="5141" max="5141" width="10.6640625" style="3" customWidth="1"/>
    <col min="5142" max="5142" width="10.44140625" style="3" customWidth="1"/>
    <col min="5143" max="5143" width="10.88671875" style="3" customWidth="1"/>
    <col min="5144" max="5144" width="12" style="3" customWidth="1"/>
    <col min="5145" max="5145" width="10.44140625" style="3" customWidth="1"/>
    <col min="5146" max="5146" width="16.6640625" style="3" customWidth="1"/>
    <col min="5147" max="5150" width="15.33203125" style="3" customWidth="1"/>
    <col min="5151" max="5151" width="8.88671875" style="3"/>
    <col min="5152" max="5152" width="11.88671875" style="3" bestFit="1" customWidth="1"/>
    <col min="5153" max="5157" width="8.88671875" style="3"/>
    <col min="5158" max="5158" width="17.6640625" style="3" bestFit="1" customWidth="1"/>
    <col min="5159" max="5376" width="8.88671875" style="3"/>
    <col min="5377" max="5377" width="2.33203125" style="3" customWidth="1"/>
    <col min="5378" max="5378" width="10.88671875" style="3" bestFit="1" customWidth="1"/>
    <col min="5379" max="5379" width="9.44140625" style="3" customWidth="1"/>
    <col min="5380" max="5380" width="20.109375" style="3" customWidth="1"/>
    <col min="5381" max="5381" width="9.33203125" style="3" customWidth="1"/>
    <col min="5382" max="5382" width="8.5546875" style="3" customWidth="1"/>
    <col min="5383" max="5383" width="9.5546875" style="3" customWidth="1"/>
    <col min="5384" max="5387" width="8.5546875" style="3" customWidth="1"/>
    <col min="5388" max="5388" width="8.44140625" style="3" customWidth="1"/>
    <col min="5389" max="5390" width="10.33203125" style="3" customWidth="1"/>
    <col min="5391" max="5391" width="8.88671875" style="3"/>
    <col min="5392" max="5392" width="10.109375" style="3" customWidth="1"/>
    <col min="5393" max="5393" width="8.33203125" style="3" customWidth="1"/>
    <col min="5394" max="5394" width="9.88671875" style="3" customWidth="1"/>
    <col min="5395" max="5395" width="10.5546875" style="3" customWidth="1"/>
    <col min="5396" max="5396" width="12.109375" style="3" customWidth="1"/>
    <col min="5397" max="5397" width="10.6640625" style="3" customWidth="1"/>
    <col min="5398" max="5398" width="10.44140625" style="3" customWidth="1"/>
    <col min="5399" max="5399" width="10.88671875" style="3" customWidth="1"/>
    <col min="5400" max="5400" width="12" style="3" customWidth="1"/>
    <col min="5401" max="5401" width="10.44140625" style="3" customWidth="1"/>
    <col min="5402" max="5402" width="16.6640625" style="3" customWidth="1"/>
    <col min="5403" max="5406" width="15.33203125" style="3" customWidth="1"/>
    <col min="5407" max="5407" width="8.88671875" style="3"/>
    <col min="5408" max="5408" width="11.88671875" style="3" bestFit="1" customWidth="1"/>
    <col min="5409" max="5413" width="8.88671875" style="3"/>
    <col min="5414" max="5414" width="17.6640625" style="3" bestFit="1" customWidth="1"/>
    <col min="5415" max="5632" width="8.88671875" style="3"/>
    <col min="5633" max="5633" width="2.33203125" style="3" customWidth="1"/>
    <col min="5634" max="5634" width="10.88671875" style="3" bestFit="1" customWidth="1"/>
    <col min="5635" max="5635" width="9.44140625" style="3" customWidth="1"/>
    <col min="5636" max="5636" width="20.109375" style="3" customWidth="1"/>
    <col min="5637" max="5637" width="9.33203125" style="3" customWidth="1"/>
    <col min="5638" max="5638" width="8.5546875" style="3" customWidth="1"/>
    <col min="5639" max="5639" width="9.5546875" style="3" customWidth="1"/>
    <col min="5640" max="5643" width="8.5546875" style="3" customWidth="1"/>
    <col min="5644" max="5644" width="8.44140625" style="3" customWidth="1"/>
    <col min="5645" max="5646" width="10.33203125" style="3" customWidth="1"/>
    <col min="5647" max="5647" width="8.88671875" style="3"/>
    <col min="5648" max="5648" width="10.109375" style="3" customWidth="1"/>
    <col min="5649" max="5649" width="8.33203125" style="3" customWidth="1"/>
    <col min="5650" max="5650" width="9.88671875" style="3" customWidth="1"/>
    <col min="5651" max="5651" width="10.5546875" style="3" customWidth="1"/>
    <col min="5652" max="5652" width="12.109375" style="3" customWidth="1"/>
    <col min="5653" max="5653" width="10.6640625" style="3" customWidth="1"/>
    <col min="5654" max="5654" width="10.44140625" style="3" customWidth="1"/>
    <col min="5655" max="5655" width="10.88671875" style="3" customWidth="1"/>
    <col min="5656" max="5656" width="12" style="3" customWidth="1"/>
    <col min="5657" max="5657" width="10.44140625" style="3" customWidth="1"/>
    <col min="5658" max="5658" width="16.6640625" style="3" customWidth="1"/>
    <col min="5659" max="5662" width="15.33203125" style="3" customWidth="1"/>
    <col min="5663" max="5663" width="8.88671875" style="3"/>
    <col min="5664" max="5664" width="11.88671875" style="3" bestFit="1" customWidth="1"/>
    <col min="5665" max="5669" width="8.88671875" style="3"/>
    <col min="5670" max="5670" width="17.6640625" style="3" bestFit="1" customWidth="1"/>
    <col min="5671" max="5888" width="8.88671875" style="3"/>
    <col min="5889" max="5889" width="2.33203125" style="3" customWidth="1"/>
    <col min="5890" max="5890" width="10.88671875" style="3" bestFit="1" customWidth="1"/>
    <col min="5891" max="5891" width="9.44140625" style="3" customWidth="1"/>
    <col min="5892" max="5892" width="20.109375" style="3" customWidth="1"/>
    <col min="5893" max="5893" width="9.33203125" style="3" customWidth="1"/>
    <col min="5894" max="5894" width="8.5546875" style="3" customWidth="1"/>
    <col min="5895" max="5895" width="9.5546875" style="3" customWidth="1"/>
    <col min="5896" max="5899" width="8.5546875" style="3" customWidth="1"/>
    <col min="5900" max="5900" width="8.44140625" style="3" customWidth="1"/>
    <col min="5901" max="5902" width="10.33203125" style="3" customWidth="1"/>
    <col min="5903" max="5903" width="8.88671875" style="3"/>
    <col min="5904" max="5904" width="10.109375" style="3" customWidth="1"/>
    <col min="5905" max="5905" width="8.33203125" style="3" customWidth="1"/>
    <col min="5906" max="5906" width="9.88671875" style="3" customWidth="1"/>
    <col min="5907" max="5907" width="10.5546875" style="3" customWidth="1"/>
    <col min="5908" max="5908" width="12.109375" style="3" customWidth="1"/>
    <col min="5909" max="5909" width="10.6640625" style="3" customWidth="1"/>
    <col min="5910" max="5910" width="10.44140625" style="3" customWidth="1"/>
    <col min="5911" max="5911" width="10.88671875" style="3" customWidth="1"/>
    <col min="5912" max="5912" width="12" style="3" customWidth="1"/>
    <col min="5913" max="5913" width="10.44140625" style="3" customWidth="1"/>
    <col min="5914" max="5914" width="16.6640625" style="3" customWidth="1"/>
    <col min="5915" max="5918" width="15.33203125" style="3" customWidth="1"/>
    <col min="5919" max="5919" width="8.88671875" style="3"/>
    <col min="5920" max="5920" width="11.88671875" style="3" bestFit="1" customWidth="1"/>
    <col min="5921" max="5925" width="8.88671875" style="3"/>
    <col min="5926" max="5926" width="17.6640625" style="3" bestFit="1" customWidth="1"/>
    <col min="5927" max="6144" width="8.88671875" style="3"/>
    <col min="6145" max="6145" width="2.33203125" style="3" customWidth="1"/>
    <col min="6146" max="6146" width="10.88671875" style="3" bestFit="1" customWidth="1"/>
    <col min="6147" max="6147" width="9.44140625" style="3" customWidth="1"/>
    <col min="6148" max="6148" width="20.109375" style="3" customWidth="1"/>
    <col min="6149" max="6149" width="9.33203125" style="3" customWidth="1"/>
    <col min="6150" max="6150" width="8.5546875" style="3" customWidth="1"/>
    <col min="6151" max="6151" width="9.5546875" style="3" customWidth="1"/>
    <col min="6152" max="6155" width="8.5546875" style="3" customWidth="1"/>
    <col min="6156" max="6156" width="8.44140625" style="3" customWidth="1"/>
    <col min="6157" max="6158" width="10.33203125" style="3" customWidth="1"/>
    <col min="6159" max="6159" width="8.88671875" style="3"/>
    <col min="6160" max="6160" width="10.109375" style="3" customWidth="1"/>
    <col min="6161" max="6161" width="8.33203125" style="3" customWidth="1"/>
    <col min="6162" max="6162" width="9.88671875" style="3" customWidth="1"/>
    <col min="6163" max="6163" width="10.5546875" style="3" customWidth="1"/>
    <col min="6164" max="6164" width="12.109375" style="3" customWidth="1"/>
    <col min="6165" max="6165" width="10.6640625" style="3" customWidth="1"/>
    <col min="6166" max="6166" width="10.44140625" style="3" customWidth="1"/>
    <col min="6167" max="6167" width="10.88671875" style="3" customWidth="1"/>
    <col min="6168" max="6168" width="12" style="3" customWidth="1"/>
    <col min="6169" max="6169" width="10.44140625" style="3" customWidth="1"/>
    <col min="6170" max="6170" width="16.6640625" style="3" customWidth="1"/>
    <col min="6171" max="6174" width="15.33203125" style="3" customWidth="1"/>
    <col min="6175" max="6175" width="8.88671875" style="3"/>
    <col min="6176" max="6176" width="11.88671875" style="3" bestFit="1" customWidth="1"/>
    <col min="6177" max="6181" width="8.88671875" style="3"/>
    <col min="6182" max="6182" width="17.6640625" style="3" bestFit="1" customWidth="1"/>
    <col min="6183" max="6400" width="8.88671875" style="3"/>
    <col min="6401" max="6401" width="2.33203125" style="3" customWidth="1"/>
    <col min="6402" max="6402" width="10.88671875" style="3" bestFit="1" customWidth="1"/>
    <col min="6403" max="6403" width="9.44140625" style="3" customWidth="1"/>
    <col min="6404" max="6404" width="20.109375" style="3" customWidth="1"/>
    <col min="6405" max="6405" width="9.33203125" style="3" customWidth="1"/>
    <col min="6406" max="6406" width="8.5546875" style="3" customWidth="1"/>
    <col min="6407" max="6407" width="9.5546875" style="3" customWidth="1"/>
    <col min="6408" max="6411" width="8.5546875" style="3" customWidth="1"/>
    <col min="6412" max="6412" width="8.44140625" style="3" customWidth="1"/>
    <col min="6413" max="6414" width="10.33203125" style="3" customWidth="1"/>
    <col min="6415" max="6415" width="8.88671875" style="3"/>
    <col min="6416" max="6416" width="10.109375" style="3" customWidth="1"/>
    <col min="6417" max="6417" width="8.33203125" style="3" customWidth="1"/>
    <col min="6418" max="6418" width="9.88671875" style="3" customWidth="1"/>
    <col min="6419" max="6419" width="10.5546875" style="3" customWidth="1"/>
    <col min="6420" max="6420" width="12.109375" style="3" customWidth="1"/>
    <col min="6421" max="6421" width="10.6640625" style="3" customWidth="1"/>
    <col min="6422" max="6422" width="10.44140625" style="3" customWidth="1"/>
    <col min="6423" max="6423" width="10.88671875" style="3" customWidth="1"/>
    <col min="6424" max="6424" width="12" style="3" customWidth="1"/>
    <col min="6425" max="6425" width="10.44140625" style="3" customWidth="1"/>
    <col min="6426" max="6426" width="16.6640625" style="3" customWidth="1"/>
    <col min="6427" max="6430" width="15.33203125" style="3" customWidth="1"/>
    <col min="6431" max="6431" width="8.88671875" style="3"/>
    <col min="6432" max="6432" width="11.88671875" style="3" bestFit="1" customWidth="1"/>
    <col min="6433" max="6437" width="8.88671875" style="3"/>
    <col min="6438" max="6438" width="17.6640625" style="3" bestFit="1" customWidth="1"/>
    <col min="6439" max="6656" width="8.88671875" style="3"/>
    <col min="6657" max="6657" width="2.33203125" style="3" customWidth="1"/>
    <col min="6658" max="6658" width="10.88671875" style="3" bestFit="1" customWidth="1"/>
    <col min="6659" max="6659" width="9.44140625" style="3" customWidth="1"/>
    <col min="6660" max="6660" width="20.109375" style="3" customWidth="1"/>
    <col min="6661" max="6661" width="9.33203125" style="3" customWidth="1"/>
    <col min="6662" max="6662" width="8.5546875" style="3" customWidth="1"/>
    <col min="6663" max="6663" width="9.5546875" style="3" customWidth="1"/>
    <col min="6664" max="6667" width="8.5546875" style="3" customWidth="1"/>
    <col min="6668" max="6668" width="8.44140625" style="3" customWidth="1"/>
    <col min="6669" max="6670" width="10.33203125" style="3" customWidth="1"/>
    <col min="6671" max="6671" width="8.88671875" style="3"/>
    <col min="6672" max="6672" width="10.109375" style="3" customWidth="1"/>
    <col min="6673" max="6673" width="8.33203125" style="3" customWidth="1"/>
    <col min="6674" max="6674" width="9.88671875" style="3" customWidth="1"/>
    <col min="6675" max="6675" width="10.5546875" style="3" customWidth="1"/>
    <col min="6676" max="6676" width="12.109375" style="3" customWidth="1"/>
    <col min="6677" max="6677" width="10.6640625" style="3" customWidth="1"/>
    <col min="6678" max="6678" width="10.44140625" style="3" customWidth="1"/>
    <col min="6679" max="6679" width="10.88671875" style="3" customWidth="1"/>
    <col min="6680" max="6680" width="12" style="3" customWidth="1"/>
    <col min="6681" max="6681" width="10.44140625" style="3" customWidth="1"/>
    <col min="6682" max="6682" width="16.6640625" style="3" customWidth="1"/>
    <col min="6683" max="6686" width="15.33203125" style="3" customWidth="1"/>
    <col min="6687" max="6687" width="8.88671875" style="3"/>
    <col min="6688" max="6688" width="11.88671875" style="3" bestFit="1" customWidth="1"/>
    <col min="6689" max="6693" width="8.88671875" style="3"/>
    <col min="6694" max="6694" width="17.6640625" style="3" bestFit="1" customWidth="1"/>
    <col min="6695" max="6912" width="8.88671875" style="3"/>
    <col min="6913" max="6913" width="2.33203125" style="3" customWidth="1"/>
    <col min="6914" max="6914" width="10.88671875" style="3" bestFit="1" customWidth="1"/>
    <col min="6915" max="6915" width="9.44140625" style="3" customWidth="1"/>
    <col min="6916" max="6916" width="20.109375" style="3" customWidth="1"/>
    <col min="6917" max="6917" width="9.33203125" style="3" customWidth="1"/>
    <col min="6918" max="6918" width="8.5546875" style="3" customWidth="1"/>
    <col min="6919" max="6919" width="9.5546875" style="3" customWidth="1"/>
    <col min="6920" max="6923" width="8.5546875" style="3" customWidth="1"/>
    <col min="6924" max="6924" width="8.44140625" style="3" customWidth="1"/>
    <col min="6925" max="6926" width="10.33203125" style="3" customWidth="1"/>
    <col min="6927" max="6927" width="8.88671875" style="3"/>
    <col min="6928" max="6928" width="10.109375" style="3" customWidth="1"/>
    <col min="6929" max="6929" width="8.33203125" style="3" customWidth="1"/>
    <col min="6930" max="6930" width="9.88671875" style="3" customWidth="1"/>
    <col min="6931" max="6931" width="10.5546875" style="3" customWidth="1"/>
    <col min="6932" max="6932" width="12.109375" style="3" customWidth="1"/>
    <col min="6933" max="6933" width="10.6640625" style="3" customWidth="1"/>
    <col min="6934" max="6934" width="10.44140625" style="3" customWidth="1"/>
    <col min="6935" max="6935" width="10.88671875" style="3" customWidth="1"/>
    <col min="6936" max="6936" width="12" style="3" customWidth="1"/>
    <col min="6937" max="6937" width="10.44140625" style="3" customWidth="1"/>
    <col min="6938" max="6938" width="16.6640625" style="3" customWidth="1"/>
    <col min="6939" max="6942" width="15.33203125" style="3" customWidth="1"/>
    <col min="6943" max="6943" width="8.88671875" style="3"/>
    <col min="6944" max="6944" width="11.88671875" style="3" bestFit="1" customWidth="1"/>
    <col min="6945" max="6949" width="8.88671875" style="3"/>
    <col min="6950" max="6950" width="17.6640625" style="3" bestFit="1" customWidth="1"/>
    <col min="6951" max="7168" width="8.88671875" style="3"/>
    <col min="7169" max="7169" width="2.33203125" style="3" customWidth="1"/>
    <col min="7170" max="7170" width="10.88671875" style="3" bestFit="1" customWidth="1"/>
    <col min="7171" max="7171" width="9.44140625" style="3" customWidth="1"/>
    <col min="7172" max="7172" width="20.109375" style="3" customWidth="1"/>
    <col min="7173" max="7173" width="9.33203125" style="3" customWidth="1"/>
    <col min="7174" max="7174" width="8.5546875" style="3" customWidth="1"/>
    <col min="7175" max="7175" width="9.5546875" style="3" customWidth="1"/>
    <col min="7176" max="7179" width="8.5546875" style="3" customWidth="1"/>
    <col min="7180" max="7180" width="8.44140625" style="3" customWidth="1"/>
    <col min="7181" max="7182" width="10.33203125" style="3" customWidth="1"/>
    <col min="7183" max="7183" width="8.88671875" style="3"/>
    <col min="7184" max="7184" width="10.109375" style="3" customWidth="1"/>
    <col min="7185" max="7185" width="8.33203125" style="3" customWidth="1"/>
    <col min="7186" max="7186" width="9.88671875" style="3" customWidth="1"/>
    <col min="7187" max="7187" width="10.5546875" style="3" customWidth="1"/>
    <col min="7188" max="7188" width="12.109375" style="3" customWidth="1"/>
    <col min="7189" max="7189" width="10.6640625" style="3" customWidth="1"/>
    <col min="7190" max="7190" width="10.44140625" style="3" customWidth="1"/>
    <col min="7191" max="7191" width="10.88671875" style="3" customWidth="1"/>
    <col min="7192" max="7192" width="12" style="3" customWidth="1"/>
    <col min="7193" max="7193" width="10.44140625" style="3" customWidth="1"/>
    <col min="7194" max="7194" width="16.6640625" style="3" customWidth="1"/>
    <col min="7195" max="7198" width="15.33203125" style="3" customWidth="1"/>
    <col min="7199" max="7199" width="8.88671875" style="3"/>
    <col min="7200" max="7200" width="11.88671875" style="3" bestFit="1" customWidth="1"/>
    <col min="7201" max="7205" width="8.88671875" style="3"/>
    <col min="7206" max="7206" width="17.6640625" style="3" bestFit="1" customWidth="1"/>
    <col min="7207" max="7424" width="8.88671875" style="3"/>
    <col min="7425" max="7425" width="2.33203125" style="3" customWidth="1"/>
    <col min="7426" max="7426" width="10.88671875" style="3" bestFit="1" customWidth="1"/>
    <col min="7427" max="7427" width="9.44140625" style="3" customWidth="1"/>
    <col min="7428" max="7428" width="20.109375" style="3" customWidth="1"/>
    <col min="7429" max="7429" width="9.33203125" style="3" customWidth="1"/>
    <col min="7430" max="7430" width="8.5546875" style="3" customWidth="1"/>
    <col min="7431" max="7431" width="9.5546875" style="3" customWidth="1"/>
    <col min="7432" max="7435" width="8.5546875" style="3" customWidth="1"/>
    <col min="7436" max="7436" width="8.44140625" style="3" customWidth="1"/>
    <col min="7437" max="7438" width="10.33203125" style="3" customWidth="1"/>
    <col min="7439" max="7439" width="8.88671875" style="3"/>
    <col min="7440" max="7440" width="10.109375" style="3" customWidth="1"/>
    <col min="7441" max="7441" width="8.33203125" style="3" customWidth="1"/>
    <col min="7442" max="7442" width="9.88671875" style="3" customWidth="1"/>
    <col min="7443" max="7443" width="10.5546875" style="3" customWidth="1"/>
    <col min="7444" max="7444" width="12.109375" style="3" customWidth="1"/>
    <col min="7445" max="7445" width="10.6640625" style="3" customWidth="1"/>
    <col min="7446" max="7446" width="10.44140625" style="3" customWidth="1"/>
    <col min="7447" max="7447" width="10.88671875" style="3" customWidth="1"/>
    <col min="7448" max="7448" width="12" style="3" customWidth="1"/>
    <col min="7449" max="7449" width="10.44140625" style="3" customWidth="1"/>
    <col min="7450" max="7450" width="16.6640625" style="3" customWidth="1"/>
    <col min="7451" max="7454" width="15.33203125" style="3" customWidth="1"/>
    <col min="7455" max="7455" width="8.88671875" style="3"/>
    <col min="7456" max="7456" width="11.88671875" style="3" bestFit="1" customWidth="1"/>
    <col min="7457" max="7461" width="8.88671875" style="3"/>
    <col min="7462" max="7462" width="17.6640625" style="3" bestFit="1" customWidth="1"/>
    <col min="7463" max="7680" width="8.88671875" style="3"/>
    <col min="7681" max="7681" width="2.33203125" style="3" customWidth="1"/>
    <col min="7682" max="7682" width="10.88671875" style="3" bestFit="1" customWidth="1"/>
    <col min="7683" max="7683" width="9.44140625" style="3" customWidth="1"/>
    <col min="7684" max="7684" width="20.109375" style="3" customWidth="1"/>
    <col min="7685" max="7685" width="9.33203125" style="3" customWidth="1"/>
    <col min="7686" max="7686" width="8.5546875" style="3" customWidth="1"/>
    <col min="7687" max="7687" width="9.5546875" style="3" customWidth="1"/>
    <col min="7688" max="7691" width="8.5546875" style="3" customWidth="1"/>
    <col min="7692" max="7692" width="8.44140625" style="3" customWidth="1"/>
    <col min="7693" max="7694" width="10.33203125" style="3" customWidth="1"/>
    <col min="7695" max="7695" width="8.88671875" style="3"/>
    <col min="7696" max="7696" width="10.109375" style="3" customWidth="1"/>
    <col min="7697" max="7697" width="8.33203125" style="3" customWidth="1"/>
    <col min="7698" max="7698" width="9.88671875" style="3" customWidth="1"/>
    <col min="7699" max="7699" width="10.5546875" style="3" customWidth="1"/>
    <col min="7700" max="7700" width="12.109375" style="3" customWidth="1"/>
    <col min="7701" max="7701" width="10.6640625" style="3" customWidth="1"/>
    <col min="7702" max="7702" width="10.44140625" style="3" customWidth="1"/>
    <col min="7703" max="7703" width="10.88671875" style="3" customWidth="1"/>
    <col min="7704" max="7704" width="12" style="3" customWidth="1"/>
    <col min="7705" max="7705" width="10.44140625" style="3" customWidth="1"/>
    <col min="7706" max="7706" width="16.6640625" style="3" customWidth="1"/>
    <col min="7707" max="7710" width="15.33203125" style="3" customWidth="1"/>
    <col min="7711" max="7711" width="8.88671875" style="3"/>
    <col min="7712" max="7712" width="11.88671875" style="3" bestFit="1" customWidth="1"/>
    <col min="7713" max="7717" width="8.88671875" style="3"/>
    <col min="7718" max="7718" width="17.6640625" style="3" bestFit="1" customWidth="1"/>
    <col min="7719" max="7936" width="8.88671875" style="3"/>
    <col min="7937" max="7937" width="2.33203125" style="3" customWidth="1"/>
    <col min="7938" max="7938" width="10.88671875" style="3" bestFit="1" customWidth="1"/>
    <col min="7939" max="7939" width="9.44140625" style="3" customWidth="1"/>
    <col min="7940" max="7940" width="20.109375" style="3" customWidth="1"/>
    <col min="7941" max="7941" width="9.33203125" style="3" customWidth="1"/>
    <col min="7942" max="7942" width="8.5546875" style="3" customWidth="1"/>
    <col min="7943" max="7943" width="9.5546875" style="3" customWidth="1"/>
    <col min="7944" max="7947" width="8.5546875" style="3" customWidth="1"/>
    <col min="7948" max="7948" width="8.44140625" style="3" customWidth="1"/>
    <col min="7949" max="7950" width="10.33203125" style="3" customWidth="1"/>
    <col min="7951" max="7951" width="8.88671875" style="3"/>
    <col min="7952" max="7952" width="10.109375" style="3" customWidth="1"/>
    <col min="7953" max="7953" width="8.33203125" style="3" customWidth="1"/>
    <col min="7954" max="7954" width="9.88671875" style="3" customWidth="1"/>
    <col min="7955" max="7955" width="10.5546875" style="3" customWidth="1"/>
    <col min="7956" max="7956" width="12.109375" style="3" customWidth="1"/>
    <col min="7957" max="7957" width="10.6640625" style="3" customWidth="1"/>
    <col min="7958" max="7958" width="10.44140625" style="3" customWidth="1"/>
    <col min="7959" max="7959" width="10.88671875" style="3" customWidth="1"/>
    <col min="7960" max="7960" width="12" style="3" customWidth="1"/>
    <col min="7961" max="7961" width="10.44140625" style="3" customWidth="1"/>
    <col min="7962" max="7962" width="16.6640625" style="3" customWidth="1"/>
    <col min="7963" max="7966" width="15.33203125" style="3" customWidth="1"/>
    <col min="7967" max="7967" width="8.88671875" style="3"/>
    <col min="7968" max="7968" width="11.88671875" style="3" bestFit="1" customWidth="1"/>
    <col min="7969" max="7973" width="8.88671875" style="3"/>
    <col min="7974" max="7974" width="17.6640625" style="3" bestFit="1" customWidth="1"/>
    <col min="7975" max="8192" width="8.88671875" style="3"/>
    <col min="8193" max="8193" width="2.33203125" style="3" customWidth="1"/>
    <col min="8194" max="8194" width="10.88671875" style="3" bestFit="1" customWidth="1"/>
    <col min="8195" max="8195" width="9.44140625" style="3" customWidth="1"/>
    <col min="8196" max="8196" width="20.109375" style="3" customWidth="1"/>
    <col min="8197" max="8197" width="9.33203125" style="3" customWidth="1"/>
    <col min="8198" max="8198" width="8.5546875" style="3" customWidth="1"/>
    <col min="8199" max="8199" width="9.5546875" style="3" customWidth="1"/>
    <col min="8200" max="8203" width="8.5546875" style="3" customWidth="1"/>
    <col min="8204" max="8204" width="8.44140625" style="3" customWidth="1"/>
    <col min="8205" max="8206" width="10.33203125" style="3" customWidth="1"/>
    <col min="8207" max="8207" width="8.88671875" style="3"/>
    <col min="8208" max="8208" width="10.109375" style="3" customWidth="1"/>
    <col min="8209" max="8209" width="8.33203125" style="3" customWidth="1"/>
    <col min="8210" max="8210" width="9.88671875" style="3" customWidth="1"/>
    <col min="8211" max="8211" width="10.5546875" style="3" customWidth="1"/>
    <col min="8212" max="8212" width="12.109375" style="3" customWidth="1"/>
    <col min="8213" max="8213" width="10.6640625" style="3" customWidth="1"/>
    <col min="8214" max="8214" width="10.44140625" style="3" customWidth="1"/>
    <col min="8215" max="8215" width="10.88671875" style="3" customWidth="1"/>
    <col min="8216" max="8216" width="12" style="3" customWidth="1"/>
    <col min="8217" max="8217" width="10.44140625" style="3" customWidth="1"/>
    <col min="8218" max="8218" width="16.6640625" style="3" customWidth="1"/>
    <col min="8219" max="8222" width="15.33203125" style="3" customWidth="1"/>
    <col min="8223" max="8223" width="8.88671875" style="3"/>
    <col min="8224" max="8224" width="11.88671875" style="3" bestFit="1" customWidth="1"/>
    <col min="8225" max="8229" width="8.88671875" style="3"/>
    <col min="8230" max="8230" width="17.6640625" style="3" bestFit="1" customWidth="1"/>
    <col min="8231" max="8448" width="8.88671875" style="3"/>
    <col min="8449" max="8449" width="2.33203125" style="3" customWidth="1"/>
    <col min="8450" max="8450" width="10.88671875" style="3" bestFit="1" customWidth="1"/>
    <col min="8451" max="8451" width="9.44140625" style="3" customWidth="1"/>
    <col min="8452" max="8452" width="20.109375" style="3" customWidth="1"/>
    <col min="8453" max="8453" width="9.33203125" style="3" customWidth="1"/>
    <col min="8454" max="8454" width="8.5546875" style="3" customWidth="1"/>
    <col min="8455" max="8455" width="9.5546875" style="3" customWidth="1"/>
    <col min="8456" max="8459" width="8.5546875" style="3" customWidth="1"/>
    <col min="8460" max="8460" width="8.44140625" style="3" customWidth="1"/>
    <col min="8461" max="8462" width="10.33203125" style="3" customWidth="1"/>
    <col min="8463" max="8463" width="8.88671875" style="3"/>
    <col min="8464" max="8464" width="10.109375" style="3" customWidth="1"/>
    <col min="8465" max="8465" width="8.33203125" style="3" customWidth="1"/>
    <col min="8466" max="8466" width="9.88671875" style="3" customWidth="1"/>
    <col min="8467" max="8467" width="10.5546875" style="3" customWidth="1"/>
    <col min="8468" max="8468" width="12.109375" style="3" customWidth="1"/>
    <col min="8469" max="8469" width="10.6640625" style="3" customWidth="1"/>
    <col min="8470" max="8470" width="10.44140625" style="3" customWidth="1"/>
    <col min="8471" max="8471" width="10.88671875" style="3" customWidth="1"/>
    <col min="8472" max="8472" width="12" style="3" customWidth="1"/>
    <col min="8473" max="8473" width="10.44140625" style="3" customWidth="1"/>
    <col min="8474" max="8474" width="16.6640625" style="3" customWidth="1"/>
    <col min="8475" max="8478" width="15.33203125" style="3" customWidth="1"/>
    <col min="8479" max="8479" width="8.88671875" style="3"/>
    <col min="8480" max="8480" width="11.88671875" style="3" bestFit="1" customWidth="1"/>
    <col min="8481" max="8485" width="8.88671875" style="3"/>
    <col min="8486" max="8486" width="17.6640625" style="3" bestFit="1" customWidth="1"/>
    <col min="8487" max="8704" width="8.88671875" style="3"/>
    <col min="8705" max="8705" width="2.33203125" style="3" customWidth="1"/>
    <col min="8706" max="8706" width="10.88671875" style="3" bestFit="1" customWidth="1"/>
    <col min="8707" max="8707" width="9.44140625" style="3" customWidth="1"/>
    <col min="8708" max="8708" width="20.109375" style="3" customWidth="1"/>
    <col min="8709" max="8709" width="9.33203125" style="3" customWidth="1"/>
    <col min="8710" max="8710" width="8.5546875" style="3" customWidth="1"/>
    <col min="8711" max="8711" width="9.5546875" style="3" customWidth="1"/>
    <col min="8712" max="8715" width="8.5546875" style="3" customWidth="1"/>
    <col min="8716" max="8716" width="8.44140625" style="3" customWidth="1"/>
    <col min="8717" max="8718" width="10.33203125" style="3" customWidth="1"/>
    <col min="8719" max="8719" width="8.88671875" style="3"/>
    <col min="8720" max="8720" width="10.109375" style="3" customWidth="1"/>
    <col min="8721" max="8721" width="8.33203125" style="3" customWidth="1"/>
    <col min="8722" max="8722" width="9.88671875" style="3" customWidth="1"/>
    <col min="8723" max="8723" width="10.5546875" style="3" customWidth="1"/>
    <col min="8724" max="8724" width="12.109375" style="3" customWidth="1"/>
    <col min="8725" max="8725" width="10.6640625" style="3" customWidth="1"/>
    <col min="8726" max="8726" width="10.44140625" style="3" customWidth="1"/>
    <col min="8727" max="8727" width="10.88671875" style="3" customWidth="1"/>
    <col min="8728" max="8728" width="12" style="3" customWidth="1"/>
    <col min="8729" max="8729" width="10.44140625" style="3" customWidth="1"/>
    <col min="8730" max="8730" width="16.6640625" style="3" customWidth="1"/>
    <col min="8731" max="8734" width="15.33203125" style="3" customWidth="1"/>
    <col min="8735" max="8735" width="8.88671875" style="3"/>
    <col min="8736" max="8736" width="11.88671875" style="3" bestFit="1" customWidth="1"/>
    <col min="8737" max="8741" width="8.88671875" style="3"/>
    <col min="8742" max="8742" width="17.6640625" style="3" bestFit="1" customWidth="1"/>
    <col min="8743" max="8960" width="8.88671875" style="3"/>
    <col min="8961" max="8961" width="2.33203125" style="3" customWidth="1"/>
    <col min="8962" max="8962" width="10.88671875" style="3" bestFit="1" customWidth="1"/>
    <col min="8963" max="8963" width="9.44140625" style="3" customWidth="1"/>
    <col min="8964" max="8964" width="20.109375" style="3" customWidth="1"/>
    <col min="8965" max="8965" width="9.33203125" style="3" customWidth="1"/>
    <col min="8966" max="8966" width="8.5546875" style="3" customWidth="1"/>
    <col min="8967" max="8967" width="9.5546875" style="3" customWidth="1"/>
    <col min="8968" max="8971" width="8.5546875" style="3" customWidth="1"/>
    <col min="8972" max="8972" width="8.44140625" style="3" customWidth="1"/>
    <col min="8973" max="8974" width="10.33203125" style="3" customWidth="1"/>
    <col min="8975" max="8975" width="8.88671875" style="3"/>
    <col min="8976" max="8976" width="10.109375" style="3" customWidth="1"/>
    <col min="8977" max="8977" width="8.33203125" style="3" customWidth="1"/>
    <col min="8978" max="8978" width="9.88671875" style="3" customWidth="1"/>
    <col min="8979" max="8979" width="10.5546875" style="3" customWidth="1"/>
    <col min="8980" max="8980" width="12.109375" style="3" customWidth="1"/>
    <col min="8981" max="8981" width="10.6640625" style="3" customWidth="1"/>
    <col min="8982" max="8982" width="10.44140625" style="3" customWidth="1"/>
    <col min="8983" max="8983" width="10.88671875" style="3" customWidth="1"/>
    <col min="8984" max="8984" width="12" style="3" customWidth="1"/>
    <col min="8985" max="8985" width="10.44140625" style="3" customWidth="1"/>
    <col min="8986" max="8986" width="16.6640625" style="3" customWidth="1"/>
    <col min="8987" max="8990" width="15.33203125" style="3" customWidth="1"/>
    <col min="8991" max="8991" width="8.88671875" style="3"/>
    <col min="8992" max="8992" width="11.88671875" style="3" bestFit="1" customWidth="1"/>
    <col min="8993" max="8997" width="8.88671875" style="3"/>
    <col min="8998" max="8998" width="17.6640625" style="3" bestFit="1" customWidth="1"/>
    <col min="8999" max="9216" width="8.88671875" style="3"/>
    <col min="9217" max="9217" width="2.33203125" style="3" customWidth="1"/>
    <col min="9218" max="9218" width="10.88671875" style="3" bestFit="1" customWidth="1"/>
    <col min="9219" max="9219" width="9.44140625" style="3" customWidth="1"/>
    <col min="9220" max="9220" width="20.109375" style="3" customWidth="1"/>
    <col min="9221" max="9221" width="9.33203125" style="3" customWidth="1"/>
    <col min="9222" max="9222" width="8.5546875" style="3" customWidth="1"/>
    <col min="9223" max="9223" width="9.5546875" style="3" customWidth="1"/>
    <col min="9224" max="9227" width="8.5546875" style="3" customWidth="1"/>
    <col min="9228" max="9228" width="8.44140625" style="3" customWidth="1"/>
    <col min="9229" max="9230" width="10.33203125" style="3" customWidth="1"/>
    <col min="9231" max="9231" width="8.88671875" style="3"/>
    <col min="9232" max="9232" width="10.109375" style="3" customWidth="1"/>
    <col min="9233" max="9233" width="8.33203125" style="3" customWidth="1"/>
    <col min="9234" max="9234" width="9.88671875" style="3" customWidth="1"/>
    <col min="9235" max="9235" width="10.5546875" style="3" customWidth="1"/>
    <col min="9236" max="9236" width="12.109375" style="3" customWidth="1"/>
    <col min="9237" max="9237" width="10.6640625" style="3" customWidth="1"/>
    <col min="9238" max="9238" width="10.44140625" style="3" customWidth="1"/>
    <col min="9239" max="9239" width="10.88671875" style="3" customWidth="1"/>
    <col min="9240" max="9240" width="12" style="3" customWidth="1"/>
    <col min="9241" max="9241" width="10.44140625" style="3" customWidth="1"/>
    <col min="9242" max="9242" width="16.6640625" style="3" customWidth="1"/>
    <col min="9243" max="9246" width="15.33203125" style="3" customWidth="1"/>
    <col min="9247" max="9247" width="8.88671875" style="3"/>
    <col min="9248" max="9248" width="11.88671875" style="3" bestFit="1" customWidth="1"/>
    <col min="9249" max="9253" width="8.88671875" style="3"/>
    <col min="9254" max="9254" width="17.6640625" style="3" bestFit="1" customWidth="1"/>
    <col min="9255" max="9472" width="8.88671875" style="3"/>
    <col min="9473" max="9473" width="2.33203125" style="3" customWidth="1"/>
    <col min="9474" max="9474" width="10.88671875" style="3" bestFit="1" customWidth="1"/>
    <col min="9475" max="9475" width="9.44140625" style="3" customWidth="1"/>
    <col min="9476" max="9476" width="20.109375" style="3" customWidth="1"/>
    <col min="9477" max="9477" width="9.33203125" style="3" customWidth="1"/>
    <col min="9478" max="9478" width="8.5546875" style="3" customWidth="1"/>
    <col min="9479" max="9479" width="9.5546875" style="3" customWidth="1"/>
    <col min="9480" max="9483" width="8.5546875" style="3" customWidth="1"/>
    <col min="9484" max="9484" width="8.44140625" style="3" customWidth="1"/>
    <col min="9485" max="9486" width="10.33203125" style="3" customWidth="1"/>
    <col min="9487" max="9487" width="8.88671875" style="3"/>
    <col min="9488" max="9488" width="10.109375" style="3" customWidth="1"/>
    <col min="9489" max="9489" width="8.33203125" style="3" customWidth="1"/>
    <col min="9490" max="9490" width="9.88671875" style="3" customWidth="1"/>
    <col min="9491" max="9491" width="10.5546875" style="3" customWidth="1"/>
    <col min="9492" max="9492" width="12.109375" style="3" customWidth="1"/>
    <col min="9493" max="9493" width="10.6640625" style="3" customWidth="1"/>
    <col min="9494" max="9494" width="10.44140625" style="3" customWidth="1"/>
    <col min="9495" max="9495" width="10.88671875" style="3" customWidth="1"/>
    <col min="9496" max="9496" width="12" style="3" customWidth="1"/>
    <col min="9497" max="9497" width="10.44140625" style="3" customWidth="1"/>
    <col min="9498" max="9498" width="16.6640625" style="3" customWidth="1"/>
    <col min="9499" max="9502" width="15.33203125" style="3" customWidth="1"/>
    <col min="9503" max="9503" width="8.88671875" style="3"/>
    <col min="9504" max="9504" width="11.88671875" style="3" bestFit="1" customWidth="1"/>
    <col min="9505" max="9509" width="8.88671875" style="3"/>
    <col min="9510" max="9510" width="17.6640625" style="3" bestFit="1" customWidth="1"/>
    <col min="9511" max="9728" width="8.88671875" style="3"/>
    <col min="9729" max="9729" width="2.33203125" style="3" customWidth="1"/>
    <col min="9730" max="9730" width="10.88671875" style="3" bestFit="1" customWidth="1"/>
    <col min="9731" max="9731" width="9.44140625" style="3" customWidth="1"/>
    <col min="9732" max="9732" width="20.109375" style="3" customWidth="1"/>
    <col min="9733" max="9733" width="9.33203125" style="3" customWidth="1"/>
    <col min="9734" max="9734" width="8.5546875" style="3" customWidth="1"/>
    <col min="9735" max="9735" width="9.5546875" style="3" customWidth="1"/>
    <col min="9736" max="9739" width="8.5546875" style="3" customWidth="1"/>
    <col min="9740" max="9740" width="8.44140625" style="3" customWidth="1"/>
    <col min="9741" max="9742" width="10.33203125" style="3" customWidth="1"/>
    <col min="9743" max="9743" width="8.88671875" style="3"/>
    <col min="9744" max="9744" width="10.109375" style="3" customWidth="1"/>
    <col min="9745" max="9745" width="8.33203125" style="3" customWidth="1"/>
    <col min="9746" max="9746" width="9.88671875" style="3" customWidth="1"/>
    <col min="9747" max="9747" width="10.5546875" style="3" customWidth="1"/>
    <col min="9748" max="9748" width="12.109375" style="3" customWidth="1"/>
    <col min="9749" max="9749" width="10.6640625" style="3" customWidth="1"/>
    <col min="9750" max="9750" width="10.44140625" style="3" customWidth="1"/>
    <col min="9751" max="9751" width="10.88671875" style="3" customWidth="1"/>
    <col min="9752" max="9752" width="12" style="3" customWidth="1"/>
    <col min="9753" max="9753" width="10.44140625" style="3" customWidth="1"/>
    <col min="9754" max="9754" width="16.6640625" style="3" customWidth="1"/>
    <col min="9755" max="9758" width="15.33203125" style="3" customWidth="1"/>
    <col min="9759" max="9759" width="8.88671875" style="3"/>
    <col min="9760" max="9760" width="11.88671875" style="3" bestFit="1" customWidth="1"/>
    <col min="9761" max="9765" width="8.88671875" style="3"/>
    <col min="9766" max="9766" width="17.6640625" style="3" bestFit="1" customWidth="1"/>
    <col min="9767" max="9984" width="8.88671875" style="3"/>
    <col min="9985" max="9985" width="2.33203125" style="3" customWidth="1"/>
    <col min="9986" max="9986" width="10.88671875" style="3" bestFit="1" customWidth="1"/>
    <col min="9987" max="9987" width="9.44140625" style="3" customWidth="1"/>
    <col min="9988" max="9988" width="20.109375" style="3" customWidth="1"/>
    <col min="9989" max="9989" width="9.33203125" style="3" customWidth="1"/>
    <col min="9990" max="9990" width="8.5546875" style="3" customWidth="1"/>
    <col min="9991" max="9991" width="9.5546875" style="3" customWidth="1"/>
    <col min="9992" max="9995" width="8.5546875" style="3" customWidth="1"/>
    <col min="9996" max="9996" width="8.44140625" style="3" customWidth="1"/>
    <col min="9997" max="9998" width="10.33203125" style="3" customWidth="1"/>
    <col min="9999" max="9999" width="8.88671875" style="3"/>
    <col min="10000" max="10000" width="10.109375" style="3" customWidth="1"/>
    <col min="10001" max="10001" width="8.33203125" style="3" customWidth="1"/>
    <col min="10002" max="10002" width="9.88671875" style="3" customWidth="1"/>
    <col min="10003" max="10003" width="10.5546875" style="3" customWidth="1"/>
    <col min="10004" max="10004" width="12.109375" style="3" customWidth="1"/>
    <col min="10005" max="10005" width="10.6640625" style="3" customWidth="1"/>
    <col min="10006" max="10006" width="10.44140625" style="3" customWidth="1"/>
    <col min="10007" max="10007" width="10.88671875" style="3" customWidth="1"/>
    <col min="10008" max="10008" width="12" style="3" customWidth="1"/>
    <col min="10009" max="10009" width="10.44140625" style="3" customWidth="1"/>
    <col min="10010" max="10010" width="16.6640625" style="3" customWidth="1"/>
    <col min="10011" max="10014" width="15.33203125" style="3" customWidth="1"/>
    <col min="10015" max="10015" width="8.88671875" style="3"/>
    <col min="10016" max="10016" width="11.88671875" style="3" bestFit="1" customWidth="1"/>
    <col min="10017" max="10021" width="8.88671875" style="3"/>
    <col min="10022" max="10022" width="17.6640625" style="3" bestFit="1" customWidth="1"/>
    <col min="10023" max="10240" width="8.88671875" style="3"/>
    <col min="10241" max="10241" width="2.33203125" style="3" customWidth="1"/>
    <col min="10242" max="10242" width="10.88671875" style="3" bestFit="1" customWidth="1"/>
    <col min="10243" max="10243" width="9.44140625" style="3" customWidth="1"/>
    <col min="10244" max="10244" width="20.109375" style="3" customWidth="1"/>
    <col min="10245" max="10245" width="9.33203125" style="3" customWidth="1"/>
    <col min="10246" max="10246" width="8.5546875" style="3" customWidth="1"/>
    <col min="10247" max="10247" width="9.5546875" style="3" customWidth="1"/>
    <col min="10248" max="10251" width="8.5546875" style="3" customWidth="1"/>
    <col min="10252" max="10252" width="8.44140625" style="3" customWidth="1"/>
    <col min="10253" max="10254" width="10.33203125" style="3" customWidth="1"/>
    <col min="10255" max="10255" width="8.88671875" style="3"/>
    <col min="10256" max="10256" width="10.109375" style="3" customWidth="1"/>
    <col min="10257" max="10257" width="8.33203125" style="3" customWidth="1"/>
    <col min="10258" max="10258" width="9.88671875" style="3" customWidth="1"/>
    <col min="10259" max="10259" width="10.5546875" style="3" customWidth="1"/>
    <col min="10260" max="10260" width="12.109375" style="3" customWidth="1"/>
    <col min="10261" max="10261" width="10.6640625" style="3" customWidth="1"/>
    <col min="10262" max="10262" width="10.44140625" style="3" customWidth="1"/>
    <col min="10263" max="10263" width="10.88671875" style="3" customWidth="1"/>
    <col min="10264" max="10264" width="12" style="3" customWidth="1"/>
    <col min="10265" max="10265" width="10.44140625" style="3" customWidth="1"/>
    <col min="10266" max="10266" width="16.6640625" style="3" customWidth="1"/>
    <col min="10267" max="10270" width="15.33203125" style="3" customWidth="1"/>
    <col min="10271" max="10271" width="8.88671875" style="3"/>
    <col min="10272" max="10272" width="11.88671875" style="3" bestFit="1" customWidth="1"/>
    <col min="10273" max="10277" width="8.88671875" style="3"/>
    <col min="10278" max="10278" width="17.6640625" style="3" bestFit="1" customWidth="1"/>
    <col min="10279" max="10496" width="8.88671875" style="3"/>
    <col min="10497" max="10497" width="2.33203125" style="3" customWidth="1"/>
    <col min="10498" max="10498" width="10.88671875" style="3" bestFit="1" customWidth="1"/>
    <col min="10499" max="10499" width="9.44140625" style="3" customWidth="1"/>
    <col min="10500" max="10500" width="20.109375" style="3" customWidth="1"/>
    <col min="10501" max="10501" width="9.33203125" style="3" customWidth="1"/>
    <col min="10502" max="10502" width="8.5546875" style="3" customWidth="1"/>
    <col min="10503" max="10503" width="9.5546875" style="3" customWidth="1"/>
    <col min="10504" max="10507" width="8.5546875" style="3" customWidth="1"/>
    <col min="10508" max="10508" width="8.44140625" style="3" customWidth="1"/>
    <col min="10509" max="10510" width="10.33203125" style="3" customWidth="1"/>
    <col min="10511" max="10511" width="8.88671875" style="3"/>
    <col min="10512" max="10512" width="10.109375" style="3" customWidth="1"/>
    <col min="10513" max="10513" width="8.33203125" style="3" customWidth="1"/>
    <col min="10514" max="10514" width="9.88671875" style="3" customWidth="1"/>
    <col min="10515" max="10515" width="10.5546875" style="3" customWidth="1"/>
    <col min="10516" max="10516" width="12.109375" style="3" customWidth="1"/>
    <col min="10517" max="10517" width="10.6640625" style="3" customWidth="1"/>
    <col min="10518" max="10518" width="10.44140625" style="3" customWidth="1"/>
    <col min="10519" max="10519" width="10.88671875" style="3" customWidth="1"/>
    <col min="10520" max="10520" width="12" style="3" customWidth="1"/>
    <col min="10521" max="10521" width="10.44140625" style="3" customWidth="1"/>
    <col min="10522" max="10522" width="16.6640625" style="3" customWidth="1"/>
    <col min="10523" max="10526" width="15.33203125" style="3" customWidth="1"/>
    <col min="10527" max="10527" width="8.88671875" style="3"/>
    <col min="10528" max="10528" width="11.88671875" style="3" bestFit="1" customWidth="1"/>
    <col min="10529" max="10533" width="8.88671875" style="3"/>
    <col min="10534" max="10534" width="17.6640625" style="3" bestFit="1" customWidth="1"/>
    <col min="10535" max="10752" width="8.88671875" style="3"/>
    <col min="10753" max="10753" width="2.33203125" style="3" customWidth="1"/>
    <col min="10754" max="10754" width="10.88671875" style="3" bestFit="1" customWidth="1"/>
    <col min="10755" max="10755" width="9.44140625" style="3" customWidth="1"/>
    <col min="10756" max="10756" width="20.109375" style="3" customWidth="1"/>
    <col min="10757" max="10757" width="9.33203125" style="3" customWidth="1"/>
    <col min="10758" max="10758" width="8.5546875" style="3" customWidth="1"/>
    <col min="10759" max="10759" width="9.5546875" style="3" customWidth="1"/>
    <col min="10760" max="10763" width="8.5546875" style="3" customWidth="1"/>
    <col min="10764" max="10764" width="8.44140625" style="3" customWidth="1"/>
    <col min="10765" max="10766" width="10.33203125" style="3" customWidth="1"/>
    <col min="10767" max="10767" width="8.88671875" style="3"/>
    <col min="10768" max="10768" width="10.109375" style="3" customWidth="1"/>
    <col min="10769" max="10769" width="8.33203125" style="3" customWidth="1"/>
    <col min="10770" max="10770" width="9.88671875" style="3" customWidth="1"/>
    <col min="10771" max="10771" width="10.5546875" style="3" customWidth="1"/>
    <col min="10772" max="10772" width="12.109375" style="3" customWidth="1"/>
    <col min="10773" max="10773" width="10.6640625" style="3" customWidth="1"/>
    <col min="10774" max="10774" width="10.44140625" style="3" customWidth="1"/>
    <col min="10775" max="10775" width="10.88671875" style="3" customWidth="1"/>
    <col min="10776" max="10776" width="12" style="3" customWidth="1"/>
    <col min="10777" max="10777" width="10.44140625" style="3" customWidth="1"/>
    <col min="10778" max="10778" width="16.6640625" style="3" customWidth="1"/>
    <col min="10779" max="10782" width="15.33203125" style="3" customWidth="1"/>
    <col min="10783" max="10783" width="8.88671875" style="3"/>
    <col min="10784" max="10784" width="11.88671875" style="3" bestFit="1" customWidth="1"/>
    <col min="10785" max="10789" width="8.88671875" style="3"/>
    <col min="10790" max="10790" width="17.6640625" style="3" bestFit="1" customWidth="1"/>
    <col min="10791" max="11008" width="8.88671875" style="3"/>
    <col min="11009" max="11009" width="2.33203125" style="3" customWidth="1"/>
    <col min="11010" max="11010" width="10.88671875" style="3" bestFit="1" customWidth="1"/>
    <col min="11011" max="11011" width="9.44140625" style="3" customWidth="1"/>
    <col min="11012" max="11012" width="20.109375" style="3" customWidth="1"/>
    <col min="11013" max="11013" width="9.33203125" style="3" customWidth="1"/>
    <col min="11014" max="11014" width="8.5546875" style="3" customWidth="1"/>
    <col min="11015" max="11015" width="9.5546875" style="3" customWidth="1"/>
    <col min="11016" max="11019" width="8.5546875" style="3" customWidth="1"/>
    <col min="11020" max="11020" width="8.44140625" style="3" customWidth="1"/>
    <col min="11021" max="11022" width="10.33203125" style="3" customWidth="1"/>
    <col min="11023" max="11023" width="8.88671875" style="3"/>
    <col min="11024" max="11024" width="10.109375" style="3" customWidth="1"/>
    <col min="11025" max="11025" width="8.33203125" style="3" customWidth="1"/>
    <col min="11026" max="11026" width="9.88671875" style="3" customWidth="1"/>
    <col min="11027" max="11027" width="10.5546875" style="3" customWidth="1"/>
    <col min="11028" max="11028" width="12.109375" style="3" customWidth="1"/>
    <col min="11029" max="11029" width="10.6640625" style="3" customWidth="1"/>
    <col min="11030" max="11030" width="10.44140625" style="3" customWidth="1"/>
    <col min="11031" max="11031" width="10.88671875" style="3" customWidth="1"/>
    <col min="11032" max="11032" width="12" style="3" customWidth="1"/>
    <col min="11033" max="11033" width="10.44140625" style="3" customWidth="1"/>
    <col min="11034" max="11034" width="16.6640625" style="3" customWidth="1"/>
    <col min="11035" max="11038" width="15.33203125" style="3" customWidth="1"/>
    <col min="11039" max="11039" width="8.88671875" style="3"/>
    <col min="11040" max="11040" width="11.88671875" style="3" bestFit="1" customWidth="1"/>
    <col min="11041" max="11045" width="8.88671875" style="3"/>
    <col min="11046" max="11046" width="17.6640625" style="3" bestFit="1" customWidth="1"/>
    <col min="11047" max="11264" width="8.88671875" style="3"/>
    <col min="11265" max="11265" width="2.33203125" style="3" customWidth="1"/>
    <col min="11266" max="11266" width="10.88671875" style="3" bestFit="1" customWidth="1"/>
    <col min="11267" max="11267" width="9.44140625" style="3" customWidth="1"/>
    <col min="11268" max="11268" width="20.109375" style="3" customWidth="1"/>
    <col min="11269" max="11269" width="9.33203125" style="3" customWidth="1"/>
    <col min="11270" max="11270" width="8.5546875" style="3" customWidth="1"/>
    <col min="11271" max="11271" width="9.5546875" style="3" customWidth="1"/>
    <col min="11272" max="11275" width="8.5546875" style="3" customWidth="1"/>
    <col min="11276" max="11276" width="8.44140625" style="3" customWidth="1"/>
    <col min="11277" max="11278" width="10.33203125" style="3" customWidth="1"/>
    <col min="11279" max="11279" width="8.88671875" style="3"/>
    <col min="11280" max="11280" width="10.109375" style="3" customWidth="1"/>
    <col min="11281" max="11281" width="8.33203125" style="3" customWidth="1"/>
    <col min="11282" max="11282" width="9.88671875" style="3" customWidth="1"/>
    <col min="11283" max="11283" width="10.5546875" style="3" customWidth="1"/>
    <col min="11284" max="11284" width="12.109375" style="3" customWidth="1"/>
    <col min="11285" max="11285" width="10.6640625" style="3" customWidth="1"/>
    <col min="11286" max="11286" width="10.44140625" style="3" customWidth="1"/>
    <col min="11287" max="11287" width="10.88671875" style="3" customWidth="1"/>
    <col min="11288" max="11288" width="12" style="3" customWidth="1"/>
    <col min="11289" max="11289" width="10.44140625" style="3" customWidth="1"/>
    <col min="11290" max="11290" width="16.6640625" style="3" customWidth="1"/>
    <col min="11291" max="11294" width="15.33203125" style="3" customWidth="1"/>
    <col min="11295" max="11295" width="8.88671875" style="3"/>
    <col min="11296" max="11296" width="11.88671875" style="3" bestFit="1" customWidth="1"/>
    <col min="11297" max="11301" width="8.88671875" style="3"/>
    <col min="11302" max="11302" width="17.6640625" style="3" bestFit="1" customWidth="1"/>
    <col min="11303" max="11520" width="8.88671875" style="3"/>
    <col min="11521" max="11521" width="2.33203125" style="3" customWidth="1"/>
    <col min="11522" max="11522" width="10.88671875" style="3" bestFit="1" customWidth="1"/>
    <col min="11523" max="11523" width="9.44140625" style="3" customWidth="1"/>
    <col min="11524" max="11524" width="20.109375" style="3" customWidth="1"/>
    <col min="11525" max="11525" width="9.33203125" style="3" customWidth="1"/>
    <col min="11526" max="11526" width="8.5546875" style="3" customWidth="1"/>
    <col min="11527" max="11527" width="9.5546875" style="3" customWidth="1"/>
    <col min="11528" max="11531" width="8.5546875" style="3" customWidth="1"/>
    <col min="11532" max="11532" width="8.44140625" style="3" customWidth="1"/>
    <col min="11533" max="11534" width="10.33203125" style="3" customWidth="1"/>
    <col min="11535" max="11535" width="8.88671875" style="3"/>
    <col min="11536" max="11536" width="10.109375" style="3" customWidth="1"/>
    <col min="11537" max="11537" width="8.33203125" style="3" customWidth="1"/>
    <col min="11538" max="11538" width="9.88671875" style="3" customWidth="1"/>
    <col min="11539" max="11539" width="10.5546875" style="3" customWidth="1"/>
    <col min="11540" max="11540" width="12.109375" style="3" customWidth="1"/>
    <col min="11541" max="11541" width="10.6640625" style="3" customWidth="1"/>
    <col min="11542" max="11542" width="10.44140625" style="3" customWidth="1"/>
    <col min="11543" max="11543" width="10.88671875" style="3" customWidth="1"/>
    <col min="11544" max="11544" width="12" style="3" customWidth="1"/>
    <col min="11545" max="11545" width="10.44140625" style="3" customWidth="1"/>
    <col min="11546" max="11546" width="16.6640625" style="3" customWidth="1"/>
    <col min="11547" max="11550" width="15.33203125" style="3" customWidth="1"/>
    <col min="11551" max="11551" width="8.88671875" style="3"/>
    <col min="11552" max="11552" width="11.88671875" style="3" bestFit="1" customWidth="1"/>
    <col min="11553" max="11557" width="8.88671875" style="3"/>
    <col min="11558" max="11558" width="17.6640625" style="3" bestFit="1" customWidth="1"/>
    <col min="11559" max="11776" width="8.88671875" style="3"/>
    <col min="11777" max="11777" width="2.33203125" style="3" customWidth="1"/>
    <col min="11778" max="11778" width="10.88671875" style="3" bestFit="1" customWidth="1"/>
    <col min="11779" max="11779" width="9.44140625" style="3" customWidth="1"/>
    <col min="11780" max="11780" width="20.109375" style="3" customWidth="1"/>
    <col min="11781" max="11781" width="9.33203125" style="3" customWidth="1"/>
    <col min="11782" max="11782" width="8.5546875" style="3" customWidth="1"/>
    <col min="11783" max="11783" width="9.5546875" style="3" customWidth="1"/>
    <col min="11784" max="11787" width="8.5546875" style="3" customWidth="1"/>
    <col min="11788" max="11788" width="8.44140625" style="3" customWidth="1"/>
    <col min="11789" max="11790" width="10.33203125" style="3" customWidth="1"/>
    <col min="11791" max="11791" width="8.88671875" style="3"/>
    <col min="11792" max="11792" width="10.109375" style="3" customWidth="1"/>
    <col min="11793" max="11793" width="8.33203125" style="3" customWidth="1"/>
    <col min="11794" max="11794" width="9.88671875" style="3" customWidth="1"/>
    <col min="11795" max="11795" width="10.5546875" style="3" customWidth="1"/>
    <col min="11796" max="11796" width="12.109375" style="3" customWidth="1"/>
    <col min="11797" max="11797" width="10.6640625" style="3" customWidth="1"/>
    <col min="11798" max="11798" width="10.44140625" style="3" customWidth="1"/>
    <col min="11799" max="11799" width="10.88671875" style="3" customWidth="1"/>
    <col min="11800" max="11800" width="12" style="3" customWidth="1"/>
    <col min="11801" max="11801" width="10.44140625" style="3" customWidth="1"/>
    <col min="11802" max="11802" width="16.6640625" style="3" customWidth="1"/>
    <col min="11803" max="11806" width="15.33203125" style="3" customWidth="1"/>
    <col min="11807" max="11807" width="8.88671875" style="3"/>
    <col min="11808" max="11808" width="11.88671875" style="3" bestFit="1" customWidth="1"/>
    <col min="11809" max="11813" width="8.88671875" style="3"/>
    <col min="11814" max="11814" width="17.6640625" style="3" bestFit="1" customWidth="1"/>
    <col min="11815" max="12032" width="8.88671875" style="3"/>
    <col min="12033" max="12033" width="2.33203125" style="3" customWidth="1"/>
    <col min="12034" max="12034" width="10.88671875" style="3" bestFit="1" customWidth="1"/>
    <col min="12035" max="12035" width="9.44140625" style="3" customWidth="1"/>
    <col min="12036" max="12036" width="20.109375" style="3" customWidth="1"/>
    <col min="12037" max="12037" width="9.33203125" style="3" customWidth="1"/>
    <col min="12038" max="12038" width="8.5546875" style="3" customWidth="1"/>
    <col min="12039" max="12039" width="9.5546875" style="3" customWidth="1"/>
    <col min="12040" max="12043" width="8.5546875" style="3" customWidth="1"/>
    <col min="12044" max="12044" width="8.44140625" style="3" customWidth="1"/>
    <col min="12045" max="12046" width="10.33203125" style="3" customWidth="1"/>
    <col min="12047" max="12047" width="8.88671875" style="3"/>
    <col min="12048" max="12048" width="10.109375" style="3" customWidth="1"/>
    <col min="12049" max="12049" width="8.33203125" style="3" customWidth="1"/>
    <col min="12050" max="12050" width="9.88671875" style="3" customWidth="1"/>
    <col min="12051" max="12051" width="10.5546875" style="3" customWidth="1"/>
    <col min="12052" max="12052" width="12.109375" style="3" customWidth="1"/>
    <col min="12053" max="12053" width="10.6640625" style="3" customWidth="1"/>
    <col min="12054" max="12054" width="10.44140625" style="3" customWidth="1"/>
    <col min="12055" max="12055" width="10.88671875" style="3" customWidth="1"/>
    <col min="12056" max="12056" width="12" style="3" customWidth="1"/>
    <col min="12057" max="12057" width="10.44140625" style="3" customWidth="1"/>
    <col min="12058" max="12058" width="16.6640625" style="3" customWidth="1"/>
    <col min="12059" max="12062" width="15.33203125" style="3" customWidth="1"/>
    <col min="12063" max="12063" width="8.88671875" style="3"/>
    <col min="12064" max="12064" width="11.88671875" style="3" bestFit="1" customWidth="1"/>
    <col min="12065" max="12069" width="8.88671875" style="3"/>
    <col min="12070" max="12070" width="17.6640625" style="3" bestFit="1" customWidth="1"/>
    <col min="12071" max="12288" width="8.88671875" style="3"/>
    <col min="12289" max="12289" width="2.33203125" style="3" customWidth="1"/>
    <col min="12290" max="12290" width="10.88671875" style="3" bestFit="1" customWidth="1"/>
    <col min="12291" max="12291" width="9.44140625" style="3" customWidth="1"/>
    <col min="12292" max="12292" width="20.109375" style="3" customWidth="1"/>
    <col min="12293" max="12293" width="9.33203125" style="3" customWidth="1"/>
    <col min="12294" max="12294" width="8.5546875" style="3" customWidth="1"/>
    <col min="12295" max="12295" width="9.5546875" style="3" customWidth="1"/>
    <col min="12296" max="12299" width="8.5546875" style="3" customWidth="1"/>
    <col min="12300" max="12300" width="8.44140625" style="3" customWidth="1"/>
    <col min="12301" max="12302" width="10.33203125" style="3" customWidth="1"/>
    <col min="12303" max="12303" width="8.88671875" style="3"/>
    <col min="12304" max="12304" width="10.109375" style="3" customWidth="1"/>
    <col min="12305" max="12305" width="8.33203125" style="3" customWidth="1"/>
    <col min="12306" max="12306" width="9.88671875" style="3" customWidth="1"/>
    <col min="12307" max="12307" width="10.5546875" style="3" customWidth="1"/>
    <col min="12308" max="12308" width="12.109375" style="3" customWidth="1"/>
    <col min="12309" max="12309" width="10.6640625" style="3" customWidth="1"/>
    <col min="12310" max="12310" width="10.44140625" style="3" customWidth="1"/>
    <col min="12311" max="12311" width="10.88671875" style="3" customWidth="1"/>
    <col min="12312" max="12312" width="12" style="3" customWidth="1"/>
    <col min="12313" max="12313" width="10.44140625" style="3" customWidth="1"/>
    <col min="12314" max="12314" width="16.6640625" style="3" customWidth="1"/>
    <col min="12315" max="12318" width="15.33203125" style="3" customWidth="1"/>
    <col min="12319" max="12319" width="8.88671875" style="3"/>
    <col min="12320" max="12320" width="11.88671875" style="3" bestFit="1" customWidth="1"/>
    <col min="12321" max="12325" width="8.88671875" style="3"/>
    <col min="12326" max="12326" width="17.6640625" style="3" bestFit="1" customWidth="1"/>
    <col min="12327" max="12544" width="8.88671875" style="3"/>
    <col min="12545" max="12545" width="2.33203125" style="3" customWidth="1"/>
    <col min="12546" max="12546" width="10.88671875" style="3" bestFit="1" customWidth="1"/>
    <col min="12547" max="12547" width="9.44140625" style="3" customWidth="1"/>
    <col min="12548" max="12548" width="20.109375" style="3" customWidth="1"/>
    <col min="12549" max="12549" width="9.33203125" style="3" customWidth="1"/>
    <col min="12550" max="12550" width="8.5546875" style="3" customWidth="1"/>
    <col min="12551" max="12551" width="9.5546875" style="3" customWidth="1"/>
    <col min="12552" max="12555" width="8.5546875" style="3" customWidth="1"/>
    <col min="12556" max="12556" width="8.44140625" style="3" customWidth="1"/>
    <col min="12557" max="12558" width="10.33203125" style="3" customWidth="1"/>
    <col min="12559" max="12559" width="8.88671875" style="3"/>
    <col min="12560" max="12560" width="10.109375" style="3" customWidth="1"/>
    <col min="12561" max="12561" width="8.33203125" style="3" customWidth="1"/>
    <col min="12562" max="12562" width="9.88671875" style="3" customWidth="1"/>
    <col min="12563" max="12563" width="10.5546875" style="3" customWidth="1"/>
    <col min="12564" max="12564" width="12.109375" style="3" customWidth="1"/>
    <col min="12565" max="12565" width="10.6640625" style="3" customWidth="1"/>
    <col min="12566" max="12566" width="10.44140625" style="3" customWidth="1"/>
    <col min="12567" max="12567" width="10.88671875" style="3" customWidth="1"/>
    <col min="12568" max="12568" width="12" style="3" customWidth="1"/>
    <col min="12569" max="12569" width="10.44140625" style="3" customWidth="1"/>
    <col min="12570" max="12570" width="16.6640625" style="3" customWidth="1"/>
    <col min="12571" max="12574" width="15.33203125" style="3" customWidth="1"/>
    <col min="12575" max="12575" width="8.88671875" style="3"/>
    <col min="12576" max="12576" width="11.88671875" style="3" bestFit="1" customWidth="1"/>
    <col min="12577" max="12581" width="8.88671875" style="3"/>
    <col min="12582" max="12582" width="17.6640625" style="3" bestFit="1" customWidth="1"/>
    <col min="12583" max="12800" width="8.88671875" style="3"/>
    <col min="12801" max="12801" width="2.33203125" style="3" customWidth="1"/>
    <col min="12802" max="12802" width="10.88671875" style="3" bestFit="1" customWidth="1"/>
    <col min="12803" max="12803" width="9.44140625" style="3" customWidth="1"/>
    <col min="12804" max="12804" width="20.109375" style="3" customWidth="1"/>
    <col min="12805" max="12805" width="9.33203125" style="3" customWidth="1"/>
    <col min="12806" max="12806" width="8.5546875" style="3" customWidth="1"/>
    <col min="12807" max="12807" width="9.5546875" style="3" customWidth="1"/>
    <col min="12808" max="12811" width="8.5546875" style="3" customWidth="1"/>
    <col min="12812" max="12812" width="8.44140625" style="3" customWidth="1"/>
    <col min="12813" max="12814" width="10.33203125" style="3" customWidth="1"/>
    <col min="12815" max="12815" width="8.88671875" style="3"/>
    <col min="12816" max="12816" width="10.109375" style="3" customWidth="1"/>
    <col min="12817" max="12817" width="8.33203125" style="3" customWidth="1"/>
    <col min="12818" max="12818" width="9.88671875" style="3" customWidth="1"/>
    <col min="12819" max="12819" width="10.5546875" style="3" customWidth="1"/>
    <col min="12820" max="12820" width="12.109375" style="3" customWidth="1"/>
    <col min="12821" max="12821" width="10.6640625" style="3" customWidth="1"/>
    <col min="12822" max="12822" width="10.44140625" style="3" customWidth="1"/>
    <col min="12823" max="12823" width="10.88671875" style="3" customWidth="1"/>
    <col min="12824" max="12824" width="12" style="3" customWidth="1"/>
    <col min="12825" max="12825" width="10.44140625" style="3" customWidth="1"/>
    <col min="12826" max="12826" width="16.6640625" style="3" customWidth="1"/>
    <col min="12827" max="12830" width="15.33203125" style="3" customWidth="1"/>
    <col min="12831" max="12831" width="8.88671875" style="3"/>
    <col min="12832" max="12832" width="11.88671875" style="3" bestFit="1" customWidth="1"/>
    <col min="12833" max="12837" width="8.88671875" style="3"/>
    <col min="12838" max="12838" width="17.6640625" style="3" bestFit="1" customWidth="1"/>
    <col min="12839" max="13056" width="8.88671875" style="3"/>
    <col min="13057" max="13057" width="2.33203125" style="3" customWidth="1"/>
    <col min="13058" max="13058" width="10.88671875" style="3" bestFit="1" customWidth="1"/>
    <col min="13059" max="13059" width="9.44140625" style="3" customWidth="1"/>
    <col min="13060" max="13060" width="20.109375" style="3" customWidth="1"/>
    <col min="13061" max="13061" width="9.33203125" style="3" customWidth="1"/>
    <col min="13062" max="13062" width="8.5546875" style="3" customWidth="1"/>
    <col min="13063" max="13063" width="9.5546875" style="3" customWidth="1"/>
    <col min="13064" max="13067" width="8.5546875" style="3" customWidth="1"/>
    <col min="13068" max="13068" width="8.44140625" style="3" customWidth="1"/>
    <col min="13069" max="13070" width="10.33203125" style="3" customWidth="1"/>
    <col min="13071" max="13071" width="8.88671875" style="3"/>
    <col min="13072" max="13072" width="10.109375" style="3" customWidth="1"/>
    <col min="13073" max="13073" width="8.33203125" style="3" customWidth="1"/>
    <col min="13074" max="13074" width="9.88671875" style="3" customWidth="1"/>
    <col min="13075" max="13075" width="10.5546875" style="3" customWidth="1"/>
    <col min="13076" max="13076" width="12.109375" style="3" customWidth="1"/>
    <col min="13077" max="13077" width="10.6640625" style="3" customWidth="1"/>
    <col min="13078" max="13078" width="10.44140625" style="3" customWidth="1"/>
    <col min="13079" max="13079" width="10.88671875" style="3" customWidth="1"/>
    <col min="13080" max="13080" width="12" style="3" customWidth="1"/>
    <col min="13081" max="13081" width="10.44140625" style="3" customWidth="1"/>
    <col min="13082" max="13082" width="16.6640625" style="3" customWidth="1"/>
    <col min="13083" max="13086" width="15.33203125" style="3" customWidth="1"/>
    <col min="13087" max="13087" width="8.88671875" style="3"/>
    <col min="13088" max="13088" width="11.88671875" style="3" bestFit="1" customWidth="1"/>
    <col min="13089" max="13093" width="8.88671875" style="3"/>
    <col min="13094" max="13094" width="17.6640625" style="3" bestFit="1" customWidth="1"/>
    <col min="13095" max="13312" width="8.88671875" style="3"/>
    <col min="13313" max="13313" width="2.33203125" style="3" customWidth="1"/>
    <col min="13314" max="13314" width="10.88671875" style="3" bestFit="1" customWidth="1"/>
    <col min="13315" max="13315" width="9.44140625" style="3" customWidth="1"/>
    <col min="13316" max="13316" width="20.109375" style="3" customWidth="1"/>
    <col min="13317" max="13317" width="9.33203125" style="3" customWidth="1"/>
    <col min="13318" max="13318" width="8.5546875" style="3" customWidth="1"/>
    <col min="13319" max="13319" width="9.5546875" style="3" customWidth="1"/>
    <col min="13320" max="13323" width="8.5546875" style="3" customWidth="1"/>
    <col min="13324" max="13324" width="8.44140625" style="3" customWidth="1"/>
    <col min="13325" max="13326" width="10.33203125" style="3" customWidth="1"/>
    <col min="13327" max="13327" width="8.88671875" style="3"/>
    <col min="13328" max="13328" width="10.109375" style="3" customWidth="1"/>
    <col min="13329" max="13329" width="8.33203125" style="3" customWidth="1"/>
    <col min="13330" max="13330" width="9.88671875" style="3" customWidth="1"/>
    <col min="13331" max="13331" width="10.5546875" style="3" customWidth="1"/>
    <col min="13332" max="13332" width="12.109375" style="3" customWidth="1"/>
    <col min="13333" max="13333" width="10.6640625" style="3" customWidth="1"/>
    <col min="13334" max="13334" width="10.44140625" style="3" customWidth="1"/>
    <col min="13335" max="13335" width="10.88671875" style="3" customWidth="1"/>
    <col min="13336" max="13336" width="12" style="3" customWidth="1"/>
    <col min="13337" max="13337" width="10.44140625" style="3" customWidth="1"/>
    <col min="13338" max="13338" width="16.6640625" style="3" customWidth="1"/>
    <col min="13339" max="13342" width="15.33203125" style="3" customWidth="1"/>
    <col min="13343" max="13343" width="8.88671875" style="3"/>
    <col min="13344" max="13344" width="11.88671875" style="3" bestFit="1" customWidth="1"/>
    <col min="13345" max="13349" width="8.88671875" style="3"/>
    <col min="13350" max="13350" width="17.6640625" style="3" bestFit="1" customWidth="1"/>
    <col min="13351" max="13568" width="8.88671875" style="3"/>
    <col min="13569" max="13569" width="2.33203125" style="3" customWidth="1"/>
    <col min="13570" max="13570" width="10.88671875" style="3" bestFit="1" customWidth="1"/>
    <col min="13571" max="13571" width="9.44140625" style="3" customWidth="1"/>
    <col min="13572" max="13572" width="20.109375" style="3" customWidth="1"/>
    <col min="13573" max="13573" width="9.33203125" style="3" customWidth="1"/>
    <col min="13574" max="13574" width="8.5546875" style="3" customWidth="1"/>
    <col min="13575" max="13575" width="9.5546875" style="3" customWidth="1"/>
    <col min="13576" max="13579" width="8.5546875" style="3" customWidth="1"/>
    <col min="13580" max="13580" width="8.44140625" style="3" customWidth="1"/>
    <col min="13581" max="13582" width="10.33203125" style="3" customWidth="1"/>
    <col min="13583" max="13583" width="8.88671875" style="3"/>
    <col min="13584" max="13584" width="10.109375" style="3" customWidth="1"/>
    <col min="13585" max="13585" width="8.33203125" style="3" customWidth="1"/>
    <col min="13586" max="13586" width="9.88671875" style="3" customWidth="1"/>
    <col min="13587" max="13587" width="10.5546875" style="3" customWidth="1"/>
    <col min="13588" max="13588" width="12.109375" style="3" customWidth="1"/>
    <col min="13589" max="13589" width="10.6640625" style="3" customWidth="1"/>
    <col min="13590" max="13590" width="10.44140625" style="3" customWidth="1"/>
    <col min="13591" max="13591" width="10.88671875" style="3" customWidth="1"/>
    <col min="13592" max="13592" width="12" style="3" customWidth="1"/>
    <col min="13593" max="13593" width="10.44140625" style="3" customWidth="1"/>
    <col min="13594" max="13594" width="16.6640625" style="3" customWidth="1"/>
    <col min="13595" max="13598" width="15.33203125" style="3" customWidth="1"/>
    <col min="13599" max="13599" width="8.88671875" style="3"/>
    <col min="13600" max="13600" width="11.88671875" style="3" bestFit="1" customWidth="1"/>
    <col min="13601" max="13605" width="8.88671875" style="3"/>
    <col min="13606" max="13606" width="17.6640625" style="3" bestFit="1" customWidth="1"/>
    <col min="13607" max="13824" width="8.88671875" style="3"/>
    <col min="13825" max="13825" width="2.33203125" style="3" customWidth="1"/>
    <col min="13826" max="13826" width="10.88671875" style="3" bestFit="1" customWidth="1"/>
    <col min="13827" max="13827" width="9.44140625" style="3" customWidth="1"/>
    <col min="13828" max="13828" width="20.109375" style="3" customWidth="1"/>
    <col min="13829" max="13829" width="9.33203125" style="3" customWidth="1"/>
    <col min="13830" max="13830" width="8.5546875" style="3" customWidth="1"/>
    <col min="13831" max="13831" width="9.5546875" style="3" customWidth="1"/>
    <col min="13832" max="13835" width="8.5546875" style="3" customWidth="1"/>
    <col min="13836" max="13836" width="8.44140625" style="3" customWidth="1"/>
    <col min="13837" max="13838" width="10.33203125" style="3" customWidth="1"/>
    <col min="13839" max="13839" width="8.88671875" style="3"/>
    <col min="13840" max="13840" width="10.109375" style="3" customWidth="1"/>
    <col min="13841" max="13841" width="8.33203125" style="3" customWidth="1"/>
    <col min="13842" max="13842" width="9.88671875" style="3" customWidth="1"/>
    <col min="13843" max="13843" width="10.5546875" style="3" customWidth="1"/>
    <col min="13844" max="13844" width="12.109375" style="3" customWidth="1"/>
    <col min="13845" max="13845" width="10.6640625" style="3" customWidth="1"/>
    <col min="13846" max="13846" width="10.44140625" style="3" customWidth="1"/>
    <col min="13847" max="13847" width="10.88671875" style="3" customWidth="1"/>
    <col min="13848" max="13848" width="12" style="3" customWidth="1"/>
    <col min="13849" max="13849" width="10.44140625" style="3" customWidth="1"/>
    <col min="13850" max="13850" width="16.6640625" style="3" customWidth="1"/>
    <col min="13851" max="13854" width="15.33203125" style="3" customWidth="1"/>
    <col min="13855" max="13855" width="8.88671875" style="3"/>
    <col min="13856" max="13856" width="11.88671875" style="3" bestFit="1" customWidth="1"/>
    <col min="13857" max="13861" width="8.88671875" style="3"/>
    <col min="13862" max="13862" width="17.6640625" style="3" bestFit="1" customWidth="1"/>
    <col min="13863" max="14080" width="8.88671875" style="3"/>
    <col min="14081" max="14081" width="2.33203125" style="3" customWidth="1"/>
    <col min="14082" max="14082" width="10.88671875" style="3" bestFit="1" customWidth="1"/>
    <col min="14083" max="14083" width="9.44140625" style="3" customWidth="1"/>
    <col min="14084" max="14084" width="20.109375" style="3" customWidth="1"/>
    <col min="14085" max="14085" width="9.33203125" style="3" customWidth="1"/>
    <col min="14086" max="14086" width="8.5546875" style="3" customWidth="1"/>
    <col min="14087" max="14087" width="9.5546875" style="3" customWidth="1"/>
    <col min="14088" max="14091" width="8.5546875" style="3" customWidth="1"/>
    <col min="14092" max="14092" width="8.44140625" style="3" customWidth="1"/>
    <col min="14093" max="14094" width="10.33203125" style="3" customWidth="1"/>
    <col min="14095" max="14095" width="8.88671875" style="3"/>
    <col min="14096" max="14096" width="10.109375" style="3" customWidth="1"/>
    <col min="14097" max="14097" width="8.33203125" style="3" customWidth="1"/>
    <col min="14098" max="14098" width="9.88671875" style="3" customWidth="1"/>
    <col min="14099" max="14099" width="10.5546875" style="3" customWidth="1"/>
    <col min="14100" max="14100" width="12.109375" style="3" customWidth="1"/>
    <col min="14101" max="14101" width="10.6640625" style="3" customWidth="1"/>
    <col min="14102" max="14102" width="10.44140625" style="3" customWidth="1"/>
    <col min="14103" max="14103" width="10.88671875" style="3" customWidth="1"/>
    <col min="14104" max="14104" width="12" style="3" customWidth="1"/>
    <col min="14105" max="14105" width="10.44140625" style="3" customWidth="1"/>
    <col min="14106" max="14106" width="16.6640625" style="3" customWidth="1"/>
    <col min="14107" max="14110" width="15.33203125" style="3" customWidth="1"/>
    <col min="14111" max="14111" width="8.88671875" style="3"/>
    <col min="14112" max="14112" width="11.88671875" style="3" bestFit="1" customWidth="1"/>
    <col min="14113" max="14117" width="8.88671875" style="3"/>
    <col min="14118" max="14118" width="17.6640625" style="3" bestFit="1" customWidth="1"/>
    <col min="14119" max="14336" width="8.88671875" style="3"/>
    <col min="14337" max="14337" width="2.33203125" style="3" customWidth="1"/>
    <col min="14338" max="14338" width="10.88671875" style="3" bestFit="1" customWidth="1"/>
    <col min="14339" max="14339" width="9.44140625" style="3" customWidth="1"/>
    <col min="14340" max="14340" width="20.109375" style="3" customWidth="1"/>
    <col min="14341" max="14341" width="9.33203125" style="3" customWidth="1"/>
    <col min="14342" max="14342" width="8.5546875" style="3" customWidth="1"/>
    <col min="14343" max="14343" width="9.5546875" style="3" customWidth="1"/>
    <col min="14344" max="14347" width="8.5546875" style="3" customWidth="1"/>
    <col min="14348" max="14348" width="8.44140625" style="3" customWidth="1"/>
    <col min="14349" max="14350" width="10.33203125" style="3" customWidth="1"/>
    <col min="14351" max="14351" width="8.88671875" style="3"/>
    <col min="14352" max="14352" width="10.109375" style="3" customWidth="1"/>
    <col min="14353" max="14353" width="8.33203125" style="3" customWidth="1"/>
    <col min="14354" max="14354" width="9.88671875" style="3" customWidth="1"/>
    <col min="14355" max="14355" width="10.5546875" style="3" customWidth="1"/>
    <col min="14356" max="14356" width="12.109375" style="3" customWidth="1"/>
    <col min="14357" max="14357" width="10.6640625" style="3" customWidth="1"/>
    <col min="14358" max="14358" width="10.44140625" style="3" customWidth="1"/>
    <col min="14359" max="14359" width="10.88671875" style="3" customWidth="1"/>
    <col min="14360" max="14360" width="12" style="3" customWidth="1"/>
    <col min="14361" max="14361" width="10.44140625" style="3" customWidth="1"/>
    <col min="14362" max="14362" width="16.6640625" style="3" customWidth="1"/>
    <col min="14363" max="14366" width="15.33203125" style="3" customWidth="1"/>
    <col min="14367" max="14367" width="8.88671875" style="3"/>
    <col min="14368" max="14368" width="11.88671875" style="3" bestFit="1" customWidth="1"/>
    <col min="14369" max="14373" width="8.88671875" style="3"/>
    <col min="14374" max="14374" width="17.6640625" style="3" bestFit="1" customWidth="1"/>
    <col min="14375" max="14592" width="8.88671875" style="3"/>
    <col min="14593" max="14593" width="2.33203125" style="3" customWidth="1"/>
    <col min="14594" max="14594" width="10.88671875" style="3" bestFit="1" customWidth="1"/>
    <col min="14595" max="14595" width="9.44140625" style="3" customWidth="1"/>
    <col min="14596" max="14596" width="20.109375" style="3" customWidth="1"/>
    <col min="14597" max="14597" width="9.33203125" style="3" customWidth="1"/>
    <col min="14598" max="14598" width="8.5546875" style="3" customWidth="1"/>
    <col min="14599" max="14599" width="9.5546875" style="3" customWidth="1"/>
    <col min="14600" max="14603" width="8.5546875" style="3" customWidth="1"/>
    <col min="14604" max="14604" width="8.44140625" style="3" customWidth="1"/>
    <col min="14605" max="14606" width="10.33203125" style="3" customWidth="1"/>
    <col min="14607" max="14607" width="8.88671875" style="3"/>
    <col min="14608" max="14608" width="10.109375" style="3" customWidth="1"/>
    <col min="14609" max="14609" width="8.33203125" style="3" customWidth="1"/>
    <col min="14610" max="14610" width="9.88671875" style="3" customWidth="1"/>
    <col min="14611" max="14611" width="10.5546875" style="3" customWidth="1"/>
    <col min="14612" max="14612" width="12.109375" style="3" customWidth="1"/>
    <col min="14613" max="14613" width="10.6640625" style="3" customWidth="1"/>
    <col min="14614" max="14614" width="10.44140625" style="3" customWidth="1"/>
    <col min="14615" max="14615" width="10.88671875" style="3" customWidth="1"/>
    <col min="14616" max="14616" width="12" style="3" customWidth="1"/>
    <col min="14617" max="14617" width="10.44140625" style="3" customWidth="1"/>
    <col min="14618" max="14618" width="16.6640625" style="3" customWidth="1"/>
    <col min="14619" max="14622" width="15.33203125" style="3" customWidth="1"/>
    <col min="14623" max="14623" width="8.88671875" style="3"/>
    <col min="14624" max="14624" width="11.88671875" style="3" bestFit="1" customWidth="1"/>
    <col min="14625" max="14629" width="8.88671875" style="3"/>
    <col min="14630" max="14630" width="17.6640625" style="3" bestFit="1" customWidth="1"/>
    <col min="14631" max="14848" width="8.88671875" style="3"/>
    <col min="14849" max="14849" width="2.33203125" style="3" customWidth="1"/>
    <col min="14850" max="14850" width="10.88671875" style="3" bestFit="1" customWidth="1"/>
    <col min="14851" max="14851" width="9.44140625" style="3" customWidth="1"/>
    <col min="14852" max="14852" width="20.109375" style="3" customWidth="1"/>
    <col min="14853" max="14853" width="9.33203125" style="3" customWidth="1"/>
    <col min="14854" max="14854" width="8.5546875" style="3" customWidth="1"/>
    <col min="14855" max="14855" width="9.5546875" style="3" customWidth="1"/>
    <col min="14856" max="14859" width="8.5546875" style="3" customWidth="1"/>
    <col min="14860" max="14860" width="8.44140625" style="3" customWidth="1"/>
    <col min="14861" max="14862" width="10.33203125" style="3" customWidth="1"/>
    <col min="14863" max="14863" width="8.88671875" style="3"/>
    <col min="14864" max="14864" width="10.109375" style="3" customWidth="1"/>
    <col min="14865" max="14865" width="8.33203125" style="3" customWidth="1"/>
    <col min="14866" max="14866" width="9.88671875" style="3" customWidth="1"/>
    <col min="14867" max="14867" width="10.5546875" style="3" customWidth="1"/>
    <col min="14868" max="14868" width="12.109375" style="3" customWidth="1"/>
    <col min="14869" max="14869" width="10.6640625" style="3" customWidth="1"/>
    <col min="14870" max="14870" width="10.44140625" style="3" customWidth="1"/>
    <col min="14871" max="14871" width="10.88671875" style="3" customWidth="1"/>
    <col min="14872" max="14872" width="12" style="3" customWidth="1"/>
    <col min="14873" max="14873" width="10.44140625" style="3" customWidth="1"/>
    <col min="14874" max="14874" width="16.6640625" style="3" customWidth="1"/>
    <col min="14875" max="14878" width="15.33203125" style="3" customWidth="1"/>
    <col min="14879" max="14879" width="8.88671875" style="3"/>
    <col min="14880" max="14880" width="11.88671875" style="3" bestFit="1" customWidth="1"/>
    <col min="14881" max="14885" width="8.88671875" style="3"/>
    <col min="14886" max="14886" width="17.6640625" style="3" bestFit="1" customWidth="1"/>
    <col min="14887" max="15104" width="8.88671875" style="3"/>
    <col min="15105" max="15105" width="2.33203125" style="3" customWidth="1"/>
    <col min="15106" max="15106" width="10.88671875" style="3" bestFit="1" customWidth="1"/>
    <col min="15107" max="15107" width="9.44140625" style="3" customWidth="1"/>
    <col min="15108" max="15108" width="20.109375" style="3" customWidth="1"/>
    <col min="15109" max="15109" width="9.33203125" style="3" customWidth="1"/>
    <col min="15110" max="15110" width="8.5546875" style="3" customWidth="1"/>
    <col min="15111" max="15111" width="9.5546875" style="3" customWidth="1"/>
    <col min="15112" max="15115" width="8.5546875" style="3" customWidth="1"/>
    <col min="15116" max="15116" width="8.44140625" style="3" customWidth="1"/>
    <col min="15117" max="15118" width="10.33203125" style="3" customWidth="1"/>
    <col min="15119" max="15119" width="8.88671875" style="3"/>
    <col min="15120" max="15120" width="10.109375" style="3" customWidth="1"/>
    <col min="15121" max="15121" width="8.33203125" style="3" customWidth="1"/>
    <col min="15122" max="15122" width="9.88671875" style="3" customWidth="1"/>
    <col min="15123" max="15123" width="10.5546875" style="3" customWidth="1"/>
    <col min="15124" max="15124" width="12.109375" style="3" customWidth="1"/>
    <col min="15125" max="15125" width="10.6640625" style="3" customWidth="1"/>
    <col min="15126" max="15126" width="10.44140625" style="3" customWidth="1"/>
    <col min="15127" max="15127" width="10.88671875" style="3" customWidth="1"/>
    <col min="15128" max="15128" width="12" style="3" customWidth="1"/>
    <col min="15129" max="15129" width="10.44140625" style="3" customWidth="1"/>
    <col min="15130" max="15130" width="16.6640625" style="3" customWidth="1"/>
    <col min="15131" max="15134" width="15.33203125" style="3" customWidth="1"/>
    <col min="15135" max="15135" width="8.88671875" style="3"/>
    <col min="15136" max="15136" width="11.88671875" style="3" bestFit="1" customWidth="1"/>
    <col min="15137" max="15141" width="8.88671875" style="3"/>
    <col min="15142" max="15142" width="17.6640625" style="3" bestFit="1" customWidth="1"/>
    <col min="15143" max="15360" width="8.88671875" style="3"/>
    <col min="15361" max="15361" width="2.33203125" style="3" customWidth="1"/>
    <col min="15362" max="15362" width="10.88671875" style="3" bestFit="1" customWidth="1"/>
    <col min="15363" max="15363" width="9.44140625" style="3" customWidth="1"/>
    <col min="15364" max="15364" width="20.109375" style="3" customWidth="1"/>
    <col min="15365" max="15365" width="9.33203125" style="3" customWidth="1"/>
    <col min="15366" max="15366" width="8.5546875" style="3" customWidth="1"/>
    <col min="15367" max="15367" width="9.5546875" style="3" customWidth="1"/>
    <col min="15368" max="15371" width="8.5546875" style="3" customWidth="1"/>
    <col min="15372" max="15372" width="8.44140625" style="3" customWidth="1"/>
    <col min="15373" max="15374" width="10.33203125" style="3" customWidth="1"/>
    <col min="15375" max="15375" width="8.88671875" style="3"/>
    <col min="15376" max="15376" width="10.109375" style="3" customWidth="1"/>
    <col min="15377" max="15377" width="8.33203125" style="3" customWidth="1"/>
    <col min="15378" max="15378" width="9.88671875" style="3" customWidth="1"/>
    <col min="15379" max="15379" width="10.5546875" style="3" customWidth="1"/>
    <col min="15380" max="15380" width="12.109375" style="3" customWidth="1"/>
    <col min="15381" max="15381" width="10.6640625" style="3" customWidth="1"/>
    <col min="15382" max="15382" width="10.44140625" style="3" customWidth="1"/>
    <col min="15383" max="15383" width="10.88671875" style="3" customWidth="1"/>
    <col min="15384" max="15384" width="12" style="3" customWidth="1"/>
    <col min="15385" max="15385" width="10.44140625" style="3" customWidth="1"/>
    <col min="15386" max="15386" width="16.6640625" style="3" customWidth="1"/>
    <col min="15387" max="15390" width="15.33203125" style="3" customWidth="1"/>
    <col min="15391" max="15391" width="8.88671875" style="3"/>
    <col min="15392" max="15392" width="11.88671875" style="3" bestFit="1" customWidth="1"/>
    <col min="15393" max="15397" width="8.88671875" style="3"/>
    <col min="15398" max="15398" width="17.6640625" style="3" bestFit="1" customWidth="1"/>
    <col min="15399" max="15616" width="8.88671875" style="3"/>
    <col min="15617" max="15617" width="2.33203125" style="3" customWidth="1"/>
    <col min="15618" max="15618" width="10.88671875" style="3" bestFit="1" customWidth="1"/>
    <col min="15619" max="15619" width="9.44140625" style="3" customWidth="1"/>
    <col min="15620" max="15620" width="20.109375" style="3" customWidth="1"/>
    <col min="15621" max="15621" width="9.33203125" style="3" customWidth="1"/>
    <col min="15622" max="15622" width="8.5546875" style="3" customWidth="1"/>
    <col min="15623" max="15623" width="9.5546875" style="3" customWidth="1"/>
    <col min="15624" max="15627" width="8.5546875" style="3" customWidth="1"/>
    <col min="15628" max="15628" width="8.44140625" style="3" customWidth="1"/>
    <col min="15629" max="15630" width="10.33203125" style="3" customWidth="1"/>
    <col min="15631" max="15631" width="8.88671875" style="3"/>
    <col min="15632" max="15632" width="10.109375" style="3" customWidth="1"/>
    <col min="15633" max="15633" width="8.33203125" style="3" customWidth="1"/>
    <col min="15634" max="15634" width="9.88671875" style="3" customWidth="1"/>
    <col min="15635" max="15635" width="10.5546875" style="3" customWidth="1"/>
    <col min="15636" max="15636" width="12.109375" style="3" customWidth="1"/>
    <col min="15637" max="15637" width="10.6640625" style="3" customWidth="1"/>
    <col min="15638" max="15638" width="10.44140625" style="3" customWidth="1"/>
    <col min="15639" max="15639" width="10.88671875" style="3" customWidth="1"/>
    <col min="15640" max="15640" width="12" style="3" customWidth="1"/>
    <col min="15641" max="15641" width="10.44140625" style="3" customWidth="1"/>
    <col min="15642" max="15642" width="16.6640625" style="3" customWidth="1"/>
    <col min="15643" max="15646" width="15.33203125" style="3" customWidth="1"/>
    <col min="15647" max="15647" width="8.88671875" style="3"/>
    <col min="15648" max="15648" width="11.88671875" style="3" bestFit="1" customWidth="1"/>
    <col min="15649" max="15653" width="8.88671875" style="3"/>
    <col min="15654" max="15654" width="17.6640625" style="3" bestFit="1" customWidth="1"/>
    <col min="15655" max="15872" width="8.88671875" style="3"/>
    <col min="15873" max="15873" width="2.33203125" style="3" customWidth="1"/>
    <col min="15874" max="15874" width="10.88671875" style="3" bestFit="1" customWidth="1"/>
    <col min="15875" max="15875" width="9.44140625" style="3" customWidth="1"/>
    <col min="15876" max="15876" width="20.109375" style="3" customWidth="1"/>
    <col min="15877" max="15877" width="9.33203125" style="3" customWidth="1"/>
    <col min="15878" max="15878" width="8.5546875" style="3" customWidth="1"/>
    <col min="15879" max="15879" width="9.5546875" style="3" customWidth="1"/>
    <col min="15880" max="15883" width="8.5546875" style="3" customWidth="1"/>
    <col min="15884" max="15884" width="8.44140625" style="3" customWidth="1"/>
    <col min="15885" max="15886" width="10.33203125" style="3" customWidth="1"/>
    <col min="15887" max="15887" width="8.88671875" style="3"/>
    <col min="15888" max="15888" width="10.109375" style="3" customWidth="1"/>
    <col min="15889" max="15889" width="8.33203125" style="3" customWidth="1"/>
    <col min="15890" max="15890" width="9.88671875" style="3" customWidth="1"/>
    <col min="15891" max="15891" width="10.5546875" style="3" customWidth="1"/>
    <col min="15892" max="15892" width="12.109375" style="3" customWidth="1"/>
    <col min="15893" max="15893" width="10.6640625" style="3" customWidth="1"/>
    <col min="15894" max="15894" width="10.44140625" style="3" customWidth="1"/>
    <col min="15895" max="15895" width="10.88671875" style="3" customWidth="1"/>
    <col min="15896" max="15896" width="12" style="3" customWidth="1"/>
    <col min="15897" max="15897" width="10.44140625" style="3" customWidth="1"/>
    <col min="15898" max="15898" width="16.6640625" style="3" customWidth="1"/>
    <col min="15899" max="15902" width="15.33203125" style="3" customWidth="1"/>
    <col min="15903" max="15903" width="8.88671875" style="3"/>
    <col min="15904" max="15904" width="11.88671875" style="3" bestFit="1" customWidth="1"/>
    <col min="15905" max="15909" width="8.88671875" style="3"/>
    <col min="15910" max="15910" width="17.6640625" style="3" bestFit="1" customWidth="1"/>
    <col min="15911" max="16128" width="8.88671875" style="3"/>
    <col min="16129" max="16129" width="2.33203125" style="3" customWidth="1"/>
    <col min="16130" max="16130" width="10.88671875" style="3" bestFit="1" customWidth="1"/>
    <col min="16131" max="16131" width="9.44140625" style="3" customWidth="1"/>
    <col min="16132" max="16132" width="20.109375" style="3" customWidth="1"/>
    <col min="16133" max="16133" width="9.33203125" style="3" customWidth="1"/>
    <col min="16134" max="16134" width="8.5546875" style="3" customWidth="1"/>
    <col min="16135" max="16135" width="9.5546875" style="3" customWidth="1"/>
    <col min="16136" max="16139" width="8.5546875" style="3" customWidth="1"/>
    <col min="16140" max="16140" width="8.44140625" style="3" customWidth="1"/>
    <col min="16141" max="16142" width="10.33203125" style="3" customWidth="1"/>
    <col min="16143" max="16143" width="8.88671875" style="3"/>
    <col min="16144" max="16144" width="10.109375" style="3" customWidth="1"/>
    <col min="16145" max="16145" width="8.33203125" style="3" customWidth="1"/>
    <col min="16146" max="16146" width="9.88671875" style="3" customWidth="1"/>
    <col min="16147" max="16147" width="10.5546875" style="3" customWidth="1"/>
    <col min="16148" max="16148" width="12.109375" style="3" customWidth="1"/>
    <col min="16149" max="16149" width="10.6640625" style="3" customWidth="1"/>
    <col min="16150" max="16150" width="10.44140625" style="3" customWidth="1"/>
    <col min="16151" max="16151" width="10.88671875" style="3" customWidth="1"/>
    <col min="16152" max="16152" width="12" style="3" customWidth="1"/>
    <col min="16153" max="16153" width="10.44140625" style="3" customWidth="1"/>
    <col min="16154" max="16154" width="16.6640625" style="3" customWidth="1"/>
    <col min="16155" max="16158" width="15.33203125" style="3" customWidth="1"/>
    <col min="16159" max="16159" width="8.88671875" style="3"/>
    <col min="16160" max="16160" width="11.88671875" style="3" bestFit="1" customWidth="1"/>
    <col min="16161" max="16165" width="8.88671875" style="3"/>
    <col min="16166" max="16166" width="17.6640625" style="3" bestFit="1" customWidth="1"/>
    <col min="16167" max="16384" width="8.88671875" style="3"/>
  </cols>
  <sheetData>
    <row r="1" spans="2:42" s="15" customFormat="1" ht="15.6" x14ac:dyDescent="0.3">
      <c r="D1" s="33">
        <v>1</v>
      </c>
      <c r="E1" s="33">
        <v>2</v>
      </c>
      <c r="F1" s="33">
        <v>3</v>
      </c>
      <c r="G1" s="33">
        <v>4</v>
      </c>
      <c r="H1" s="33">
        <v>5</v>
      </c>
      <c r="I1" s="33">
        <v>6</v>
      </c>
      <c r="J1" s="33">
        <v>7</v>
      </c>
      <c r="K1" s="33">
        <v>8</v>
      </c>
      <c r="L1" s="33">
        <v>9</v>
      </c>
      <c r="M1" s="33">
        <v>10</v>
      </c>
      <c r="N1" s="33">
        <v>11</v>
      </c>
      <c r="O1" s="33">
        <v>12</v>
      </c>
      <c r="P1" s="33">
        <v>13</v>
      </c>
      <c r="Q1" s="33">
        <v>14</v>
      </c>
      <c r="R1" s="33">
        <v>15</v>
      </c>
      <c r="S1" s="33">
        <v>16</v>
      </c>
      <c r="T1" s="33">
        <v>17</v>
      </c>
      <c r="U1" s="33">
        <v>18</v>
      </c>
      <c r="V1" s="33">
        <v>19</v>
      </c>
      <c r="W1" s="33">
        <v>20</v>
      </c>
      <c r="X1" s="33">
        <v>21</v>
      </c>
      <c r="Y1" s="33">
        <v>22</v>
      </c>
      <c r="Z1" s="33">
        <v>23</v>
      </c>
      <c r="AA1" s="33">
        <v>24</v>
      </c>
      <c r="AB1" s="33">
        <v>25</v>
      </c>
      <c r="AC1" s="33">
        <v>26</v>
      </c>
      <c r="AD1" s="33">
        <v>27</v>
      </c>
      <c r="AE1" s="33">
        <v>28</v>
      </c>
      <c r="AF1" s="33">
        <v>29</v>
      </c>
      <c r="AG1" s="33">
        <v>30</v>
      </c>
      <c r="AH1" s="33">
        <v>31</v>
      </c>
      <c r="AI1" s="33">
        <v>32</v>
      </c>
      <c r="AJ1" s="33">
        <v>33</v>
      </c>
      <c r="AK1" s="33">
        <v>34</v>
      </c>
      <c r="AL1" s="33">
        <v>35</v>
      </c>
      <c r="AM1" s="33">
        <v>36</v>
      </c>
      <c r="AN1" s="33">
        <v>37</v>
      </c>
      <c r="AO1" s="33">
        <v>38</v>
      </c>
      <c r="AP1" s="33">
        <v>39</v>
      </c>
    </row>
    <row r="2" spans="2:42" s="17" customFormat="1" ht="62.4" x14ac:dyDescent="0.35">
      <c r="B2" s="23" t="s">
        <v>1397</v>
      </c>
      <c r="C2" s="23" t="s">
        <v>153</v>
      </c>
      <c r="D2" s="23" t="s">
        <v>154</v>
      </c>
      <c r="E2" s="24" t="s">
        <v>155</v>
      </c>
      <c r="F2" s="24" t="s">
        <v>156</v>
      </c>
      <c r="G2" s="24" t="s">
        <v>157</v>
      </c>
      <c r="H2" s="24" t="s">
        <v>158</v>
      </c>
      <c r="I2" s="25" t="s">
        <v>159</v>
      </c>
      <c r="J2" s="25" t="s">
        <v>160</v>
      </c>
      <c r="K2" s="25" t="s">
        <v>161</v>
      </c>
      <c r="L2" s="26" t="s">
        <v>162</v>
      </c>
      <c r="M2" s="26" t="s">
        <v>163</v>
      </c>
      <c r="N2" s="26" t="s">
        <v>164</v>
      </c>
      <c r="O2" s="26" t="s">
        <v>165</v>
      </c>
      <c r="P2" s="7" t="s">
        <v>166</v>
      </c>
      <c r="Q2" s="27" t="s">
        <v>167</v>
      </c>
      <c r="R2" s="27" t="s">
        <v>168</v>
      </c>
      <c r="S2" s="27" t="s">
        <v>169</v>
      </c>
      <c r="T2" s="27" t="s">
        <v>170</v>
      </c>
      <c r="U2" s="7" t="s">
        <v>171</v>
      </c>
      <c r="V2" s="7" t="s">
        <v>172</v>
      </c>
      <c r="W2" s="7" t="s">
        <v>123</v>
      </c>
      <c r="X2" s="7" t="s">
        <v>173</v>
      </c>
      <c r="Y2" s="7" t="s">
        <v>174</v>
      </c>
      <c r="Z2" s="38" t="s">
        <v>175</v>
      </c>
      <c r="AA2" s="599" t="s">
        <v>176</v>
      </c>
      <c r="AB2" s="600"/>
      <c r="AC2" s="600"/>
      <c r="AD2" s="601"/>
      <c r="AE2" s="602" t="s">
        <v>177</v>
      </c>
      <c r="AF2" s="602"/>
      <c r="AI2" s="4"/>
    </row>
    <row r="3" spans="2:42" s="32" customFormat="1" ht="22.5" customHeight="1" x14ac:dyDescent="0.35">
      <c r="B3" s="28"/>
      <c r="C3" s="22"/>
      <c r="D3" s="21"/>
      <c r="E3" s="24" t="s">
        <v>178</v>
      </c>
      <c r="F3" s="24" t="s">
        <v>179</v>
      </c>
      <c r="G3" s="23" t="s">
        <v>180</v>
      </c>
      <c r="H3" s="29" t="s">
        <v>181</v>
      </c>
      <c r="I3" s="29" t="s">
        <v>182</v>
      </c>
      <c r="J3" s="29" t="s">
        <v>183</v>
      </c>
      <c r="K3" s="29" t="s">
        <v>184</v>
      </c>
      <c r="L3" s="30" t="s">
        <v>185</v>
      </c>
      <c r="M3" s="30" t="s">
        <v>186</v>
      </c>
      <c r="N3" s="30" t="s">
        <v>187</v>
      </c>
      <c r="O3" s="30" t="s">
        <v>188</v>
      </c>
      <c r="P3" s="10" t="s">
        <v>189</v>
      </c>
      <c r="Q3" s="31" t="s">
        <v>190</v>
      </c>
      <c r="R3" s="31" t="s">
        <v>191</v>
      </c>
      <c r="S3" s="31" t="s">
        <v>192</v>
      </c>
      <c r="T3" s="10" t="s">
        <v>193</v>
      </c>
      <c r="U3" s="10" t="s">
        <v>194</v>
      </c>
      <c r="V3" s="10" t="s">
        <v>195</v>
      </c>
      <c r="W3" s="10" t="s">
        <v>196</v>
      </c>
      <c r="X3" s="10" t="s">
        <v>197</v>
      </c>
      <c r="Y3" s="10" t="s">
        <v>198</v>
      </c>
      <c r="Z3" s="39" t="s">
        <v>199</v>
      </c>
      <c r="AA3" s="23" t="s">
        <v>200</v>
      </c>
      <c r="AB3" s="23" t="s">
        <v>201</v>
      </c>
      <c r="AC3" s="23" t="s">
        <v>202</v>
      </c>
      <c r="AD3" s="23" t="s">
        <v>203</v>
      </c>
      <c r="AE3" s="41" t="s">
        <v>204</v>
      </c>
      <c r="AF3" s="41" t="s">
        <v>205</v>
      </c>
      <c r="AI3" s="4"/>
    </row>
    <row r="4" spans="2:42" s="15" customFormat="1" x14ac:dyDescent="0.35">
      <c r="D4" s="19" t="str">
        <f>IF(OR(KW=4.5,KW=8),LEFT('001-013'!S15,14),'001-013'!S15)</f>
        <v>EG1R-480-450-48</v>
      </c>
      <c r="E4" s="16">
        <f>VLOOKUP($D$4,$D5:$AP$127,E1,FALSE)</f>
        <v>24.803000000000001</v>
      </c>
      <c r="F4" s="16">
        <f>VLOOKUP($D$4,$D5:$AP$127,F1,FALSE)</f>
        <v>19.684999999999999</v>
      </c>
      <c r="G4" s="16">
        <f>VLOOKUP($D$4,$D5:$AP$127,G1,FALSE)</f>
        <v>17.128</v>
      </c>
      <c r="H4" s="16">
        <f>VLOOKUP($D$4,$D5:$AP$127,H1,FALSE)</f>
        <v>13.807</v>
      </c>
      <c r="I4" s="16">
        <f>VLOOKUP($D$4,$D5:$AP$127,I1,FALSE)</f>
        <v>0.59099999999999997</v>
      </c>
      <c r="J4" s="16">
        <f>VLOOKUP($D$4,$D5:$AP$127,J1,FALSE)</f>
        <v>0.12</v>
      </c>
      <c r="K4" s="16">
        <f>VLOOKUP($D$4,$D5:$AP$127,K1,FALSE)</f>
        <v>1.181</v>
      </c>
      <c r="L4" s="16">
        <f>VLOOKUP($D$4,$D5:$AP$127,L1,FALSE)</f>
        <v>3</v>
      </c>
      <c r="M4" s="16">
        <f>VLOOKUP($D$4,$D5:$AP$127,M1,FALSE)</f>
        <v>11.417</v>
      </c>
      <c r="N4" s="16">
        <f>VLOOKUP($D$4,$D5:$AP$127,N1,FALSE)</f>
        <v>11.417</v>
      </c>
      <c r="O4" s="16">
        <f>VLOOKUP($D$4,$D5:$AP$127,O1,FALSE)</f>
        <v>0.43</v>
      </c>
      <c r="P4" s="16">
        <f>VLOOKUP($D$4,$D5:$AP$127,P1,FALSE)</f>
        <v>0</v>
      </c>
      <c r="Q4" s="16">
        <f>VLOOKUP($D$4,$D5:$AP$127,Q1,FALSE)</f>
        <v>3.173</v>
      </c>
      <c r="R4" s="16">
        <f>VLOOKUP($D$4,$D5:$AP$127,R1,FALSE)</f>
        <v>1.89</v>
      </c>
      <c r="S4" s="16">
        <f>VLOOKUP($D$4,$D5:$AP$127,S1,FALSE)</f>
        <v>3</v>
      </c>
      <c r="T4" s="16">
        <f>VLOOKUP($D$4,$D5:$AP$127,T1,FALSE)</f>
        <v>0.64</v>
      </c>
      <c r="U4" s="16">
        <f>VLOOKUP($D$4,$D5:$AP$127,U1,FALSE)</f>
        <v>9.1999999999999993</v>
      </c>
      <c r="V4" s="16">
        <f>VLOOKUP($D$4,$D5:$AP$127,V1,FALSE)</f>
        <v>16.657</v>
      </c>
      <c r="W4" s="16">
        <f>VLOOKUP($D$4,$D5:$AP$127,W1,FALSE)</f>
        <v>19.88</v>
      </c>
      <c r="X4" s="16">
        <f>VLOOKUP($D$4,$D5:$AP$127,X1,FALSE)</f>
        <v>1</v>
      </c>
      <c r="Y4" s="16">
        <f>VLOOKUP($D$4,$D5:$AP$127,Y1,FALSE)</f>
        <v>1</v>
      </c>
      <c r="Z4" s="16">
        <f>VLOOKUP($D$4,$D5:$AP$127,Z1,FALSE)</f>
        <v>16.657</v>
      </c>
      <c r="AA4" s="16">
        <f>VLOOKUP($D$4,$D5:$AP$127,AA1,FALSE)</f>
        <v>0</v>
      </c>
      <c r="AB4" s="16">
        <f>VLOOKUP($D$4,$D5:$AP$127,AB1,FALSE)</f>
        <v>0</v>
      </c>
      <c r="AC4" s="16">
        <f>VLOOKUP($D$4,$D5:$AP$127,AC1,FALSE)</f>
        <v>0</v>
      </c>
      <c r="AD4" s="16">
        <f>VLOOKUP($D$4,$D5:$AP$127,AD1,FALSE)</f>
        <v>0</v>
      </c>
      <c r="AE4" s="301">
        <f>(('Excel Calc'!V8)-DamperSize)/2</f>
        <v>-0.125</v>
      </c>
      <c r="AF4" s="16">
        <f>VLOOKUP(D4,D5:AF111,29,FALSE)</f>
        <v>24.25</v>
      </c>
      <c r="AG4" s="33"/>
      <c r="AH4" s="33"/>
      <c r="AI4" s="4"/>
    </row>
    <row r="5" spans="2:42" s="15" customFormat="1" x14ac:dyDescent="0.35">
      <c r="B5" s="403">
        <v>250</v>
      </c>
      <c r="C5" s="403" t="s">
        <v>1398</v>
      </c>
      <c r="D5" s="404" t="s">
        <v>1399</v>
      </c>
      <c r="E5" s="405">
        <v>15.75</v>
      </c>
      <c r="F5" s="405">
        <v>12.6</v>
      </c>
      <c r="G5" s="405">
        <v>10.45</v>
      </c>
      <c r="H5" s="405">
        <v>8.1219999999999999</v>
      </c>
      <c r="I5" s="406">
        <f>J5+0.03</f>
        <v>0.13</v>
      </c>
      <c r="J5" s="406">
        <v>0.1</v>
      </c>
      <c r="K5" s="406">
        <v>1.181</v>
      </c>
      <c r="L5" s="405">
        <v>2</v>
      </c>
      <c r="M5" s="405">
        <v>13.78</v>
      </c>
      <c r="N5" s="406">
        <f>IF(L5=2,M5/2,M5)</f>
        <v>6.89</v>
      </c>
      <c r="O5" s="405">
        <v>0.43</v>
      </c>
      <c r="P5" s="405">
        <v>0</v>
      </c>
      <c r="Q5" s="406">
        <v>2.1949999999999998</v>
      </c>
      <c r="R5" s="406">
        <v>1.0629999999999999</v>
      </c>
      <c r="S5" s="405">
        <v>3</v>
      </c>
      <c r="T5" s="405">
        <v>0.41</v>
      </c>
      <c r="U5" s="405">
        <v>6.5</v>
      </c>
      <c r="V5" s="406">
        <f>G5-I5+J5</f>
        <v>10.419999999999998</v>
      </c>
      <c r="W5" s="407">
        <v>11.18</v>
      </c>
      <c r="X5" s="408">
        <v>1</v>
      </c>
      <c r="Y5" s="408">
        <v>1</v>
      </c>
      <c r="Z5" s="406">
        <v>10.454000000000001</v>
      </c>
      <c r="AA5" s="409"/>
      <c r="AB5" s="410"/>
      <c r="AC5" s="409"/>
      <c r="AD5" s="410"/>
      <c r="AE5" s="411"/>
      <c r="AF5" s="410">
        <v>15.25</v>
      </c>
      <c r="AG5" s="33"/>
      <c r="AH5" s="33"/>
      <c r="AI5" s="4"/>
    </row>
    <row r="6" spans="2:42" s="15" customFormat="1" x14ac:dyDescent="0.35">
      <c r="B6" s="403">
        <v>250</v>
      </c>
      <c r="C6" s="403" t="s">
        <v>1400</v>
      </c>
      <c r="D6" s="404" t="s">
        <v>1401</v>
      </c>
      <c r="E6" s="405">
        <v>15.75</v>
      </c>
      <c r="F6" s="405">
        <v>12.6</v>
      </c>
      <c r="G6" s="405">
        <v>10.45</v>
      </c>
      <c r="H6" s="405">
        <v>8.1219999999999999</v>
      </c>
      <c r="I6" s="406">
        <f>J6+0.03</f>
        <v>0.13</v>
      </c>
      <c r="J6" s="406">
        <v>0.1</v>
      </c>
      <c r="K6" s="406">
        <v>1.181</v>
      </c>
      <c r="L6" s="405">
        <v>2</v>
      </c>
      <c r="M6" s="405">
        <v>13.78</v>
      </c>
      <c r="N6" s="406">
        <f>IF(L6=2,M6/2,M6)</f>
        <v>6.89</v>
      </c>
      <c r="O6" s="405">
        <v>0.43</v>
      </c>
      <c r="P6" s="405">
        <v>0</v>
      </c>
      <c r="Q6" s="406">
        <v>2.1949999999999998</v>
      </c>
      <c r="R6" s="406">
        <v>1.0629999999999999</v>
      </c>
      <c r="S6" s="405">
        <v>3</v>
      </c>
      <c r="T6" s="405">
        <v>0.41</v>
      </c>
      <c r="U6" s="405">
        <v>6.5</v>
      </c>
      <c r="V6" s="406">
        <f>G6-I6+J6</f>
        <v>10.419999999999998</v>
      </c>
      <c r="W6" s="407">
        <v>11.18</v>
      </c>
      <c r="X6" s="408">
        <v>1</v>
      </c>
      <c r="Y6" s="408">
        <v>1</v>
      </c>
      <c r="Z6" s="406">
        <v>10.454000000000001</v>
      </c>
      <c r="AA6" s="409"/>
      <c r="AB6" s="410"/>
      <c r="AC6" s="409"/>
      <c r="AD6" s="410"/>
      <c r="AE6" s="411"/>
      <c r="AF6" s="410">
        <v>15.25</v>
      </c>
      <c r="AG6" s="33"/>
      <c r="AH6" s="33"/>
      <c r="AI6" s="4"/>
    </row>
    <row r="7" spans="2:42" s="15" customFormat="1" x14ac:dyDescent="0.35">
      <c r="B7" s="309">
        <v>25</v>
      </c>
      <c r="C7" s="309"/>
      <c r="D7" s="310" t="s">
        <v>206</v>
      </c>
      <c r="E7" s="311">
        <v>15.747999999999999</v>
      </c>
      <c r="F7" s="311">
        <v>12.282999999999999</v>
      </c>
      <c r="G7" s="311">
        <v>10.233000000000001</v>
      </c>
      <c r="H7" s="311">
        <v>8.3070000000000004</v>
      </c>
      <c r="I7" s="312">
        <v>0.39400000000000002</v>
      </c>
      <c r="J7" s="312">
        <v>7.9000000000000001E-2</v>
      </c>
      <c r="K7" s="312">
        <v>0.63</v>
      </c>
      <c r="L7" s="311">
        <v>2</v>
      </c>
      <c r="M7" s="311">
        <v>14.449</v>
      </c>
      <c r="N7" s="313">
        <f t="shared" ref="N7:N79" si="0">IF(L7=2,M7/2,M7)</f>
        <v>7.2244999999999999</v>
      </c>
      <c r="O7" s="311">
        <v>0.43</v>
      </c>
      <c r="P7" s="311">
        <v>0</v>
      </c>
      <c r="Q7" s="312">
        <v>1.591</v>
      </c>
      <c r="R7" s="312">
        <v>3.008</v>
      </c>
      <c r="S7" s="312">
        <v>1.45</v>
      </c>
      <c r="T7" s="314">
        <v>0.41</v>
      </c>
      <c r="U7" s="311">
        <v>5.6210000000000004</v>
      </c>
      <c r="V7" s="312">
        <f>G7</f>
        <v>10.233000000000001</v>
      </c>
      <c r="W7" s="312">
        <f>5.709*2</f>
        <v>11.417999999999999</v>
      </c>
      <c r="X7" s="315">
        <v>4</v>
      </c>
      <c r="Y7" s="315">
        <v>3</v>
      </c>
      <c r="Z7" s="312"/>
      <c r="AA7" s="316"/>
      <c r="AB7" s="317"/>
      <c r="AC7" s="316"/>
      <c r="AD7" s="317"/>
      <c r="AE7" s="318"/>
      <c r="AF7" s="382">
        <v>14</v>
      </c>
      <c r="AG7" s="33"/>
      <c r="AH7" s="33"/>
      <c r="AI7" s="4"/>
    </row>
    <row r="8" spans="2:42" s="15" customFormat="1" x14ac:dyDescent="0.35">
      <c r="B8" s="413">
        <v>280</v>
      </c>
      <c r="C8" s="413" t="s">
        <v>1398</v>
      </c>
      <c r="D8" s="414" t="s">
        <v>1402</v>
      </c>
      <c r="E8" s="415">
        <v>15.75</v>
      </c>
      <c r="F8" s="415">
        <v>12.6</v>
      </c>
      <c r="G8" s="415">
        <v>11.805</v>
      </c>
      <c r="H8" s="416">
        <v>9.48</v>
      </c>
      <c r="I8" s="416">
        <f>J8+0.03</f>
        <v>0.13</v>
      </c>
      <c r="J8" s="416">
        <v>0.1</v>
      </c>
      <c r="K8" s="416">
        <v>1.181</v>
      </c>
      <c r="L8" s="416">
        <v>2</v>
      </c>
      <c r="M8" s="415">
        <v>13.78</v>
      </c>
      <c r="N8" s="416">
        <f>IF(L8=2,M8/2,M8)</f>
        <v>6.89</v>
      </c>
      <c r="O8" s="415">
        <v>0.43</v>
      </c>
      <c r="P8" s="415">
        <v>0</v>
      </c>
      <c r="Q8" s="416">
        <v>2.1949000000000001</v>
      </c>
      <c r="R8" s="416">
        <v>1.0629999999999999</v>
      </c>
      <c r="S8" s="415">
        <v>3</v>
      </c>
      <c r="T8" s="415">
        <v>0.41</v>
      </c>
      <c r="U8" s="415">
        <v>6.5</v>
      </c>
      <c r="V8" s="416">
        <f>G8-I8+J8</f>
        <v>11.774999999999999</v>
      </c>
      <c r="W8" s="417">
        <v>12.56</v>
      </c>
      <c r="X8" s="418">
        <v>1</v>
      </c>
      <c r="Y8" s="418">
        <v>1</v>
      </c>
      <c r="Z8" s="416">
        <v>11.813000000000001</v>
      </c>
      <c r="AA8" s="420"/>
      <c r="AB8" s="421"/>
      <c r="AC8" s="420"/>
      <c r="AD8" s="421"/>
      <c r="AE8" s="422"/>
      <c r="AF8" s="421">
        <v>15.25</v>
      </c>
      <c r="AG8" s="33"/>
      <c r="AH8" s="33"/>
      <c r="AI8" s="4"/>
    </row>
    <row r="9" spans="2:42" s="15" customFormat="1" x14ac:dyDescent="0.35">
      <c r="B9" s="413">
        <v>280</v>
      </c>
      <c r="C9" s="413" t="s">
        <v>1400</v>
      </c>
      <c r="D9" s="414" t="s">
        <v>1403</v>
      </c>
      <c r="E9" s="415">
        <v>15.75</v>
      </c>
      <c r="F9" s="415">
        <v>12.6</v>
      </c>
      <c r="G9" s="415">
        <v>11.805</v>
      </c>
      <c r="H9" s="416">
        <v>9.48</v>
      </c>
      <c r="I9" s="416">
        <f>J9+0.03</f>
        <v>0.13</v>
      </c>
      <c r="J9" s="416">
        <v>0.1</v>
      </c>
      <c r="K9" s="416">
        <v>1.181</v>
      </c>
      <c r="L9" s="416">
        <v>2</v>
      </c>
      <c r="M9" s="415">
        <v>13.78</v>
      </c>
      <c r="N9" s="416">
        <f>IF(L9=2,M9/2,M9)</f>
        <v>6.89</v>
      </c>
      <c r="O9" s="415">
        <v>0.43</v>
      </c>
      <c r="P9" s="415">
        <v>0</v>
      </c>
      <c r="Q9" s="416">
        <v>2.1949000000000001</v>
      </c>
      <c r="R9" s="416">
        <v>1.0629999999999999</v>
      </c>
      <c r="S9" s="415">
        <v>3</v>
      </c>
      <c r="T9" s="415">
        <v>0.41</v>
      </c>
      <c r="U9" s="415">
        <v>6.5</v>
      </c>
      <c r="V9" s="416">
        <f>G9-I9+J9</f>
        <v>11.774999999999999</v>
      </c>
      <c r="W9" s="417">
        <v>12.56</v>
      </c>
      <c r="X9" s="418">
        <v>1</v>
      </c>
      <c r="Y9" s="418">
        <v>1</v>
      </c>
      <c r="Z9" s="416">
        <v>11.813000000000001</v>
      </c>
      <c r="AA9" s="420"/>
      <c r="AB9" s="421"/>
      <c r="AC9" s="420"/>
      <c r="AD9" s="421"/>
      <c r="AE9" s="422"/>
      <c r="AF9" s="421">
        <v>15.25</v>
      </c>
      <c r="AG9" s="33"/>
      <c r="AH9" s="33"/>
      <c r="AI9" s="4"/>
    </row>
    <row r="10" spans="2:42" s="15" customFormat="1" x14ac:dyDescent="0.35">
      <c r="B10" s="413">
        <v>310</v>
      </c>
      <c r="C10" s="413" t="s">
        <v>1398</v>
      </c>
      <c r="D10" s="414" t="s">
        <v>1404</v>
      </c>
      <c r="E10" s="415">
        <v>19.690000000000001</v>
      </c>
      <c r="F10" s="415">
        <v>16.54</v>
      </c>
      <c r="G10" s="415">
        <v>13.5</v>
      </c>
      <c r="H10" s="415">
        <v>10.18</v>
      </c>
      <c r="I10" s="416">
        <v>0.59099999999999997</v>
      </c>
      <c r="J10" s="416">
        <v>0.11799999999999999</v>
      </c>
      <c r="K10" s="416">
        <v>1.181</v>
      </c>
      <c r="L10" s="415">
        <v>2</v>
      </c>
      <c r="M10" s="415">
        <v>17.72</v>
      </c>
      <c r="N10" s="416">
        <f t="shared" si="0"/>
        <v>8.86</v>
      </c>
      <c r="O10" s="415">
        <v>0.43</v>
      </c>
      <c r="P10" s="415">
        <v>0</v>
      </c>
      <c r="Q10" s="416">
        <v>2.2149999999999999</v>
      </c>
      <c r="R10" s="416">
        <v>1.89</v>
      </c>
      <c r="S10" s="415">
        <v>3</v>
      </c>
      <c r="T10" s="416">
        <v>0.64</v>
      </c>
      <c r="U10" s="416">
        <v>8.3000000000000007</v>
      </c>
      <c r="V10" s="416">
        <f t="shared" ref="V10:V47" si="1">G10-I10+J10</f>
        <v>13.027000000000001</v>
      </c>
      <c r="W10" s="417">
        <v>14.17</v>
      </c>
      <c r="X10" s="418">
        <v>1</v>
      </c>
      <c r="Y10" s="418">
        <v>1</v>
      </c>
      <c r="Z10" s="416">
        <v>13.027000000000001</v>
      </c>
      <c r="AA10" s="420"/>
      <c r="AB10" s="421"/>
      <c r="AC10" s="420"/>
      <c r="AD10" s="421"/>
      <c r="AE10" s="422"/>
      <c r="AF10" s="421">
        <v>19.25</v>
      </c>
      <c r="AG10" s="33"/>
      <c r="AH10" s="33"/>
      <c r="AI10" s="4"/>
    </row>
    <row r="11" spans="2:42" s="15" customFormat="1" x14ac:dyDescent="0.35">
      <c r="B11" s="413">
        <v>310</v>
      </c>
      <c r="C11" s="413" t="s">
        <v>1400</v>
      </c>
      <c r="D11" s="414" t="s">
        <v>1405</v>
      </c>
      <c r="E11" s="415">
        <v>19.690000000000001</v>
      </c>
      <c r="F11" s="415">
        <v>16.54</v>
      </c>
      <c r="G11" s="415">
        <v>13.5</v>
      </c>
      <c r="H11" s="415">
        <v>10.18</v>
      </c>
      <c r="I11" s="416">
        <v>0.59099999999999997</v>
      </c>
      <c r="J11" s="416">
        <v>0.11799999999999999</v>
      </c>
      <c r="K11" s="416">
        <v>1.181</v>
      </c>
      <c r="L11" s="415">
        <v>2</v>
      </c>
      <c r="M11" s="415">
        <v>17.72</v>
      </c>
      <c r="N11" s="416">
        <f t="shared" si="0"/>
        <v>8.86</v>
      </c>
      <c r="O11" s="415">
        <v>0.43</v>
      </c>
      <c r="P11" s="415">
        <v>0</v>
      </c>
      <c r="Q11" s="416">
        <v>2.2149999999999999</v>
      </c>
      <c r="R11" s="416">
        <v>1.89</v>
      </c>
      <c r="S11" s="415">
        <v>3</v>
      </c>
      <c r="T11" s="416">
        <v>0.64</v>
      </c>
      <c r="U11" s="416">
        <v>8.3000000000000007</v>
      </c>
      <c r="V11" s="416">
        <f t="shared" si="1"/>
        <v>13.027000000000001</v>
      </c>
      <c r="W11" s="417">
        <v>14.17</v>
      </c>
      <c r="X11" s="418">
        <v>1</v>
      </c>
      <c r="Y11" s="418">
        <v>1</v>
      </c>
      <c r="Z11" s="416">
        <v>13.027000000000001</v>
      </c>
      <c r="AA11" s="420"/>
      <c r="AB11" s="421"/>
      <c r="AC11" s="420"/>
      <c r="AD11" s="421"/>
      <c r="AE11" s="422"/>
      <c r="AF11" s="421">
        <v>19.25</v>
      </c>
      <c r="AG11" s="33"/>
      <c r="AH11" s="33"/>
      <c r="AI11" s="4"/>
    </row>
    <row r="12" spans="2:42" s="15" customFormat="1" x14ac:dyDescent="0.35">
      <c r="B12" s="412" t="s">
        <v>207</v>
      </c>
      <c r="C12" s="413" t="s">
        <v>1400</v>
      </c>
      <c r="D12" s="414" t="s">
        <v>1559</v>
      </c>
      <c r="E12" s="415">
        <v>19.690000000000001</v>
      </c>
      <c r="F12" s="415">
        <v>18.14</v>
      </c>
      <c r="G12" s="415">
        <v>13.45</v>
      </c>
      <c r="H12" s="415">
        <v>10.58</v>
      </c>
      <c r="I12" s="416">
        <v>-1</v>
      </c>
      <c r="J12" s="416">
        <v>0.12</v>
      </c>
      <c r="K12" s="416">
        <v>2.75</v>
      </c>
      <c r="L12" s="415">
        <v>3</v>
      </c>
      <c r="M12" s="415">
        <v>8.86</v>
      </c>
      <c r="N12" s="416">
        <v>8.86</v>
      </c>
      <c r="O12" s="415">
        <v>0.43</v>
      </c>
      <c r="P12" s="415">
        <v>0</v>
      </c>
      <c r="Q12" s="416">
        <v>2.2149999999999999</v>
      </c>
      <c r="R12" s="416">
        <v>1.89</v>
      </c>
      <c r="S12" s="415">
        <v>3</v>
      </c>
      <c r="T12" s="416">
        <v>0.64</v>
      </c>
      <c r="U12" s="416">
        <v>8.3000000000000007</v>
      </c>
      <c r="V12" s="416">
        <f t="shared" si="1"/>
        <v>14.569999999999999</v>
      </c>
      <c r="W12" s="417">
        <v>14.17</v>
      </c>
      <c r="X12" s="418">
        <v>4</v>
      </c>
      <c r="Y12" s="419">
        <v>3.5</v>
      </c>
      <c r="Z12" s="416"/>
      <c r="AA12" s="420"/>
      <c r="AB12" s="421"/>
      <c r="AC12" s="420"/>
      <c r="AD12" s="421"/>
      <c r="AE12" s="422"/>
      <c r="AF12" s="421">
        <f>16.25+3</f>
        <v>19.25</v>
      </c>
      <c r="AG12" s="33"/>
      <c r="AH12" s="33"/>
      <c r="AI12" s="4"/>
    </row>
    <row r="13" spans="2:42" s="15" customFormat="1" x14ac:dyDescent="0.35">
      <c r="B13" s="412" t="s">
        <v>207</v>
      </c>
      <c r="C13" s="413" t="s">
        <v>1398</v>
      </c>
      <c r="D13" s="414" t="s">
        <v>1560</v>
      </c>
      <c r="E13" s="415">
        <v>19.690000000000001</v>
      </c>
      <c r="F13" s="415">
        <v>18.14</v>
      </c>
      <c r="G13" s="415">
        <v>13.45</v>
      </c>
      <c r="H13" s="415">
        <v>10.58</v>
      </c>
      <c r="I13" s="416">
        <v>-1</v>
      </c>
      <c r="J13" s="416">
        <v>0.12</v>
      </c>
      <c r="K13" s="416">
        <v>2.75</v>
      </c>
      <c r="L13" s="415">
        <v>3</v>
      </c>
      <c r="M13" s="415">
        <v>8.86</v>
      </c>
      <c r="N13" s="416">
        <v>8.86</v>
      </c>
      <c r="O13" s="415">
        <v>0.43</v>
      </c>
      <c r="P13" s="415">
        <v>0</v>
      </c>
      <c r="Q13" s="416">
        <v>2.2149999999999999</v>
      </c>
      <c r="R13" s="416">
        <v>1.89</v>
      </c>
      <c r="S13" s="415">
        <v>3</v>
      </c>
      <c r="T13" s="416">
        <v>0.64</v>
      </c>
      <c r="U13" s="416">
        <v>8.3000000000000007</v>
      </c>
      <c r="V13" s="416">
        <f t="shared" ref="V13" si="2">G13-I13+J13</f>
        <v>14.569999999999999</v>
      </c>
      <c r="W13" s="417">
        <v>14.17</v>
      </c>
      <c r="X13" s="418">
        <v>4</v>
      </c>
      <c r="Y13" s="419">
        <v>3.5</v>
      </c>
      <c r="Z13" s="416"/>
      <c r="AA13" s="420"/>
      <c r="AB13" s="421"/>
      <c r="AC13" s="420"/>
      <c r="AD13" s="421"/>
      <c r="AE13" s="422"/>
      <c r="AF13" s="421">
        <f>16.25+3</f>
        <v>19.25</v>
      </c>
      <c r="AG13" s="33"/>
      <c r="AH13" s="33"/>
      <c r="AI13" s="4"/>
    </row>
    <row r="14" spans="2:42" s="15" customFormat="1" x14ac:dyDescent="0.35">
      <c r="B14" s="309">
        <v>31</v>
      </c>
      <c r="C14" s="309"/>
      <c r="D14" s="310" t="s">
        <v>208</v>
      </c>
      <c r="E14" s="311">
        <v>18.504000000000001</v>
      </c>
      <c r="F14" s="311">
        <v>14.763999999999999</v>
      </c>
      <c r="G14" s="311">
        <v>11.614000000000001</v>
      </c>
      <c r="H14" s="311">
        <v>9.3109999999999999</v>
      </c>
      <c r="I14" s="312">
        <v>0.59099999999999997</v>
      </c>
      <c r="J14" s="312">
        <v>9.8000000000000004E-2</v>
      </c>
      <c r="K14" s="312">
        <v>0.78700000000000003</v>
      </c>
      <c r="L14" s="311">
        <v>2</v>
      </c>
      <c r="M14" s="311">
        <v>17.087</v>
      </c>
      <c r="N14" s="313">
        <f t="shared" si="0"/>
        <v>8.5434999999999999</v>
      </c>
      <c r="O14" s="311">
        <v>0.43</v>
      </c>
      <c r="P14" s="311">
        <v>0</v>
      </c>
      <c r="Q14" s="312">
        <v>1.6339999999999999</v>
      </c>
      <c r="R14" s="312">
        <v>2.867</v>
      </c>
      <c r="S14" s="312">
        <v>1.754</v>
      </c>
      <c r="T14" s="314">
        <v>0.64</v>
      </c>
      <c r="U14" s="311">
        <v>6.6539999999999999</v>
      </c>
      <c r="V14" s="312">
        <f>G14</f>
        <v>11.614000000000001</v>
      </c>
      <c r="W14" s="312">
        <f>7.087*2</f>
        <v>14.173999999999999</v>
      </c>
      <c r="X14" s="315">
        <v>4</v>
      </c>
      <c r="Y14" s="315">
        <v>3</v>
      </c>
      <c r="Z14" s="312"/>
      <c r="AA14" s="316"/>
      <c r="AB14" s="317"/>
      <c r="AC14" s="316"/>
      <c r="AD14" s="317"/>
      <c r="AE14" s="318"/>
      <c r="AF14" s="382">
        <v>16.25</v>
      </c>
      <c r="AG14" s="33"/>
      <c r="AH14" s="33"/>
      <c r="AI14" s="4"/>
    </row>
    <row r="15" spans="2:42" s="15" customFormat="1" x14ac:dyDescent="0.35">
      <c r="B15" s="413">
        <v>355</v>
      </c>
      <c r="C15" s="413" t="s">
        <v>1398</v>
      </c>
      <c r="D15" s="414" t="s">
        <v>1406</v>
      </c>
      <c r="E15" s="415">
        <v>19.690000000000001</v>
      </c>
      <c r="F15" s="415">
        <v>16.54</v>
      </c>
      <c r="G15" s="415">
        <v>14.4</v>
      </c>
      <c r="H15" s="416">
        <v>11.2</v>
      </c>
      <c r="I15" s="416">
        <v>0.59099999999999997</v>
      </c>
      <c r="J15" s="416">
        <v>0.108</v>
      </c>
      <c r="K15" s="416">
        <v>1.181</v>
      </c>
      <c r="L15" s="416">
        <v>2</v>
      </c>
      <c r="M15" s="415">
        <v>17.72</v>
      </c>
      <c r="N15" s="416">
        <f t="shared" si="0"/>
        <v>8.86</v>
      </c>
      <c r="O15" s="415">
        <v>0.43</v>
      </c>
      <c r="P15" s="416">
        <v>0</v>
      </c>
      <c r="Q15" s="416">
        <v>2.1030000000000002</v>
      </c>
      <c r="R15" s="416">
        <v>1.89</v>
      </c>
      <c r="S15" s="415">
        <v>3</v>
      </c>
      <c r="T15" s="416">
        <v>0.64</v>
      </c>
      <c r="U15" s="416">
        <v>9.1999999999999993</v>
      </c>
      <c r="V15" s="416">
        <f t="shared" si="1"/>
        <v>13.917000000000002</v>
      </c>
      <c r="W15" s="417">
        <v>15.91</v>
      </c>
      <c r="X15" s="418">
        <v>1</v>
      </c>
      <c r="Y15" s="418">
        <v>1</v>
      </c>
      <c r="Z15" s="416">
        <v>13.917000000000002</v>
      </c>
      <c r="AA15" s="420"/>
      <c r="AB15" s="421"/>
      <c r="AC15" s="420"/>
      <c r="AD15" s="421"/>
      <c r="AE15" s="422"/>
      <c r="AF15" s="421">
        <v>19.25</v>
      </c>
      <c r="AG15" s="33"/>
      <c r="AH15" s="33"/>
      <c r="AI15" s="4"/>
    </row>
    <row r="16" spans="2:42" s="15" customFormat="1" x14ac:dyDescent="0.35">
      <c r="B16" s="413">
        <v>355</v>
      </c>
      <c r="C16" s="413" t="s">
        <v>1400</v>
      </c>
      <c r="D16" s="414" t="s">
        <v>1407</v>
      </c>
      <c r="E16" s="415">
        <v>19.690000000000001</v>
      </c>
      <c r="F16" s="415">
        <v>16.54</v>
      </c>
      <c r="G16" s="415">
        <v>14.4</v>
      </c>
      <c r="H16" s="416">
        <v>11.2</v>
      </c>
      <c r="I16" s="416">
        <v>0.59099999999999997</v>
      </c>
      <c r="J16" s="416">
        <v>0.108</v>
      </c>
      <c r="K16" s="416">
        <v>1.181</v>
      </c>
      <c r="L16" s="416">
        <v>2</v>
      </c>
      <c r="M16" s="415">
        <v>17.72</v>
      </c>
      <c r="N16" s="416">
        <f t="shared" si="0"/>
        <v>8.86</v>
      </c>
      <c r="O16" s="415">
        <v>0.43</v>
      </c>
      <c r="P16" s="416">
        <v>0</v>
      </c>
      <c r="Q16" s="416">
        <v>2.1030000000000002</v>
      </c>
      <c r="R16" s="416">
        <v>1.89</v>
      </c>
      <c r="S16" s="415">
        <v>3</v>
      </c>
      <c r="T16" s="416">
        <v>0.64</v>
      </c>
      <c r="U16" s="416">
        <v>9.1999999999999993</v>
      </c>
      <c r="V16" s="416">
        <f t="shared" si="1"/>
        <v>13.917000000000002</v>
      </c>
      <c r="W16" s="417">
        <v>15.91</v>
      </c>
      <c r="X16" s="418">
        <v>1</v>
      </c>
      <c r="Y16" s="418">
        <v>1</v>
      </c>
      <c r="Z16" s="416">
        <v>13.917000000000002</v>
      </c>
      <c r="AA16" s="420"/>
      <c r="AB16" s="421"/>
      <c r="AC16" s="420"/>
      <c r="AD16" s="421"/>
      <c r="AE16" s="422"/>
      <c r="AF16" s="421">
        <v>19.25</v>
      </c>
      <c r="AG16" s="33"/>
      <c r="AH16" s="33"/>
      <c r="AI16" s="4"/>
    </row>
    <row r="17" spans="2:35" s="15" customFormat="1" x14ac:dyDescent="0.35">
      <c r="B17" s="412" t="s">
        <v>209</v>
      </c>
      <c r="C17" s="413" t="s">
        <v>1400</v>
      </c>
      <c r="D17" s="414" t="s">
        <v>1561</v>
      </c>
      <c r="E17" s="415">
        <v>19.690000000000001</v>
      </c>
      <c r="F17" s="415">
        <v>18.14</v>
      </c>
      <c r="G17" s="415">
        <v>14.66</v>
      </c>
      <c r="H17" s="415">
        <v>11.79</v>
      </c>
      <c r="I17" s="416">
        <v>-1</v>
      </c>
      <c r="J17" s="416">
        <v>0.12</v>
      </c>
      <c r="K17" s="416">
        <v>2.75</v>
      </c>
      <c r="L17" s="415">
        <v>3</v>
      </c>
      <c r="M17" s="415">
        <v>8.86</v>
      </c>
      <c r="N17" s="416">
        <v>8.86</v>
      </c>
      <c r="O17" s="415">
        <v>0.43</v>
      </c>
      <c r="P17" s="415">
        <v>0</v>
      </c>
      <c r="Q17" s="416">
        <v>2.27</v>
      </c>
      <c r="R17" s="416">
        <v>1.85</v>
      </c>
      <c r="S17" s="415">
        <v>3</v>
      </c>
      <c r="T17" s="416">
        <v>0.64</v>
      </c>
      <c r="U17" s="416">
        <v>9.1999999999999993</v>
      </c>
      <c r="V17" s="416">
        <f t="shared" si="1"/>
        <v>15.78</v>
      </c>
      <c r="W17" s="417">
        <v>15.91</v>
      </c>
      <c r="X17" s="418">
        <v>4</v>
      </c>
      <c r="Y17" s="419">
        <v>3.5</v>
      </c>
      <c r="Z17" s="416"/>
      <c r="AA17" s="420"/>
      <c r="AB17" s="421"/>
      <c r="AC17" s="420"/>
      <c r="AD17" s="421"/>
      <c r="AE17" s="422"/>
      <c r="AF17" s="421">
        <f>16.25+3</f>
        <v>19.25</v>
      </c>
      <c r="AG17" s="33"/>
      <c r="AH17" s="33"/>
      <c r="AI17" s="4"/>
    </row>
    <row r="18" spans="2:35" s="15" customFormat="1" x14ac:dyDescent="0.35">
      <c r="B18" s="412" t="s">
        <v>209</v>
      </c>
      <c r="C18" s="413" t="s">
        <v>1398</v>
      </c>
      <c r="D18" s="414" t="s">
        <v>1562</v>
      </c>
      <c r="E18" s="415">
        <v>19.690000000000001</v>
      </c>
      <c r="F18" s="415">
        <v>18.14</v>
      </c>
      <c r="G18" s="415">
        <v>14.66</v>
      </c>
      <c r="H18" s="415">
        <v>11.79</v>
      </c>
      <c r="I18" s="416">
        <v>-1</v>
      </c>
      <c r="J18" s="416">
        <v>0.12</v>
      </c>
      <c r="K18" s="416">
        <v>2.75</v>
      </c>
      <c r="L18" s="415">
        <v>3</v>
      </c>
      <c r="M18" s="415">
        <v>8.86</v>
      </c>
      <c r="N18" s="416">
        <v>8.86</v>
      </c>
      <c r="O18" s="415">
        <v>0.43</v>
      </c>
      <c r="P18" s="415">
        <v>0</v>
      </c>
      <c r="Q18" s="416">
        <v>2.27</v>
      </c>
      <c r="R18" s="416">
        <v>1.85</v>
      </c>
      <c r="S18" s="415">
        <v>3</v>
      </c>
      <c r="T18" s="416">
        <v>0.64</v>
      </c>
      <c r="U18" s="416">
        <v>9.1999999999999993</v>
      </c>
      <c r="V18" s="416">
        <f t="shared" ref="V18" si="3">G18-I18+J18</f>
        <v>15.78</v>
      </c>
      <c r="W18" s="417">
        <v>15.91</v>
      </c>
      <c r="X18" s="418">
        <v>4</v>
      </c>
      <c r="Y18" s="419">
        <v>3.5</v>
      </c>
      <c r="Z18" s="416"/>
      <c r="AA18" s="420"/>
      <c r="AB18" s="421"/>
      <c r="AC18" s="420"/>
      <c r="AD18" s="421"/>
      <c r="AE18" s="422"/>
      <c r="AF18" s="421">
        <f>16.25+3</f>
        <v>19.25</v>
      </c>
      <c r="AG18" s="33"/>
      <c r="AH18" s="33"/>
      <c r="AI18" s="4"/>
    </row>
    <row r="19" spans="2:35" s="15" customFormat="1" x14ac:dyDescent="0.35">
      <c r="B19" s="309">
        <v>35</v>
      </c>
      <c r="C19" s="309"/>
      <c r="D19" s="310" t="s">
        <v>210</v>
      </c>
      <c r="E19" s="311">
        <v>19.684999999999999</v>
      </c>
      <c r="F19" s="311">
        <v>16.338999999999999</v>
      </c>
      <c r="G19" s="311">
        <v>12.441000000000001</v>
      </c>
      <c r="H19" s="311">
        <v>10.138</v>
      </c>
      <c r="I19" s="312">
        <v>0.59099999999999997</v>
      </c>
      <c r="J19" s="312">
        <v>9.8000000000000004E-2</v>
      </c>
      <c r="K19" s="312">
        <v>0.98399999999999999</v>
      </c>
      <c r="L19" s="311">
        <v>2</v>
      </c>
      <c r="M19" s="311">
        <v>18.504000000000001</v>
      </c>
      <c r="N19" s="313">
        <f t="shared" si="0"/>
        <v>9.2520000000000007</v>
      </c>
      <c r="O19" s="311">
        <v>0.43</v>
      </c>
      <c r="P19" s="311">
        <v>0</v>
      </c>
      <c r="Q19" s="312">
        <v>1.516</v>
      </c>
      <c r="R19" s="312">
        <v>4.2039999999999997</v>
      </c>
      <c r="S19" s="312">
        <v>1.754</v>
      </c>
      <c r="T19" s="314">
        <v>0.64</v>
      </c>
      <c r="U19" s="311">
        <v>6.6539999999999999</v>
      </c>
      <c r="V19" s="312">
        <f>G19</f>
        <v>12.441000000000001</v>
      </c>
      <c r="W19" s="312">
        <f>7.992*2</f>
        <v>15.984</v>
      </c>
      <c r="X19" s="315">
        <v>4</v>
      </c>
      <c r="Y19" s="315">
        <v>3</v>
      </c>
      <c r="Z19" s="312"/>
      <c r="AA19" s="316"/>
      <c r="AB19" s="317"/>
      <c r="AC19" s="316"/>
      <c r="AD19" s="317"/>
      <c r="AE19" s="318"/>
      <c r="AF19" s="382">
        <v>16.25</v>
      </c>
      <c r="AG19" s="33"/>
      <c r="AH19" s="33"/>
      <c r="AI19" s="4"/>
    </row>
    <row r="20" spans="2:35" s="15" customFormat="1" x14ac:dyDescent="0.35">
      <c r="B20" s="413">
        <v>400</v>
      </c>
      <c r="C20" s="413" t="s">
        <v>1398</v>
      </c>
      <c r="D20" s="414" t="s">
        <v>1408</v>
      </c>
      <c r="E20" s="415">
        <v>21.69</v>
      </c>
      <c r="F20" s="415">
        <v>16.54</v>
      </c>
      <c r="G20" s="415">
        <v>15.933999999999999</v>
      </c>
      <c r="H20" s="416">
        <v>12.59</v>
      </c>
      <c r="I20" s="416">
        <v>0.59099999999999997</v>
      </c>
      <c r="J20" s="416">
        <v>0.108</v>
      </c>
      <c r="K20" s="416">
        <v>1.181</v>
      </c>
      <c r="L20" s="416">
        <v>2</v>
      </c>
      <c r="M20" s="416">
        <v>19.72</v>
      </c>
      <c r="N20" s="416">
        <f t="shared" si="0"/>
        <v>9.86</v>
      </c>
      <c r="O20" s="416">
        <v>0.43</v>
      </c>
      <c r="P20" s="416">
        <v>0</v>
      </c>
      <c r="Q20" s="416">
        <v>3.1030000000000002</v>
      </c>
      <c r="R20" s="416">
        <v>1.89</v>
      </c>
      <c r="S20" s="415">
        <v>3</v>
      </c>
      <c r="T20" s="416">
        <v>0.64</v>
      </c>
      <c r="U20" s="416">
        <v>9.3000000000000007</v>
      </c>
      <c r="V20" s="416">
        <f t="shared" si="1"/>
        <v>15.451000000000001</v>
      </c>
      <c r="W20" s="417">
        <v>17.91</v>
      </c>
      <c r="X20" s="418">
        <v>1</v>
      </c>
      <c r="Y20" s="418">
        <v>1</v>
      </c>
      <c r="Z20" s="416">
        <v>15.451000000000001</v>
      </c>
      <c r="AA20" s="420"/>
      <c r="AB20" s="421"/>
      <c r="AC20" s="420"/>
      <c r="AD20" s="421"/>
      <c r="AE20" s="422"/>
      <c r="AF20" s="421">
        <v>21.25</v>
      </c>
      <c r="AG20" s="33"/>
      <c r="AH20" s="33"/>
      <c r="AI20" s="4"/>
    </row>
    <row r="21" spans="2:35" s="15" customFormat="1" x14ac:dyDescent="0.35">
      <c r="B21" s="413">
        <v>400</v>
      </c>
      <c r="C21" s="413" t="s">
        <v>1400</v>
      </c>
      <c r="D21" s="414" t="s">
        <v>1409</v>
      </c>
      <c r="E21" s="415">
        <v>21.69</v>
      </c>
      <c r="F21" s="415">
        <v>16.54</v>
      </c>
      <c r="G21" s="415">
        <v>15.933999999999999</v>
      </c>
      <c r="H21" s="416">
        <v>12.59</v>
      </c>
      <c r="I21" s="416">
        <v>0.59099999999999997</v>
      </c>
      <c r="J21" s="416">
        <v>0.108</v>
      </c>
      <c r="K21" s="416">
        <v>1.181</v>
      </c>
      <c r="L21" s="416">
        <v>2</v>
      </c>
      <c r="M21" s="416">
        <v>19.72</v>
      </c>
      <c r="N21" s="416">
        <f t="shared" si="0"/>
        <v>9.86</v>
      </c>
      <c r="O21" s="416">
        <v>0.43</v>
      </c>
      <c r="P21" s="416">
        <v>0</v>
      </c>
      <c r="Q21" s="416">
        <v>3.1030000000000002</v>
      </c>
      <c r="R21" s="416">
        <v>1.89</v>
      </c>
      <c r="S21" s="415">
        <v>3</v>
      </c>
      <c r="T21" s="416">
        <v>0.64</v>
      </c>
      <c r="U21" s="416">
        <v>9.3000000000000007</v>
      </c>
      <c r="V21" s="416">
        <f t="shared" si="1"/>
        <v>15.451000000000001</v>
      </c>
      <c r="W21" s="417">
        <v>17.91</v>
      </c>
      <c r="X21" s="418">
        <v>1</v>
      </c>
      <c r="Y21" s="418">
        <v>1</v>
      </c>
      <c r="Z21" s="416">
        <v>15.451000000000001</v>
      </c>
      <c r="AA21" s="420"/>
      <c r="AB21" s="421"/>
      <c r="AC21" s="420"/>
      <c r="AD21" s="421"/>
      <c r="AE21" s="422"/>
      <c r="AF21" s="421">
        <v>21.25</v>
      </c>
      <c r="AG21" s="33"/>
      <c r="AH21" s="33"/>
      <c r="AI21" s="4"/>
    </row>
    <row r="22" spans="2:35" s="15" customFormat="1" x14ac:dyDescent="0.35">
      <c r="B22" s="412" t="s">
        <v>211</v>
      </c>
      <c r="C22" s="413" t="s">
        <v>1400</v>
      </c>
      <c r="D22" s="414" t="s">
        <v>1563</v>
      </c>
      <c r="E22" s="415">
        <v>19.690000000000001</v>
      </c>
      <c r="F22" s="415">
        <v>18.14</v>
      </c>
      <c r="G22" s="415">
        <v>15.81</v>
      </c>
      <c r="H22" s="415">
        <v>12.94</v>
      </c>
      <c r="I22" s="416">
        <v>-1</v>
      </c>
      <c r="J22" s="416">
        <v>0.12</v>
      </c>
      <c r="K22" s="416">
        <v>2.75</v>
      </c>
      <c r="L22" s="415">
        <v>3</v>
      </c>
      <c r="M22" s="415">
        <v>8.86</v>
      </c>
      <c r="N22" s="416">
        <v>8.86</v>
      </c>
      <c r="O22" s="415">
        <v>0.43</v>
      </c>
      <c r="P22" s="415">
        <v>0</v>
      </c>
      <c r="Q22" s="416">
        <v>1.77</v>
      </c>
      <c r="R22" s="416">
        <v>1.85</v>
      </c>
      <c r="S22" s="415">
        <v>3</v>
      </c>
      <c r="T22" s="416">
        <v>0.64</v>
      </c>
      <c r="U22" s="416">
        <v>9.3000000000000007</v>
      </c>
      <c r="V22" s="416">
        <f t="shared" si="1"/>
        <v>16.930000000000003</v>
      </c>
      <c r="W22" s="417">
        <v>17.91</v>
      </c>
      <c r="X22" s="418">
        <v>4</v>
      </c>
      <c r="Y22" s="419">
        <v>3.5</v>
      </c>
      <c r="Z22" s="416"/>
      <c r="AA22" s="420"/>
      <c r="AB22" s="421"/>
      <c r="AC22" s="420"/>
      <c r="AD22" s="421"/>
      <c r="AE22" s="422"/>
      <c r="AF22" s="421">
        <f>16.25+3</f>
        <v>19.25</v>
      </c>
      <c r="AG22" s="33"/>
      <c r="AH22" s="33"/>
      <c r="AI22" s="4"/>
    </row>
    <row r="23" spans="2:35" s="15" customFormat="1" x14ac:dyDescent="0.35">
      <c r="B23" s="412" t="s">
        <v>211</v>
      </c>
      <c r="C23" s="413" t="s">
        <v>1398</v>
      </c>
      <c r="D23" s="414" t="s">
        <v>1564</v>
      </c>
      <c r="E23" s="415">
        <v>19.690000000000001</v>
      </c>
      <c r="F23" s="415">
        <v>18.14</v>
      </c>
      <c r="G23" s="415">
        <v>15.81</v>
      </c>
      <c r="H23" s="415">
        <v>12.94</v>
      </c>
      <c r="I23" s="416">
        <v>-1</v>
      </c>
      <c r="J23" s="416">
        <v>0.12</v>
      </c>
      <c r="K23" s="416">
        <v>2.75</v>
      </c>
      <c r="L23" s="415">
        <v>3</v>
      </c>
      <c r="M23" s="415">
        <v>8.86</v>
      </c>
      <c r="N23" s="416">
        <v>8.86</v>
      </c>
      <c r="O23" s="415">
        <v>0.43</v>
      </c>
      <c r="P23" s="415">
        <v>0</v>
      </c>
      <c r="Q23" s="416">
        <v>1.77</v>
      </c>
      <c r="R23" s="416">
        <v>1.85</v>
      </c>
      <c r="S23" s="415">
        <v>3</v>
      </c>
      <c r="T23" s="416">
        <v>0.64</v>
      </c>
      <c r="U23" s="416">
        <v>9.3000000000000007</v>
      </c>
      <c r="V23" s="416">
        <f t="shared" ref="V23" si="4">G23-I23+J23</f>
        <v>16.930000000000003</v>
      </c>
      <c r="W23" s="417">
        <v>17.91</v>
      </c>
      <c r="X23" s="418">
        <v>4</v>
      </c>
      <c r="Y23" s="419">
        <v>3.5</v>
      </c>
      <c r="Z23" s="416"/>
      <c r="AA23" s="420"/>
      <c r="AB23" s="421"/>
      <c r="AC23" s="420"/>
      <c r="AD23" s="421"/>
      <c r="AE23" s="422"/>
      <c r="AF23" s="421">
        <f>16.25+3</f>
        <v>19.25</v>
      </c>
      <c r="AG23" s="33"/>
      <c r="AH23" s="33"/>
      <c r="AI23" s="4"/>
    </row>
    <row r="24" spans="2:35" s="15" customFormat="1" x14ac:dyDescent="0.35">
      <c r="B24" s="309">
        <v>40</v>
      </c>
      <c r="C24" s="309"/>
      <c r="D24" s="310" t="s">
        <v>212</v>
      </c>
      <c r="E24" s="311">
        <v>21.654</v>
      </c>
      <c r="F24" s="311">
        <v>18.11</v>
      </c>
      <c r="G24" s="311">
        <v>14.488</v>
      </c>
      <c r="H24" s="311">
        <v>11.614000000000001</v>
      </c>
      <c r="I24" s="312">
        <v>0.59099999999999997</v>
      </c>
      <c r="J24" s="312">
        <v>0.11799999999999999</v>
      </c>
      <c r="K24" s="312">
        <v>0.98399999999999999</v>
      </c>
      <c r="L24" s="311">
        <v>2</v>
      </c>
      <c r="M24" s="311">
        <v>20.433</v>
      </c>
      <c r="N24" s="313">
        <f t="shared" si="0"/>
        <v>10.2165</v>
      </c>
      <c r="O24" s="311">
        <v>0.43</v>
      </c>
      <c r="P24" s="311">
        <v>0</v>
      </c>
      <c r="Q24" s="312">
        <v>1.5549999999999999</v>
      </c>
      <c r="R24" s="312">
        <v>4.5380000000000003</v>
      </c>
      <c r="S24" s="312">
        <v>1.9770000000000001</v>
      </c>
      <c r="T24" s="314">
        <v>0.64</v>
      </c>
      <c r="U24" s="311">
        <v>8.9529999999999994</v>
      </c>
      <c r="V24" s="312">
        <f>G24</f>
        <v>14.488</v>
      </c>
      <c r="W24" s="312">
        <f>8.985*2</f>
        <v>17.97</v>
      </c>
      <c r="X24" s="315">
        <v>4</v>
      </c>
      <c r="Y24" s="315">
        <v>3</v>
      </c>
      <c r="Z24" s="312"/>
      <c r="AA24" s="316"/>
      <c r="AB24" s="317"/>
      <c r="AC24" s="316"/>
      <c r="AD24" s="317"/>
      <c r="AE24" s="318"/>
      <c r="AF24" s="382">
        <v>18</v>
      </c>
      <c r="AG24" s="33"/>
      <c r="AH24" s="33"/>
      <c r="AI24" s="4"/>
    </row>
    <row r="25" spans="2:35" s="15" customFormat="1" x14ac:dyDescent="0.35">
      <c r="B25" s="413">
        <v>450</v>
      </c>
      <c r="C25" s="413" t="s">
        <v>1398</v>
      </c>
      <c r="D25" s="414" t="s">
        <v>1410</v>
      </c>
      <c r="E25" s="415">
        <v>24.803000000000001</v>
      </c>
      <c r="F25" s="415">
        <v>19.684999999999999</v>
      </c>
      <c r="G25" s="415">
        <v>17.128</v>
      </c>
      <c r="H25" s="416">
        <v>13.807</v>
      </c>
      <c r="I25" s="416">
        <v>0.59099999999999997</v>
      </c>
      <c r="J25" s="416">
        <v>0.12</v>
      </c>
      <c r="K25" s="416">
        <v>1.181</v>
      </c>
      <c r="L25" s="416">
        <v>3</v>
      </c>
      <c r="M25" s="416">
        <v>11.417</v>
      </c>
      <c r="N25" s="416">
        <f t="shared" si="0"/>
        <v>11.417</v>
      </c>
      <c r="O25" s="416">
        <v>0.43</v>
      </c>
      <c r="P25" s="416">
        <v>0</v>
      </c>
      <c r="Q25" s="416">
        <v>3.173</v>
      </c>
      <c r="R25" s="416">
        <v>1.89</v>
      </c>
      <c r="S25" s="415">
        <v>3</v>
      </c>
      <c r="T25" s="416">
        <v>0.64</v>
      </c>
      <c r="U25" s="416">
        <v>9.1999999999999993</v>
      </c>
      <c r="V25" s="416">
        <f t="shared" si="1"/>
        <v>16.657</v>
      </c>
      <c r="W25" s="417">
        <v>19.88</v>
      </c>
      <c r="X25" s="418">
        <v>1</v>
      </c>
      <c r="Y25" s="418">
        <v>1</v>
      </c>
      <c r="Z25" s="416">
        <v>16.657</v>
      </c>
      <c r="AA25" s="420"/>
      <c r="AB25" s="421"/>
      <c r="AC25" s="420"/>
      <c r="AD25" s="421"/>
      <c r="AE25" s="422"/>
      <c r="AF25" s="421">
        <v>24.25</v>
      </c>
      <c r="AG25" s="33"/>
      <c r="AH25" s="33"/>
      <c r="AI25" s="4"/>
    </row>
    <row r="26" spans="2:35" s="15" customFormat="1" x14ac:dyDescent="0.35">
      <c r="B26" s="413">
        <v>450</v>
      </c>
      <c r="C26" s="413" t="s">
        <v>1398</v>
      </c>
      <c r="D26" s="414" t="s">
        <v>1411</v>
      </c>
      <c r="E26" s="415">
        <v>24.803000000000001</v>
      </c>
      <c r="F26" s="415">
        <v>20.5</v>
      </c>
      <c r="G26" s="415">
        <v>19.11</v>
      </c>
      <c r="H26" s="416">
        <v>14.083</v>
      </c>
      <c r="I26" s="416">
        <v>0.59099999999999997</v>
      </c>
      <c r="J26" s="416">
        <v>0.12</v>
      </c>
      <c r="K26" s="416">
        <v>1.181</v>
      </c>
      <c r="L26" s="416">
        <v>3</v>
      </c>
      <c r="M26" s="416">
        <v>11.417</v>
      </c>
      <c r="N26" s="416">
        <f t="shared" si="0"/>
        <v>11.417</v>
      </c>
      <c r="O26" s="416">
        <v>0.43</v>
      </c>
      <c r="P26" s="416">
        <v>0</v>
      </c>
      <c r="Q26" s="416">
        <v>3.14</v>
      </c>
      <c r="R26" s="416">
        <v>1.17</v>
      </c>
      <c r="S26" s="416">
        <v>3.8420000000000001</v>
      </c>
      <c r="T26" s="416">
        <v>0.64</v>
      </c>
      <c r="U26" s="416">
        <v>10.9</v>
      </c>
      <c r="V26" s="416">
        <f t="shared" si="1"/>
        <v>18.638999999999999</v>
      </c>
      <c r="W26" s="417">
        <v>19.88</v>
      </c>
      <c r="X26" s="418">
        <v>2</v>
      </c>
      <c r="Y26" s="418">
        <v>1</v>
      </c>
      <c r="Z26" s="416">
        <v>18.638999999999999</v>
      </c>
      <c r="AA26" s="420"/>
      <c r="AB26" s="421"/>
      <c r="AC26" s="420"/>
      <c r="AD26" s="421"/>
      <c r="AE26" s="422"/>
      <c r="AF26" s="421">
        <v>24.25</v>
      </c>
      <c r="AG26" s="33"/>
      <c r="AH26" s="33"/>
      <c r="AI26" s="4"/>
    </row>
    <row r="27" spans="2:35" s="15" customFormat="1" x14ac:dyDescent="0.35">
      <c r="B27" s="413">
        <v>450</v>
      </c>
      <c r="C27" s="413" t="s">
        <v>1400</v>
      </c>
      <c r="D27" s="414" t="s">
        <v>1412</v>
      </c>
      <c r="E27" s="415">
        <v>24.803000000000001</v>
      </c>
      <c r="F27" s="415">
        <v>19.684999999999999</v>
      </c>
      <c r="G27" s="415">
        <v>17.128</v>
      </c>
      <c r="H27" s="416">
        <v>13.807</v>
      </c>
      <c r="I27" s="416">
        <v>0.59099999999999997</v>
      </c>
      <c r="J27" s="416">
        <v>0.12</v>
      </c>
      <c r="K27" s="416">
        <v>1.181</v>
      </c>
      <c r="L27" s="416">
        <v>3</v>
      </c>
      <c r="M27" s="416">
        <v>11.417</v>
      </c>
      <c r="N27" s="416">
        <f t="shared" si="0"/>
        <v>11.417</v>
      </c>
      <c r="O27" s="416">
        <v>0.43</v>
      </c>
      <c r="P27" s="416">
        <v>0</v>
      </c>
      <c r="Q27" s="416">
        <v>3.173</v>
      </c>
      <c r="R27" s="416">
        <v>1.89</v>
      </c>
      <c r="S27" s="416">
        <v>3</v>
      </c>
      <c r="T27" s="416">
        <v>0.64</v>
      </c>
      <c r="U27" s="416">
        <v>9.1999999999999993</v>
      </c>
      <c r="V27" s="416">
        <f t="shared" si="1"/>
        <v>16.657</v>
      </c>
      <c r="W27" s="417">
        <v>19.88</v>
      </c>
      <c r="X27" s="418">
        <v>1</v>
      </c>
      <c r="Y27" s="418">
        <v>1</v>
      </c>
      <c r="Z27" s="416">
        <v>16.657</v>
      </c>
      <c r="AA27" s="420"/>
      <c r="AB27" s="421"/>
      <c r="AC27" s="420"/>
      <c r="AD27" s="421"/>
      <c r="AE27" s="422"/>
      <c r="AF27" s="421">
        <v>24.25</v>
      </c>
      <c r="AG27" s="33"/>
      <c r="AI27" s="4"/>
    </row>
    <row r="28" spans="2:35" s="15" customFormat="1" x14ac:dyDescent="0.35">
      <c r="B28" s="413">
        <v>450</v>
      </c>
      <c r="C28" s="413" t="s">
        <v>1400</v>
      </c>
      <c r="D28" s="414" t="s">
        <v>1413</v>
      </c>
      <c r="E28" s="415">
        <v>24.803000000000001</v>
      </c>
      <c r="F28" s="415">
        <v>20.5</v>
      </c>
      <c r="G28" s="415">
        <v>19.11</v>
      </c>
      <c r="H28" s="416">
        <v>14.083</v>
      </c>
      <c r="I28" s="416">
        <v>0.59099999999999997</v>
      </c>
      <c r="J28" s="416">
        <v>0.12</v>
      </c>
      <c r="K28" s="416">
        <v>1.181</v>
      </c>
      <c r="L28" s="416">
        <v>3</v>
      </c>
      <c r="M28" s="416">
        <v>11.417</v>
      </c>
      <c r="N28" s="416">
        <f t="shared" si="0"/>
        <v>11.417</v>
      </c>
      <c r="O28" s="416">
        <v>0.43</v>
      </c>
      <c r="P28" s="416">
        <v>0</v>
      </c>
      <c r="Q28" s="416">
        <v>3.14</v>
      </c>
      <c r="R28" s="416">
        <v>1.17</v>
      </c>
      <c r="S28" s="416">
        <v>3.8420000000000001</v>
      </c>
      <c r="T28" s="416">
        <v>0.64</v>
      </c>
      <c r="U28" s="416">
        <v>10.9</v>
      </c>
      <c r="V28" s="416">
        <f t="shared" si="1"/>
        <v>18.638999999999999</v>
      </c>
      <c r="W28" s="417">
        <v>19.88</v>
      </c>
      <c r="X28" s="418">
        <v>2</v>
      </c>
      <c r="Y28" s="418">
        <v>1</v>
      </c>
      <c r="Z28" s="416">
        <v>18.638999999999999</v>
      </c>
      <c r="AA28" s="420"/>
      <c r="AB28" s="421"/>
      <c r="AC28" s="420"/>
      <c r="AD28" s="421"/>
      <c r="AE28" s="422"/>
      <c r="AF28" s="421">
        <v>24.25</v>
      </c>
      <c r="AG28" s="33"/>
      <c r="AI28" s="4"/>
    </row>
    <row r="29" spans="2:35" s="15" customFormat="1" x14ac:dyDescent="0.35">
      <c r="B29" s="412" t="s">
        <v>213</v>
      </c>
      <c r="C29" s="413" t="s">
        <v>1400</v>
      </c>
      <c r="D29" s="414" t="s">
        <v>1565</v>
      </c>
      <c r="E29" s="415">
        <v>24.8</v>
      </c>
      <c r="F29" s="415">
        <v>23.24</v>
      </c>
      <c r="G29" s="415">
        <v>17.34</v>
      </c>
      <c r="H29" s="415">
        <v>14.47</v>
      </c>
      <c r="I29" s="416">
        <v>-1</v>
      </c>
      <c r="J29" s="416">
        <v>0.12</v>
      </c>
      <c r="K29" s="416">
        <v>2.75</v>
      </c>
      <c r="L29" s="415">
        <v>3</v>
      </c>
      <c r="M29" s="415">
        <v>11.414999999999999</v>
      </c>
      <c r="N29" s="416">
        <v>11.414999999999999</v>
      </c>
      <c r="O29" s="415">
        <v>0.43</v>
      </c>
      <c r="P29" s="415">
        <v>0</v>
      </c>
      <c r="Q29" s="416">
        <v>1.98</v>
      </c>
      <c r="R29" s="416">
        <v>1.85</v>
      </c>
      <c r="S29" s="415">
        <v>3</v>
      </c>
      <c r="T29" s="416">
        <v>0.64</v>
      </c>
      <c r="U29" s="416">
        <v>10.9</v>
      </c>
      <c r="V29" s="416">
        <f t="shared" si="1"/>
        <v>18.46</v>
      </c>
      <c r="W29" s="417">
        <v>19.88</v>
      </c>
      <c r="X29" s="418">
        <v>4</v>
      </c>
      <c r="Y29" s="419">
        <v>3.5</v>
      </c>
      <c r="Z29" s="416"/>
      <c r="AA29" s="420"/>
      <c r="AB29" s="421"/>
      <c r="AC29" s="420"/>
      <c r="AD29" s="421"/>
      <c r="AE29" s="422"/>
      <c r="AF29" s="421">
        <v>24.25</v>
      </c>
      <c r="AG29" s="33"/>
      <c r="AH29" s="33"/>
      <c r="AI29" s="4"/>
    </row>
    <row r="30" spans="2:35" s="15" customFormat="1" x14ac:dyDescent="0.35">
      <c r="B30" s="412" t="s">
        <v>213</v>
      </c>
      <c r="C30" s="413" t="s">
        <v>1398</v>
      </c>
      <c r="D30" s="414" t="s">
        <v>1566</v>
      </c>
      <c r="E30" s="415">
        <v>24.8</v>
      </c>
      <c r="F30" s="415">
        <v>23.24</v>
      </c>
      <c r="G30" s="415">
        <v>17.34</v>
      </c>
      <c r="H30" s="415">
        <v>14.47</v>
      </c>
      <c r="I30" s="416">
        <v>-1</v>
      </c>
      <c r="J30" s="416">
        <v>0.12</v>
      </c>
      <c r="K30" s="416">
        <v>2.75</v>
      </c>
      <c r="L30" s="415">
        <v>3</v>
      </c>
      <c r="M30" s="415">
        <v>11.414999999999999</v>
      </c>
      <c r="N30" s="416">
        <v>11.414999999999999</v>
      </c>
      <c r="O30" s="415">
        <v>0.43</v>
      </c>
      <c r="P30" s="415">
        <v>0</v>
      </c>
      <c r="Q30" s="416">
        <v>1.98</v>
      </c>
      <c r="R30" s="416">
        <v>1.85</v>
      </c>
      <c r="S30" s="415">
        <v>3</v>
      </c>
      <c r="T30" s="416">
        <v>0.64</v>
      </c>
      <c r="U30" s="416">
        <v>10.9</v>
      </c>
      <c r="V30" s="416">
        <f t="shared" ref="V30" si="5">G30-I30+J30</f>
        <v>18.46</v>
      </c>
      <c r="W30" s="417">
        <v>19.88</v>
      </c>
      <c r="X30" s="418">
        <v>4</v>
      </c>
      <c r="Y30" s="419">
        <v>3.5</v>
      </c>
      <c r="Z30" s="416"/>
      <c r="AA30" s="420"/>
      <c r="AB30" s="421"/>
      <c r="AC30" s="420"/>
      <c r="AD30" s="421"/>
      <c r="AE30" s="422"/>
      <c r="AF30" s="421">
        <v>24.25</v>
      </c>
      <c r="AG30" s="33"/>
      <c r="AH30" s="33"/>
      <c r="AI30" s="4"/>
    </row>
    <row r="31" spans="2:35" s="15" customFormat="1" x14ac:dyDescent="0.35">
      <c r="B31" s="412" t="s">
        <v>214</v>
      </c>
      <c r="C31" s="413" t="s">
        <v>1400</v>
      </c>
      <c r="D31" s="414" t="s">
        <v>1567</v>
      </c>
      <c r="E31" s="415">
        <v>24.8</v>
      </c>
      <c r="F31" s="415">
        <v>19.38</v>
      </c>
      <c r="G31" s="415">
        <v>21.183499999999999</v>
      </c>
      <c r="H31" s="415">
        <v>17.347999999999999</v>
      </c>
      <c r="I31" s="416">
        <v>-1</v>
      </c>
      <c r="J31" s="416">
        <v>0.13500000000000001</v>
      </c>
      <c r="K31" s="416">
        <v>2.2309999999999999</v>
      </c>
      <c r="L31" s="415">
        <v>3</v>
      </c>
      <c r="M31" s="415">
        <v>11.414999999999999</v>
      </c>
      <c r="N31" s="416">
        <v>11.414999999999999</v>
      </c>
      <c r="O31" s="415">
        <v>0.43</v>
      </c>
      <c r="P31" s="415">
        <v>0</v>
      </c>
      <c r="Q31" s="416">
        <v>2.4550000000000001</v>
      </c>
      <c r="R31" s="416">
        <v>1.9</v>
      </c>
      <c r="S31" s="415">
        <v>3</v>
      </c>
      <c r="T31" s="416">
        <v>0.77559999999999996</v>
      </c>
      <c r="U31" s="416">
        <v>10.92</v>
      </c>
      <c r="V31" s="416">
        <v>21.183499999999999</v>
      </c>
      <c r="W31" s="417">
        <v>20.86</v>
      </c>
      <c r="X31" s="419">
        <v>1.5</v>
      </c>
      <c r="Y31" s="419">
        <v>3.5</v>
      </c>
      <c r="Z31" s="416"/>
      <c r="AA31" s="420"/>
      <c r="AB31" s="421"/>
      <c r="AC31" s="420"/>
      <c r="AD31" s="421"/>
      <c r="AE31" s="422"/>
      <c r="AF31" s="421">
        <v>24.25</v>
      </c>
      <c r="AG31" s="33"/>
      <c r="AH31" s="33"/>
      <c r="AI31" s="4"/>
    </row>
    <row r="32" spans="2:35" s="15" customFormat="1" x14ac:dyDescent="0.35">
      <c r="B32" s="412" t="s">
        <v>214</v>
      </c>
      <c r="C32" s="413" t="s">
        <v>1398</v>
      </c>
      <c r="D32" s="414" t="s">
        <v>1568</v>
      </c>
      <c r="E32" s="415">
        <v>24.8</v>
      </c>
      <c r="F32" s="415">
        <v>19.38</v>
      </c>
      <c r="G32" s="415">
        <v>21.183499999999999</v>
      </c>
      <c r="H32" s="415">
        <v>17.347999999999999</v>
      </c>
      <c r="I32" s="416">
        <v>-1</v>
      </c>
      <c r="J32" s="416">
        <v>0.13500000000000001</v>
      </c>
      <c r="K32" s="416">
        <v>2.2309999999999999</v>
      </c>
      <c r="L32" s="415">
        <v>3</v>
      </c>
      <c r="M32" s="415">
        <v>11.414999999999999</v>
      </c>
      <c r="N32" s="416">
        <v>11.414999999999999</v>
      </c>
      <c r="O32" s="415">
        <v>0.43</v>
      </c>
      <c r="P32" s="415">
        <v>0</v>
      </c>
      <c r="Q32" s="416">
        <v>2.4550000000000001</v>
      </c>
      <c r="R32" s="416">
        <v>1.9</v>
      </c>
      <c r="S32" s="415">
        <v>3</v>
      </c>
      <c r="T32" s="416">
        <v>0.77559999999999996</v>
      </c>
      <c r="U32" s="416">
        <v>10.92</v>
      </c>
      <c r="V32" s="416">
        <v>21.183499999999999</v>
      </c>
      <c r="W32" s="417">
        <v>20.86</v>
      </c>
      <c r="X32" s="419">
        <v>1.5</v>
      </c>
      <c r="Y32" s="419">
        <v>3.5</v>
      </c>
      <c r="Z32" s="416"/>
      <c r="AA32" s="420"/>
      <c r="AB32" s="421"/>
      <c r="AC32" s="420"/>
      <c r="AD32" s="421"/>
      <c r="AE32" s="422"/>
      <c r="AF32" s="421">
        <v>24.25</v>
      </c>
      <c r="AG32" s="33"/>
      <c r="AH32" s="33"/>
      <c r="AI32" s="4"/>
    </row>
    <row r="33" spans="2:38" s="15" customFormat="1" x14ac:dyDescent="0.35">
      <c r="B33" s="309">
        <v>45</v>
      </c>
      <c r="C33" s="309"/>
      <c r="D33" s="310" t="s">
        <v>215</v>
      </c>
      <c r="E33" s="311">
        <v>24.803000000000001</v>
      </c>
      <c r="F33" s="311">
        <v>20.315000000000001</v>
      </c>
      <c r="G33" s="311">
        <v>15.61</v>
      </c>
      <c r="H33" s="311">
        <v>12.736000000000001</v>
      </c>
      <c r="I33" s="312">
        <v>0.59099999999999997</v>
      </c>
      <c r="J33" s="312">
        <v>0.11799999999999999</v>
      </c>
      <c r="K33" s="312">
        <v>0.98399999999999999</v>
      </c>
      <c r="L33" s="311">
        <v>2</v>
      </c>
      <c r="M33" s="311">
        <v>22.835000000000001</v>
      </c>
      <c r="N33" s="313">
        <f t="shared" si="0"/>
        <v>11.4175</v>
      </c>
      <c r="O33" s="311">
        <v>0.43</v>
      </c>
      <c r="P33" s="311">
        <v>0</v>
      </c>
      <c r="Q33" s="312">
        <v>1.909</v>
      </c>
      <c r="R33" s="312">
        <v>5.0389999999999997</v>
      </c>
      <c r="S33" s="312">
        <v>1.9770000000000001</v>
      </c>
      <c r="T33" s="314">
        <v>0.64</v>
      </c>
      <c r="U33" s="311">
        <v>8.9529999999999994</v>
      </c>
      <c r="V33" s="312">
        <f>G33</f>
        <v>15.61</v>
      </c>
      <c r="W33" s="312">
        <f>10.127*2</f>
        <v>20.254000000000001</v>
      </c>
      <c r="X33" s="315">
        <v>4</v>
      </c>
      <c r="Y33" s="315">
        <v>3</v>
      </c>
      <c r="Z33" s="312"/>
      <c r="AA33" s="316"/>
      <c r="AB33" s="317"/>
      <c r="AC33" s="316"/>
      <c r="AD33" s="317"/>
      <c r="AE33" s="318"/>
      <c r="AF33" s="382">
        <v>21</v>
      </c>
      <c r="AG33" s="33"/>
      <c r="AH33" s="33"/>
      <c r="AI33" s="4"/>
    </row>
    <row r="34" spans="2:38" s="15" customFormat="1" x14ac:dyDescent="0.35">
      <c r="B34" s="413">
        <v>500</v>
      </c>
      <c r="C34" s="413" t="s">
        <v>1398</v>
      </c>
      <c r="D34" s="414" t="s">
        <v>1414</v>
      </c>
      <c r="E34" s="415">
        <v>26.76</v>
      </c>
      <c r="F34" s="415">
        <v>20.87</v>
      </c>
      <c r="G34" s="415">
        <v>17.615100000000002</v>
      </c>
      <c r="H34" s="416">
        <v>14.26</v>
      </c>
      <c r="I34" s="416">
        <v>0.625</v>
      </c>
      <c r="J34" s="416">
        <v>0.108</v>
      </c>
      <c r="K34" s="416">
        <v>1</v>
      </c>
      <c r="L34" s="416">
        <v>3</v>
      </c>
      <c r="M34" s="416">
        <v>12.396000000000001</v>
      </c>
      <c r="N34" s="416">
        <f t="shared" si="0"/>
        <v>12.396000000000001</v>
      </c>
      <c r="O34" s="416">
        <v>0.43</v>
      </c>
      <c r="P34" s="416">
        <v>0</v>
      </c>
      <c r="Q34" s="416">
        <v>3.4750000000000001</v>
      </c>
      <c r="R34" s="416">
        <v>1.89</v>
      </c>
      <c r="S34" s="416">
        <v>3</v>
      </c>
      <c r="T34" s="416">
        <v>0.64</v>
      </c>
      <c r="U34" s="416">
        <v>9.1999999999999993</v>
      </c>
      <c r="V34" s="416">
        <f t="shared" si="1"/>
        <v>17.098100000000002</v>
      </c>
      <c r="W34" s="417">
        <v>22.28</v>
      </c>
      <c r="X34" s="418">
        <v>1</v>
      </c>
      <c r="Y34" s="418">
        <v>1</v>
      </c>
      <c r="Z34" s="416">
        <v>17.098100000000002</v>
      </c>
      <c r="AA34" s="420"/>
      <c r="AB34" s="421"/>
      <c r="AC34" s="420"/>
      <c r="AD34" s="421"/>
      <c r="AE34" s="422"/>
      <c r="AF34" s="421">
        <v>26.25</v>
      </c>
      <c r="AG34" s="33"/>
      <c r="AH34" s="33"/>
      <c r="AK34" s="3"/>
      <c r="AL34" s="4"/>
    </row>
    <row r="35" spans="2:38" s="15" customFormat="1" x14ac:dyDescent="0.35">
      <c r="B35" s="413">
        <v>500</v>
      </c>
      <c r="C35" s="413" t="s">
        <v>1398</v>
      </c>
      <c r="D35" s="414" t="s">
        <v>1415</v>
      </c>
      <c r="E35" s="415">
        <v>26.76</v>
      </c>
      <c r="F35" s="415">
        <v>22.047000000000001</v>
      </c>
      <c r="G35" s="415">
        <v>20.904</v>
      </c>
      <c r="H35" s="416">
        <v>15.856999999999999</v>
      </c>
      <c r="I35" s="416">
        <v>0.59099999999999997</v>
      </c>
      <c r="J35" s="416">
        <v>0.12</v>
      </c>
      <c r="K35" s="416">
        <v>1.181</v>
      </c>
      <c r="L35" s="416">
        <v>3</v>
      </c>
      <c r="M35" s="416">
        <v>12.412000000000001</v>
      </c>
      <c r="N35" s="416">
        <f t="shared" si="0"/>
        <v>12.412000000000001</v>
      </c>
      <c r="O35" s="416">
        <v>0.43</v>
      </c>
      <c r="P35" s="416">
        <v>0</v>
      </c>
      <c r="Q35" s="416">
        <v>3.3410000000000002</v>
      </c>
      <c r="R35" s="416">
        <v>1.1679999999999999</v>
      </c>
      <c r="S35" s="416">
        <v>3.8410000000000002</v>
      </c>
      <c r="T35" s="416">
        <v>0.64</v>
      </c>
      <c r="U35" s="416">
        <v>10.7</v>
      </c>
      <c r="V35" s="416">
        <f t="shared" si="1"/>
        <v>20.433</v>
      </c>
      <c r="W35" s="417">
        <v>22.28</v>
      </c>
      <c r="X35" s="418">
        <v>2</v>
      </c>
      <c r="Y35" s="418">
        <v>1</v>
      </c>
      <c r="Z35" s="416">
        <v>20.433</v>
      </c>
      <c r="AA35" s="420"/>
      <c r="AB35" s="421"/>
      <c r="AC35" s="420"/>
      <c r="AD35" s="421"/>
      <c r="AE35" s="422"/>
      <c r="AF35" s="421">
        <v>26.25</v>
      </c>
      <c r="AG35" s="33"/>
      <c r="AH35" s="33"/>
      <c r="AK35" s="3"/>
      <c r="AL35" s="4"/>
    </row>
    <row r="36" spans="2:38" s="15" customFormat="1" x14ac:dyDescent="0.35">
      <c r="B36" s="413">
        <v>500</v>
      </c>
      <c r="C36" s="413" t="s">
        <v>1400</v>
      </c>
      <c r="D36" s="414" t="s">
        <v>1416</v>
      </c>
      <c r="E36" s="415">
        <v>26.76</v>
      </c>
      <c r="F36" s="415">
        <v>20.87</v>
      </c>
      <c r="G36" s="415">
        <v>17.617100000000001</v>
      </c>
      <c r="H36" s="416">
        <v>14.26</v>
      </c>
      <c r="I36" s="416">
        <v>0.625</v>
      </c>
      <c r="J36" s="416">
        <v>0.108</v>
      </c>
      <c r="K36" s="416">
        <v>1</v>
      </c>
      <c r="L36" s="416">
        <v>3</v>
      </c>
      <c r="M36" s="416">
        <v>12.396000000000001</v>
      </c>
      <c r="N36" s="416">
        <f t="shared" si="0"/>
        <v>12.396000000000001</v>
      </c>
      <c r="O36" s="416">
        <v>0.43</v>
      </c>
      <c r="P36" s="416">
        <v>0</v>
      </c>
      <c r="Q36" s="416">
        <v>3.4750000000000001</v>
      </c>
      <c r="R36" s="416">
        <v>1.89</v>
      </c>
      <c r="S36" s="416">
        <v>3</v>
      </c>
      <c r="T36" s="416">
        <v>0.64</v>
      </c>
      <c r="U36" s="416">
        <v>9.1999999999999993</v>
      </c>
      <c r="V36" s="416">
        <f t="shared" si="1"/>
        <v>17.100100000000001</v>
      </c>
      <c r="W36" s="417">
        <v>22.28</v>
      </c>
      <c r="X36" s="418">
        <v>1</v>
      </c>
      <c r="Y36" s="418">
        <v>1</v>
      </c>
      <c r="Z36" s="416">
        <v>17.100100000000001</v>
      </c>
      <c r="AA36" s="420"/>
      <c r="AB36" s="421"/>
      <c r="AC36" s="420"/>
      <c r="AD36" s="421"/>
      <c r="AE36" s="422"/>
      <c r="AF36" s="421">
        <v>26.25</v>
      </c>
      <c r="AG36" s="33"/>
      <c r="AH36" s="33"/>
      <c r="AK36" s="3"/>
      <c r="AL36" s="4"/>
    </row>
    <row r="37" spans="2:38" s="15" customFormat="1" x14ac:dyDescent="0.35">
      <c r="B37" s="413">
        <v>500</v>
      </c>
      <c r="C37" s="413" t="s">
        <v>1400</v>
      </c>
      <c r="D37" s="414" t="s">
        <v>1417</v>
      </c>
      <c r="E37" s="415">
        <v>26.76</v>
      </c>
      <c r="F37" s="415">
        <v>22.047000000000001</v>
      </c>
      <c r="G37" s="415">
        <v>20.904</v>
      </c>
      <c r="H37" s="416">
        <v>15.856999999999999</v>
      </c>
      <c r="I37" s="416">
        <v>0.59099999999999997</v>
      </c>
      <c r="J37" s="416">
        <v>0.12</v>
      </c>
      <c r="K37" s="416">
        <v>1.181</v>
      </c>
      <c r="L37" s="416">
        <v>3</v>
      </c>
      <c r="M37" s="416">
        <v>12.412000000000001</v>
      </c>
      <c r="N37" s="416">
        <f t="shared" si="0"/>
        <v>12.412000000000001</v>
      </c>
      <c r="O37" s="416">
        <v>0.43</v>
      </c>
      <c r="P37" s="416">
        <v>0</v>
      </c>
      <c r="Q37" s="416">
        <v>3.3410000000000002</v>
      </c>
      <c r="R37" s="416">
        <v>1.1679999999999999</v>
      </c>
      <c r="S37" s="416">
        <v>3.8410000000000002</v>
      </c>
      <c r="T37" s="416">
        <v>0.64</v>
      </c>
      <c r="U37" s="416">
        <v>10.7</v>
      </c>
      <c r="V37" s="416">
        <f t="shared" si="1"/>
        <v>20.433</v>
      </c>
      <c r="W37" s="417">
        <v>22.28</v>
      </c>
      <c r="X37" s="418">
        <v>2</v>
      </c>
      <c r="Y37" s="418">
        <v>1</v>
      </c>
      <c r="Z37" s="416">
        <v>20.433</v>
      </c>
      <c r="AA37" s="420"/>
      <c r="AB37" s="421"/>
      <c r="AC37" s="420"/>
      <c r="AD37" s="421"/>
      <c r="AE37" s="422"/>
      <c r="AF37" s="421">
        <v>26.25</v>
      </c>
      <c r="AG37" s="33"/>
      <c r="AH37" s="33"/>
      <c r="AK37" s="3"/>
      <c r="AL37" s="4"/>
    </row>
    <row r="38" spans="2:38" s="15" customFormat="1" x14ac:dyDescent="0.35">
      <c r="B38" s="412" t="s">
        <v>216</v>
      </c>
      <c r="C38" s="413" t="s">
        <v>1400</v>
      </c>
      <c r="D38" s="414" t="s">
        <v>1569</v>
      </c>
      <c r="E38" s="415">
        <v>24.8</v>
      </c>
      <c r="F38" s="415">
        <v>23.24</v>
      </c>
      <c r="G38" s="415">
        <v>18.579999999999998</v>
      </c>
      <c r="H38" s="415">
        <v>15.71</v>
      </c>
      <c r="I38" s="416">
        <v>-1</v>
      </c>
      <c r="J38" s="416">
        <v>0.12</v>
      </c>
      <c r="K38" s="416">
        <v>2.75</v>
      </c>
      <c r="L38" s="415">
        <v>3</v>
      </c>
      <c r="M38" s="415">
        <v>11.414999999999999</v>
      </c>
      <c r="N38" s="416">
        <v>11.414999999999999</v>
      </c>
      <c r="O38" s="415">
        <v>0.43</v>
      </c>
      <c r="P38" s="415">
        <v>0</v>
      </c>
      <c r="Q38" s="416">
        <v>1.98</v>
      </c>
      <c r="R38" s="416">
        <v>1.85</v>
      </c>
      <c r="S38" s="415">
        <v>3</v>
      </c>
      <c r="T38" s="416">
        <v>0.64</v>
      </c>
      <c r="U38" s="416">
        <v>10.7</v>
      </c>
      <c r="V38" s="416">
        <f t="shared" si="1"/>
        <v>19.7</v>
      </c>
      <c r="W38" s="417">
        <v>22.28</v>
      </c>
      <c r="X38" s="418">
        <v>4</v>
      </c>
      <c r="Y38" s="419">
        <v>3.5</v>
      </c>
      <c r="Z38" s="416"/>
      <c r="AA38" s="420"/>
      <c r="AB38" s="421"/>
      <c r="AC38" s="420"/>
      <c r="AD38" s="421"/>
      <c r="AE38" s="422"/>
      <c r="AF38" s="421">
        <v>24.25</v>
      </c>
      <c r="AG38" s="33"/>
      <c r="AH38" s="33"/>
      <c r="AI38" s="4"/>
    </row>
    <row r="39" spans="2:38" s="15" customFormat="1" x14ac:dyDescent="0.35">
      <c r="B39" s="412" t="s">
        <v>216</v>
      </c>
      <c r="C39" s="413" t="s">
        <v>1398</v>
      </c>
      <c r="D39" s="414" t="s">
        <v>1570</v>
      </c>
      <c r="E39" s="415">
        <v>24.8</v>
      </c>
      <c r="F39" s="415">
        <v>23.24</v>
      </c>
      <c r="G39" s="415">
        <v>18.579999999999998</v>
      </c>
      <c r="H39" s="415">
        <v>15.71</v>
      </c>
      <c r="I39" s="416">
        <v>-1</v>
      </c>
      <c r="J39" s="416">
        <v>0.12</v>
      </c>
      <c r="K39" s="416">
        <v>2.75</v>
      </c>
      <c r="L39" s="415">
        <v>3</v>
      </c>
      <c r="M39" s="415">
        <v>11.414999999999999</v>
      </c>
      <c r="N39" s="416">
        <v>11.414999999999999</v>
      </c>
      <c r="O39" s="415">
        <v>0.43</v>
      </c>
      <c r="P39" s="415">
        <v>0</v>
      </c>
      <c r="Q39" s="416">
        <v>1.98</v>
      </c>
      <c r="R39" s="416">
        <v>1.85</v>
      </c>
      <c r="S39" s="415">
        <v>3</v>
      </c>
      <c r="T39" s="416">
        <v>0.64</v>
      </c>
      <c r="U39" s="416">
        <v>10.7</v>
      </c>
      <c r="V39" s="416">
        <f t="shared" ref="V39" si="6">G39-I39+J39</f>
        <v>19.7</v>
      </c>
      <c r="W39" s="417">
        <v>22.28</v>
      </c>
      <c r="X39" s="418">
        <v>4</v>
      </c>
      <c r="Y39" s="419">
        <v>3.5</v>
      </c>
      <c r="Z39" s="416"/>
      <c r="AA39" s="420"/>
      <c r="AB39" s="421"/>
      <c r="AC39" s="420"/>
      <c r="AD39" s="421"/>
      <c r="AE39" s="422"/>
      <c r="AF39" s="421">
        <v>24.25</v>
      </c>
      <c r="AG39" s="33"/>
      <c r="AH39" s="33"/>
      <c r="AI39" s="4"/>
    </row>
    <row r="40" spans="2:38" s="15" customFormat="1" x14ac:dyDescent="0.35">
      <c r="B40" s="412" t="s">
        <v>217</v>
      </c>
      <c r="C40" s="413" t="s">
        <v>1400</v>
      </c>
      <c r="D40" s="414" t="s">
        <v>1571</v>
      </c>
      <c r="E40" s="415">
        <v>24.8</v>
      </c>
      <c r="F40" s="415">
        <v>19.25</v>
      </c>
      <c r="G40" s="415">
        <v>23.7544</v>
      </c>
      <c r="H40" s="415">
        <v>19.957000000000001</v>
      </c>
      <c r="I40" s="416">
        <v>-1</v>
      </c>
      <c r="J40" s="416">
        <v>0.13500000000000001</v>
      </c>
      <c r="K40" s="416">
        <v>2.2309999999999999</v>
      </c>
      <c r="L40" s="415">
        <v>3</v>
      </c>
      <c r="M40" s="415">
        <v>11.414999999999999</v>
      </c>
      <c r="N40" s="416">
        <v>11.414999999999999</v>
      </c>
      <c r="O40" s="415">
        <v>0.43</v>
      </c>
      <c r="P40" s="415">
        <v>0</v>
      </c>
      <c r="Q40" s="416">
        <v>2.3079999999999998</v>
      </c>
      <c r="R40" s="423">
        <v>1.9</v>
      </c>
      <c r="S40" s="415">
        <v>3</v>
      </c>
      <c r="T40" s="416">
        <v>0.77559999999999996</v>
      </c>
      <c r="U40" s="416">
        <v>10.92</v>
      </c>
      <c r="V40" s="416">
        <v>23.7544</v>
      </c>
      <c r="W40" s="417">
        <v>23.03</v>
      </c>
      <c r="X40" s="419">
        <v>1.5</v>
      </c>
      <c r="Y40" s="419">
        <v>3.5</v>
      </c>
      <c r="Z40" s="416"/>
      <c r="AA40" s="420"/>
      <c r="AB40" s="421"/>
      <c r="AC40" s="420"/>
      <c r="AD40" s="421"/>
      <c r="AE40" s="422"/>
      <c r="AF40" s="421">
        <v>24.25</v>
      </c>
      <c r="AG40" s="33"/>
      <c r="AH40" s="33"/>
      <c r="AI40" s="4"/>
    </row>
    <row r="41" spans="2:38" s="15" customFormat="1" x14ac:dyDescent="0.35">
      <c r="B41" s="412" t="s">
        <v>217</v>
      </c>
      <c r="C41" s="413" t="s">
        <v>1398</v>
      </c>
      <c r="D41" s="414" t="s">
        <v>1572</v>
      </c>
      <c r="E41" s="415">
        <v>24.8</v>
      </c>
      <c r="F41" s="415">
        <v>19.25</v>
      </c>
      <c r="G41" s="415">
        <v>23.7544</v>
      </c>
      <c r="H41" s="415">
        <v>19.957000000000001</v>
      </c>
      <c r="I41" s="416">
        <v>-1</v>
      </c>
      <c r="J41" s="416">
        <v>0.13500000000000001</v>
      </c>
      <c r="K41" s="416">
        <v>2.2309999999999999</v>
      </c>
      <c r="L41" s="415">
        <v>3</v>
      </c>
      <c r="M41" s="415">
        <v>11.414999999999999</v>
      </c>
      <c r="N41" s="416">
        <v>11.414999999999999</v>
      </c>
      <c r="O41" s="415">
        <v>0.43</v>
      </c>
      <c r="P41" s="415">
        <v>0</v>
      </c>
      <c r="Q41" s="416">
        <v>2.3079999999999998</v>
      </c>
      <c r="R41" s="423">
        <v>1.9</v>
      </c>
      <c r="S41" s="415">
        <v>3</v>
      </c>
      <c r="T41" s="416">
        <v>0.77559999999999996</v>
      </c>
      <c r="U41" s="416">
        <v>10.92</v>
      </c>
      <c r="V41" s="416">
        <v>23.7544</v>
      </c>
      <c r="W41" s="417">
        <v>23.03</v>
      </c>
      <c r="X41" s="419">
        <v>1.5</v>
      </c>
      <c r="Y41" s="419">
        <v>3.5</v>
      </c>
      <c r="Z41" s="416"/>
      <c r="AA41" s="420"/>
      <c r="AB41" s="421"/>
      <c r="AC41" s="420"/>
      <c r="AD41" s="421"/>
      <c r="AE41" s="422"/>
      <c r="AF41" s="421">
        <v>24.25</v>
      </c>
      <c r="AG41" s="33"/>
      <c r="AH41" s="33"/>
      <c r="AI41" s="4"/>
    </row>
    <row r="42" spans="2:38" s="15" customFormat="1" x14ac:dyDescent="0.35">
      <c r="B42" s="309">
        <v>50</v>
      </c>
      <c r="C42" s="309"/>
      <c r="D42" s="310" t="s">
        <v>218</v>
      </c>
      <c r="E42" s="311">
        <v>26.378</v>
      </c>
      <c r="F42" s="311">
        <v>22.835000000000001</v>
      </c>
      <c r="G42" s="311">
        <v>16.949000000000002</v>
      </c>
      <c r="H42" s="311">
        <v>14.074999999999999</v>
      </c>
      <c r="I42" s="312">
        <v>0.98399999999999999</v>
      </c>
      <c r="J42" s="312">
        <v>0.11799999999999999</v>
      </c>
      <c r="K42" s="312">
        <v>1.181</v>
      </c>
      <c r="L42" s="311">
        <v>2</v>
      </c>
      <c r="M42" s="311">
        <v>25</v>
      </c>
      <c r="N42" s="313">
        <f t="shared" si="0"/>
        <v>12.5</v>
      </c>
      <c r="O42" s="311">
        <v>0.43</v>
      </c>
      <c r="P42" s="311">
        <v>0</v>
      </c>
      <c r="Q42" s="312">
        <v>1.5349999999999999</v>
      </c>
      <c r="R42" s="312">
        <v>5.5119999999999996</v>
      </c>
      <c r="S42" s="312">
        <v>2.1709999999999998</v>
      </c>
      <c r="T42" s="314">
        <v>0.64</v>
      </c>
      <c r="U42" s="311">
        <v>8.9700000000000006</v>
      </c>
      <c r="V42" s="312">
        <f>G42</f>
        <v>16.949000000000002</v>
      </c>
      <c r="W42" s="312">
        <f>11.382*2</f>
        <v>22.763999999999999</v>
      </c>
      <c r="X42" s="315">
        <v>4</v>
      </c>
      <c r="Y42" s="315">
        <v>3</v>
      </c>
      <c r="Z42" s="312"/>
      <c r="AA42" s="316"/>
      <c r="AB42" s="317"/>
      <c r="AC42" s="316"/>
      <c r="AD42" s="317"/>
      <c r="AE42" s="318"/>
      <c r="AF42" s="382">
        <v>23</v>
      </c>
      <c r="AG42" s="33"/>
      <c r="AH42" s="33"/>
      <c r="AI42" s="4"/>
    </row>
    <row r="43" spans="2:38" s="15" customFormat="1" x14ac:dyDescent="0.35">
      <c r="B43" s="413">
        <v>560</v>
      </c>
      <c r="C43" s="413" t="s">
        <v>1398</v>
      </c>
      <c r="D43" s="414" t="s">
        <v>1418</v>
      </c>
      <c r="E43" s="415">
        <v>30.66</v>
      </c>
      <c r="F43" s="415">
        <v>24.8</v>
      </c>
      <c r="G43" s="415">
        <v>20.239999999999998</v>
      </c>
      <c r="H43" s="416">
        <v>16.52</v>
      </c>
      <c r="I43" s="416">
        <v>1</v>
      </c>
      <c r="J43" s="416">
        <v>0.12</v>
      </c>
      <c r="K43" s="416">
        <v>0.59099999999999997</v>
      </c>
      <c r="L43" s="416">
        <v>3</v>
      </c>
      <c r="M43" s="416">
        <v>13.83</v>
      </c>
      <c r="N43" s="416">
        <f t="shared" si="0"/>
        <v>13.83</v>
      </c>
      <c r="O43" s="416">
        <v>0.43</v>
      </c>
      <c r="P43" s="416">
        <v>0</v>
      </c>
      <c r="Q43" s="416">
        <v>3.4369999999999998</v>
      </c>
      <c r="R43" s="416">
        <v>1.89</v>
      </c>
      <c r="S43" s="416">
        <v>3</v>
      </c>
      <c r="T43" s="416">
        <v>0.64</v>
      </c>
      <c r="U43" s="416">
        <v>9.1999999999999993</v>
      </c>
      <c r="V43" s="416">
        <f t="shared" si="1"/>
        <v>19.36</v>
      </c>
      <c r="W43" s="417">
        <v>25.04</v>
      </c>
      <c r="X43" s="418">
        <v>1</v>
      </c>
      <c r="Y43" s="418">
        <v>1</v>
      </c>
      <c r="Z43" s="416">
        <v>19.36</v>
      </c>
      <c r="AA43" s="420"/>
      <c r="AB43" s="421"/>
      <c r="AC43" s="420"/>
      <c r="AD43" s="421"/>
      <c r="AE43" s="422"/>
      <c r="AF43" s="421">
        <v>30.25</v>
      </c>
      <c r="AG43" s="33"/>
      <c r="AH43" s="33"/>
      <c r="AK43" s="3"/>
      <c r="AL43" s="4"/>
    </row>
    <row r="44" spans="2:38" s="15" customFormat="1" x14ac:dyDescent="0.35">
      <c r="B44" s="413">
        <v>560</v>
      </c>
      <c r="C44" s="413" t="s">
        <v>1398</v>
      </c>
      <c r="D44" s="414" t="s">
        <v>1419</v>
      </c>
      <c r="E44" s="415">
        <v>31.5</v>
      </c>
      <c r="F44" s="415">
        <v>24.8</v>
      </c>
      <c r="G44" s="415">
        <v>22.95</v>
      </c>
      <c r="H44" s="416">
        <v>17.911000000000001</v>
      </c>
      <c r="I44" s="416">
        <v>0.59099999999999997</v>
      </c>
      <c r="J44" s="416">
        <v>0.12</v>
      </c>
      <c r="K44" s="416">
        <v>1.181</v>
      </c>
      <c r="L44" s="416">
        <v>3</v>
      </c>
      <c r="M44" s="416">
        <v>14.763999999999999</v>
      </c>
      <c r="N44" s="416">
        <f t="shared" si="0"/>
        <v>14.763999999999999</v>
      </c>
      <c r="O44" s="416">
        <v>0.43</v>
      </c>
      <c r="P44" s="416">
        <v>0</v>
      </c>
      <c r="Q44" s="416">
        <v>4.33</v>
      </c>
      <c r="R44" s="416">
        <v>1.17</v>
      </c>
      <c r="S44" s="416">
        <v>3.8420000000000001</v>
      </c>
      <c r="T44" s="416">
        <v>0.64</v>
      </c>
      <c r="U44" s="416">
        <v>10.7</v>
      </c>
      <c r="V44" s="416">
        <f t="shared" si="1"/>
        <v>22.478999999999999</v>
      </c>
      <c r="W44" s="417">
        <v>25.04</v>
      </c>
      <c r="X44" s="418">
        <v>2</v>
      </c>
      <c r="Y44" s="418">
        <v>1</v>
      </c>
      <c r="Z44" s="416">
        <v>22.478999999999999</v>
      </c>
      <c r="AA44" s="420"/>
      <c r="AB44" s="421"/>
      <c r="AC44" s="420"/>
      <c r="AD44" s="421"/>
      <c r="AE44" s="422"/>
      <c r="AF44" s="421">
        <v>31.25</v>
      </c>
      <c r="AG44" s="33"/>
      <c r="AH44" s="33"/>
      <c r="AK44" s="3"/>
      <c r="AL44" s="4"/>
    </row>
    <row r="45" spans="2:38" s="15" customFormat="1" x14ac:dyDescent="0.35">
      <c r="B45" s="413">
        <v>560</v>
      </c>
      <c r="C45" s="413" t="s">
        <v>1400</v>
      </c>
      <c r="D45" s="414" t="s">
        <v>1420</v>
      </c>
      <c r="E45" s="415">
        <v>30.66</v>
      </c>
      <c r="F45" s="415">
        <v>24.8</v>
      </c>
      <c r="G45" s="415">
        <v>20.239999999999998</v>
      </c>
      <c r="H45" s="416">
        <v>16.52</v>
      </c>
      <c r="I45" s="416">
        <v>1</v>
      </c>
      <c r="J45" s="416">
        <v>0.12</v>
      </c>
      <c r="K45" s="416">
        <v>0.59099999999999997</v>
      </c>
      <c r="L45" s="416">
        <v>3</v>
      </c>
      <c r="M45" s="416">
        <v>13.83</v>
      </c>
      <c r="N45" s="416">
        <f t="shared" si="0"/>
        <v>13.83</v>
      </c>
      <c r="O45" s="416">
        <v>0.43</v>
      </c>
      <c r="P45" s="416">
        <v>0</v>
      </c>
      <c r="Q45" s="416">
        <v>3.4369999999999998</v>
      </c>
      <c r="R45" s="416">
        <v>1.89</v>
      </c>
      <c r="S45" s="416">
        <v>3</v>
      </c>
      <c r="T45" s="416">
        <v>0.64</v>
      </c>
      <c r="U45" s="416">
        <v>9.1999999999999993</v>
      </c>
      <c r="V45" s="416">
        <f t="shared" si="1"/>
        <v>19.36</v>
      </c>
      <c r="W45" s="417">
        <v>25.04</v>
      </c>
      <c r="X45" s="418">
        <v>1</v>
      </c>
      <c r="Y45" s="418">
        <v>1</v>
      </c>
      <c r="Z45" s="416">
        <v>19.36</v>
      </c>
      <c r="AA45" s="420"/>
      <c r="AB45" s="421"/>
      <c r="AC45" s="420"/>
      <c r="AD45" s="421"/>
      <c r="AE45" s="422"/>
      <c r="AF45" s="421">
        <v>30.25</v>
      </c>
      <c r="AG45" s="33"/>
      <c r="AK45" s="3"/>
      <c r="AL45" s="4"/>
    </row>
    <row r="46" spans="2:38" s="15" customFormat="1" x14ac:dyDescent="0.35">
      <c r="B46" s="413">
        <v>560</v>
      </c>
      <c r="C46" s="413" t="s">
        <v>1400</v>
      </c>
      <c r="D46" s="414" t="s">
        <v>1421</v>
      </c>
      <c r="E46" s="415">
        <v>31.5</v>
      </c>
      <c r="F46" s="415">
        <v>24.8</v>
      </c>
      <c r="G46" s="415">
        <v>22.95</v>
      </c>
      <c r="H46" s="416">
        <v>17.911000000000001</v>
      </c>
      <c r="I46" s="416">
        <v>0.59099999999999997</v>
      </c>
      <c r="J46" s="416">
        <v>0.12</v>
      </c>
      <c r="K46" s="416">
        <v>1.181</v>
      </c>
      <c r="L46" s="416">
        <v>3</v>
      </c>
      <c r="M46" s="416">
        <v>14.763999999999999</v>
      </c>
      <c r="N46" s="416">
        <f t="shared" si="0"/>
        <v>14.763999999999999</v>
      </c>
      <c r="O46" s="416">
        <v>0.43</v>
      </c>
      <c r="P46" s="416">
        <v>0</v>
      </c>
      <c r="Q46" s="416">
        <v>4.33</v>
      </c>
      <c r="R46" s="416">
        <v>1.17</v>
      </c>
      <c r="S46" s="416">
        <v>3.8420000000000001</v>
      </c>
      <c r="T46" s="416">
        <v>0.64</v>
      </c>
      <c r="U46" s="416">
        <v>10.7</v>
      </c>
      <c r="V46" s="416">
        <f t="shared" si="1"/>
        <v>22.478999999999999</v>
      </c>
      <c r="W46" s="417">
        <v>25.04</v>
      </c>
      <c r="X46" s="418">
        <v>2</v>
      </c>
      <c r="Y46" s="418">
        <v>1</v>
      </c>
      <c r="Z46" s="416">
        <v>22.478999999999999</v>
      </c>
      <c r="AA46" s="420"/>
      <c r="AB46" s="421"/>
      <c r="AC46" s="420"/>
      <c r="AD46" s="421"/>
      <c r="AE46" s="422"/>
      <c r="AF46" s="421">
        <v>31.25</v>
      </c>
      <c r="AG46" s="33"/>
      <c r="AK46" s="3"/>
      <c r="AL46" s="4"/>
    </row>
    <row r="47" spans="2:38" s="15" customFormat="1" x14ac:dyDescent="0.35">
      <c r="B47" s="412" t="s">
        <v>219</v>
      </c>
      <c r="C47" s="413" t="s">
        <v>1400</v>
      </c>
      <c r="D47" s="414" t="s">
        <v>1573</v>
      </c>
      <c r="E47" s="415">
        <v>31.5</v>
      </c>
      <c r="F47" s="415">
        <v>27.5</v>
      </c>
      <c r="G47" s="415">
        <v>20</v>
      </c>
      <c r="H47" s="415">
        <v>17.12</v>
      </c>
      <c r="I47" s="416">
        <v>-1</v>
      </c>
      <c r="J47" s="416">
        <v>0.13500000000000001</v>
      </c>
      <c r="K47" s="416">
        <v>2.75</v>
      </c>
      <c r="L47" s="415">
        <v>3</v>
      </c>
      <c r="M47" s="415">
        <v>14.765000000000001</v>
      </c>
      <c r="N47" s="416">
        <v>14.765000000000001</v>
      </c>
      <c r="O47" s="415">
        <v>0.43</v>
      </c>
      <c r="P47" s="415">
        <v>0</v>
      </c>
      <c r="Q47" s="416">
        <v>2.78</v>
      </c>
      <c r="R47" s="416">
        <v>1.85</v>
      </c>
      <c r="S47" s="415">
        <v>3</v>
      </c>
      <c r="T47" s="416">
        <v>0.64</v>
      </c>
      <c r="U47" s="416">
        <v>10.7</v>
      </c>
      <c r="V47" s="416">
        <f t="shared" si="1"/>
        <v>21.135000000000002</v>
      </c>
      <c r="W47" s="417">
        <v>25.04</v>
      </c>
      <c r="X47" s="418">
        <v>4</v>
      </c>
      <c r="Y47" s="419">
        <v>3.5</v>
      </c>
      <c r="Z47" s="416"/>
      <c r="AA47" s="420"/>
      <c r="AB47" s="421"/>
      <c r="AC47" s="420"/>
      <c r="AD47" s="421"/>
      <c r="AE47" s="422"/>
      <c r="AF47" s="421">
        <v>31.25</v>
      </c>
      <c r="AG47" s="33"/>
      <c r="AH47" s="33"/>
      <c r="AI47" s="4"/>
    </row>
    <row r="48" spans="2:38" s="15" customFormat="1" x14ac:dyDescent="0.35">
      <c r="B48" s="412" t="s">
        <v>219</v>
      </c>
      <c r="C48" s="413" t="s">
        <v>1398</v>
      </c>
      <c r="D48" s="414" t="s">
        <v>1574</v>
      </c>
      <c r="E48" s="415">
        <v>31.5</v>
      </c>
      <c r="F48" s="415">
        <v>27.5</v>
      </c>
      <c r="G48" s="415">
        <v>20</v>
      </c>
      <c r="H48" s="415">
        <v>17.12</v>
      </c>
      <c r="I48" s="416">
        <v>-1</v>
      </c>
      <c r="J48" s="416">
        <v>0.13500000000000001</v>
      </c>
      <c r="K48" s="416">
        <v>2.75</v>
      </c>
      <c r="L48" s="415">
        <v>3</v>
      </c>
      <c r="M48" s="415">
        <v>14.765000000000001</v>
      </c>
      <c r="N48" s="416">
        <v>14.765000000000001</v>
      </c>
      <c r="O48" s="415">
        <v>0.43</v>
      </c>
      <c r="P48" s="415">
        <v>0</v>
      </c>
      <c r="Q48" s="416">
        <v>2.78</v>
      </c>
      <c r="R48" s="416">
        <v>1.85</v>
      </c>
      <c r="S48" s="415">
        <v>3</v>
      </c>
      <c r="T48" s="416">
        <v>0.64</v>
      </c>
      <c r="U48" s="416">
        <v>10.7</v>
      </c>
      <c r="V48" s="416">
        <f t="shared" ref="V48" si="7">G48-I48+J48</f>
        <v>21.135000000000002</v>
      </c>
      <c r="W48" s="417">
        <v>25.04</v>
      </c>
      <c r="X48" s="418">
        <v>4</v>
      </c>
      <c r="Y48" s="419">
        <v>3.5</v>
      </c>
      <c r="Z48" s="416"/>
      <c r="AA48" s="420"/>
      <c r="AB48" s="421"/>
      <c r="AC48" s="420"/>
      <c r="AD48" s="421"/>
      <c r="AE48" s="422"/>
      <c r="AF48" s="421">
        <v>31.25</v>
      </c>
      <c r="AG48" s="33"/>
      <c r="AH48" s="33"/>
      <c r="AI48" s="4"/>
    </row>
    <row r="49" spans="1:39" s="15" customFormat="1" x14ac:dyDescent="0.35">
      <c r="B49" s="412" t="s">
        <v>220</v>
      </c>
      <c r="C49" s="413" t="s">
        <v>1400</v>
      </c>
      <c r="D49" s="414" t="s">
        <v>1575</v>
      </c>
      <c r="E49" s="415">
        <v>31.5</v>
      </c>
      <c r="F49" s="415">
        <v>20.02</v>
      </c>
      <c r="G49" s="415">
        <v>25.175599999999999</v>
      </c>
      <c r="H49" s="415">
        <v>21.379000000000001</v>
      </c>
      <c r="I49" s="416">
        <v>-1</v>
      </c>
      <c r="J49" s="416">
        <v>0.13500000000000001</v>
      </c>
      <c r="K49" s="416">
        <v>1.7695000000000001</v>
      </c>
      <c r="L49" s="415">
        <v>3</v>
      </c>
      <c r="M49" s="415">
        <v>14.765000000000001</v>
      </c>
      <c r="N49" s="416">
        <v>14.765000000000001</v>
      </c>
      <c r="O49" s="415">
        <v>0.43</v>
      </c>
      <c r="P49" s="415">
        <v>0</v>
      </c>
      <c r="Q49" s="416">
        <v>3.34</v>
      </c>
      <c r="R49" s="416">
        <v>1.9</v>
      </c>
      <c r="S49" s="415">
        <v>3</v>
      </c>
      <c r="T49" s="416">
        <v>0.77559999999999996</v>
      </c>
      <c r="U49" s="416">
        <v>10.92</v>
      </c>
      <c r="V49" s="416">
        <v>25.175599999999999</v>
      </c>
      <c r="W49" s="417">
        <v>25.79</v>
      </c>
      <c r="X49" s="419">
        <v>1.5</v>
      </c>
      <c r="Y49" s="419">
        <v>3.5</v>
      </c>
      <c r="Z49" s="416"/>
      <c r="AA49" s="420"/>
      <c r="AB49" s="421"/>
      <c r="AC49" s="420"/>
      <c r="AD49" s="421"/>
      <c r="AE49" s="422"/>
      <c r="AF49" s="421">
        <v>31.25</v>
      </c>
      <c r="AG49" s="33"/>
      <c r="AH49" s="33"/>
      <c r="AI49" s="4"/>
    </row>
    <row r="50" spans="1:39" s="15" customFormat="1" x14ac:dyDescent="0.35">
      <c r="B50" s="412" t="s">
        <v>220</v>
      </c>
      <c r="C50" s="413" t="s">
        <v>1398</v>
      </c>
      <c r="D50" s="414" t="s">
        <v>1576</v>
      </c>
      <c r="E50" s="415">
        <v>31.5</v>
      </c>
      <c r="F50" s="415">
        <v>20.02</v>
      </c>
      <c r="G50" s="415">
        <v>25.175599999999999</v>
      </c>
      <c r="H50" s="415">
        <v>21.379000000000001</v>
      </c>
      <c r="I50" s="416">
        <v>-1</v>
      </c>
      <c r="J50" s="416">
        <v>0.13500000000000001</v>
      </c>
      <c r="K50" s="416">
        <v>1.7695000000000001</v>
      </c>
      <c r="L50" s="415">
        <v>3</v>
      </c>
      <c r="M50" s="415">
        <v>14.765000000000001</v>
      </c>
      <c r="N50" s="416">
        <v>14.765000000000001</v>
      </c>
      <c r="O50" s="415">
        <v>0.43</v>
      </c>
      <c r="P50" s="415">
        <v>0</v>
      </c>
      <c r="Q50" s="416">
        <v>3.34</v>
      </c>
      <c r="R50" s="416">
        <v>1.9</v>
      </c>
      <c r="S50" s="415">
        <v>3</v>
      </c>
      <c r="T50" s="416">
        <v>0.77559999999999996</v>
      </c>
      <c r="U50" s="416">
        <v>10.92</v>
      </c>
      <c r="V50" s="416">
        <v>25.175599999999999</v>
      </c>
      <c r="W50" s="417">
        <v>25.79</v>
      </c>
      <c r="X50" s="419">
        <v>1.5</v>
      </c>
      <c r="Y50" s="419">
        <v>3.5</v>
      </c>
      <c r="Z50" s="416"/>
      <c r="AA50" s="420"/>
      <c r="AB50" s="421"/>
      <c r="AC50" s="420"/>
      <c r="AD50" s="421"/>
      <c r="AE50" s="422"/>
      <c r="AF50" s="421">
        <v>31.25</v>
      </c>
      <c r="AG50" s="33"/>
      <c r="AH50" s="33"/>
      <c r="AI50" s="4"/>
    </row>
    <row r="51" spans="1:39" s="15" customFormat="1" x14ac:dyDescent="0.35">
      <c r="B51" s="309">
        <v>56</v>
      </c>
      <c r="C51" s="309"/>
      <c r="D51" s="310" t="s">
        <v>221</v>
      </c>
      <c r="E51" s="311">
        <v>28.74</v>
      </c>
      <c r="F51" s="311">
        <v>25.393999999999998</v>
      </c>
      <c r="G51" s="311">
        <v>18.995999999999999</v>
      </c>
      <c r="H51" s="311">
        <v>15.295</v>
      </c>
      <c r="I51" s="312">
        <v>0.98399999999999999</v>
      </c>
      <c r="J51" s="312">
        <v>0.157</v>
      </c>
      <c r="K51" s="312">
        <v>1.181</v>
      </c>
      <c r="L51" s="311">
        <v>2</v>
      </c>
      <c r="M51" s="311">
        <v>27.126000000000001</v>
      </c>
      <c r="N51" s="313">
        <f t="shared" si="0"/>
        <v>13.563000000000001</v>
      </c>
      <c r="O51" s="311">
        <v>0.43</v>
      </c>
      <c r="P51" s="311">
        <v>0</v>
      </c>
      <c r="Q51" s="312">
        <v>1.732</v>
      </c>
      <c r="R51" s="312">
        <v>5.7350000000000003</v>
      </c>
      <c r="S51" s="312">
        <v>2.3940000000000001</v>
      </c>
      <c r="T51" s="314">
        <v>0.64</v>
      </c>
      <c r="U51" s="311">
        <v>8.9529999999999994</v>
      </c>
      <c r="V51" s="312">
        <f>G51</f>
        <v>18.995999999999999</v>
      </c>
      <c r="W51" s="312">
        <f>12.653*2</f>
        <v>25.306000000000001</v>
      </c>
      <c r="X51" s="315">
        <v>4</v>
      </c>
      <c r="Y51" s="315">
        <v>3</v>
      </c>
      <c r="Z51" s="312"/>
      <c r="AA51" s="316"/>
      <c r="AB51" s="317"/>
      <c r="AC51" s="316"/>
      <c r="AD51" s="317"/>
      <c r="AE51" s="318"/>
      <c r="AF51" s="307">
        <v>27.75</v>
      </c>
      <c r="AG51" s="33"/>
      <c r="AH51" s="33"/>
      <c r="AI51" s="4"/>
    </row>
    <row r="52" spans="1:39" x14ac:dyDescent="0.35">
      <c r="A52" s="15"/>
      <c r="B52" s="413">
        <v>630</v>
      </c>
      <c r="C52" s="413" t="s">
        <v>1398</v>
      </c>
      <c r="D52" s="414" t="s">
        <v>1422</v>
      </c>
      <c r="E52" s="415">
        <v>31.495999999999999</v>
      </c>
      <c r="F52" s="415">
        <v>26.390999999999998</v>
      </c>
      <c r="G52" s="415">
        <v>20.9</v>
      </c>
      <c r="H52" s="416">
        <v>17.594000000000001</v>
      </c>
      <c r="I52" s="416">
        <v>0.59</v>
      </c>
      <c r="J52" s="416">
        <v>0.12</v>
      </c>
      <c r="K52" s="416">
        <v>0.59099999999999997</v>
      </c>
      <c r="L52" s="416">
        <v>3</v>
      </c>
      <c r="M52" s="416">
        <v>14.763999999999999</v>
      </c>
      <c r="N52" s="416">
        <f t="shared" si="0"/>
        <v>14.763999999999999</v>
      </c>
      <c r="O52" s="416">
        <v>0.43</v>
      </c>
      <c r="P52" s="416">
        <v>0</v>
      </c>
      <c r="Q52" s="416">
        <v>3.0590000000000002</v>
      </c>
      <c r="R52" s="416">
        <v>1.89</v>
      </c>
      <c r="S52" s="416">
        <v>3</v>
      </c>
      <c r="T52" s="416">
        <v>0.64</v>
      </c>
      <c r="U52" s="416">
        <v>9.1999999999999993</v>
      </c>
      <c r="V52" s="416">
        <f>G52-I52+J52</f>
        <v>20.43</v>
      </c>
      <c r="W52" s="417">
        <v>28.19</v>
      </c>
      <c r="X52" s="418">
        <v>1</v>
      </c>
      <c r="Y52" s="418">
        <v>1</v>
      </c>
      <c r="Z52" s="416">
        <v>20.43</v>
      </c>
      <c r="AA52" s="424"/>
      <c r="AB52" s="424"/>
      <c r="AC52" s="424"/>
      <c r="AD52" s="424"/>
      <c r="AE52" s="422"/>
      <c r="AF52" s="421">
        <v>31.25</v>
      </c>
      <c r="AM52" s="15"/>
    </row>
    <row r="53" spans="1:39" x14ac:dyDescent="0.35">
      <c r="A53" s="15"/>
      <c r="B53" s="413">
        <v>630</v>
      </c>
      <c r="C53" s="413" t="s">
        <v>1398</v>
      </c>
      <c r="D53" s="414" t="s">
        <v>1423</v>
      </c>
      <c r="E53" s="415">
        <v>29.920999999999999</v>
      </c>
      <c r="F53" s="415">
        <v>29.291</v>
      </c>
      <c r="G53" s="415">
        <v>26.042999999999999</v>
      </c>
      <c r="H53" s="416">
        <v>19.843</v>
      </c>
      <c r="I53" s="416">
        <v>0.78700000000000003</v>
      </c>
      <c r="J53" s="416">
        <v>0.19700000000000001</v>
      </c>
      <c r="K53" s="416">
        <v>5.4130000000000003</v>
      </c>
      <c r="L53" s="416">
        <v>3</v>
      </c>
      <c r="M53" s="416">
        <v>12.992000000000001</v>
      </c>
      <c r="N53" s="416">
        <f t="shared" si="0"/>
        <v>12.992000000000001</v>
      </c>
      <c r="O53" s="416">
        <v>0.43</v>
      </c>
      <c r="P53" s="416">
        <v>9.8000000000000004E-2</v>
      </c>
      <c r="Q53" s="416">
        <v>1.1020000000000001</v>
      </c>
      <c r="R53" s="416">
        <v>2.7839999999999998</v>
      </c>
      <c r="S53" s="416">
        <v>3</v>
      </c>
      <c r="T53" s="416">
        <v>0.8</v>
      </c>
      <c r="U53" s="416">
        <v>10.75</v>
      </c>
      <c r="V53" s="416">
        <f>G53-I53+J53</f>
        <v>25.452999999999999</v>
      </c>
      <c r="W53" s="417">
        <v>28.19</v>
      </c>
      <c r="X53" s="418">
        <v>3</v>
      </c>
      <c r="Y53" s="418">
        <v>2</v>
      </c>
      <c r="Z53" s="416">
        <v>25.452999999999999</v>
      </c>
      <c r="AA53" s="424"/>
      <c r="AB53" s="424"/>
      <c r="AC53" s="424"/>
      <c r="AD53" s="424"/>
      <c r="AE53" s="422"/>
      <c r="AF53" s="421">
        <v>29.25</v>
      </c>
      <c r="AM53" s="15"/>
    </row>
    <row r="54" spans="1:39" x14ac:dyDescent="0.35">
      <c r="A54" s="15"/>
      <c r="B54" s="413">
        <v>630</v>
      </c>
      <c r="C54" s="413" t="s">
        <v>1398</v>
      </c>
      <c r="D54" s="414" t="s">
        <v>1424</v>
      </c>
      <c r="E54" s="415">
        <v>29.920999999999999</v>
      </c>
      <c r="F54" s="415">
        <v>29.291</v>
      </c>
      <c r="G54" s="415">
        <v>25.373999999999999</v>
      </c>
      <c r="H54" s="416">
        <f>G54-J54-K54</f>
        <v>19.843</v>
      </c>
      <c r="I54" s="416">
        <v>0.78700000000000003</v>
      </c>
      <c r="J54" s="416">
        <v>0.11799999999999999</v>
      </c>
      <c r="K54" s="416">
        <v>5.4130000000000003</v>
      </c>
      <c r="L54" s="416">
        <v>3</v>
      </c>
      <c r="M54" s="416">
        <v>12.992000000000001</v>
      </c>
      <c r="N54" s="416">
        <f t="shared" si="0"/>
        <v>12.992000000000001</v>
      </c>
      <c r="O54" s="416">
        <v>0.43</v>
      </c>
      <c r="P54" s="416">
        <v>9.8000000000000004E-2</v>
      </c>
      <c r="Q54" s="416">
        <v>1.1020000000000001</v>
      </c>
      <c r="R54" s="416">
        <v>2.7839999999999998</v>
      </c>
      <c r="S54" s="416">
        <v>3</v>
      </c>
      <c r="T54" s="416">
        <v>0.8</v>
      </c>
      <c r="U54" s="416">
        <v>10.72</v>
      </c>
      <c r="V54" s="416">
        <v>24.39</v>
      </c>
      <c r="W54" s="417">
        <v>28.19</v>
      </c>
      <c r="X54" s="418">
        <v>3</v>
      </c>
      <c r="Y54" s="418">
        <v>3</v>
      </c>
      <c r="Z54" s="416">
        <v>24.39</v>
      </c>
      <c r="AA54" s="424"/>
      <c r="AB54" s="424"/>
      <c r="AC54" s="424"/>
      <c r="AD54" s="424"/>
      <c r="AE54" s="422"/>
      <c r="AF54" s="421">
        <v>29.25</v>
      </c>
      <c r="AM54" s="15"/>
    </row>
    <row r="55" spans="1:39" x14ac:dyDescent="0.35">
      <c r="A55" s="15"/>
      <c r="B55" s="413">
        <v>630</v>
      </c>
      <c r="C55" s="413" t="s">
        <v>1398</v>
      </c>
      <c r="D55" s="414" t="s">
        <v>1425</v>
      </c>
      <c r="E55" s="415">
        <v>29.920999999999999</v>
      </c>
      <c r="F55" s="415">
        <v>29.291</v>
      </c>
      <c r="G55" s="415">
        <v>27.677</v>
      </c>
      <c r="H55" s="416">
        <f>G55-J55-K55</f>
        <v>22.323</v>
      </c>
      <c r="I55" s="416">
        <v>0.78700000000000003</v>
      </c>
      <c r="J55" s="416">
        <v>0.11799999999999999</v>
      </c>
      <c r="K55" s="416">
        <v>5.2359999999999998</v>
      </c>
      <c r="L55" s="416">
        <v>3</v>
      </c>
      <c r="M55" s="416">
        <v>12.992000000000001</v>
      </c>
      <c r="N55" s="416">
        <f t="shared" si="0"/>
        <v>12.992000000000001</v>
      </c>
      <c r="O55" s="416">
        <v>0.43</v>
      </c>
      <c r="P55" s="416">
        <v>9.8000000000000004E-2</v>
      </c>
      <c r="Q55" s="416">
        <v>1.1020000000000001</v>
      </c>
      <c r="R55" s="416">
        <v>2.7839999999999998</v>
      </c>
      <c r="S55" s="416">
        <v>3</v>
      </c>
      <c r="T55" s="416">
        <v>0.8</v>
      </c>
      <c r="U55" s="416">
        <v>15.43</v>
      </c>
      <c r="V55" s="416">
        <v>27.184999999999999</v>
      </c>
      <c r="W55" s="417">
        <v>28.19</v>
      </c>
      <c r="X55" s="418">
        <v>3</v>
      </c>
      <c r="Y55" s="418">
        <v>3</v>
      </c>
      <c r="Z55" s="416">
        <v>27.184999999999999</v>
      </c>
      <c r="AA55" s="424"/>
      <c r="AB55" s="424"/>
      <c r="AC55" s="424"/>
      <c r="AD55" s="424"/>
      <c r="AE55" s="422"/>
      <c r="AF55" s="421">
        <v>29.25</v>
      </c>
      <c r="AM55" s="15"/>
    </row>
    <row r="56" spans="1:39" x14ac:dyDescent="0.35">
      <c r="A56" s="15"/>
      <c r="B56" s="413">
        <v>630</v>
      </c>
      <c r="C56" s="413" t="s">
        <v>1398</v>
      </c>
      <c r="D56" s="414" t="s">
        <v>1426</v>
      </c>
      <c r="E56" s="415">
        <v>29.920999999999999</v>
      </c>
      <c r="F56" s="415">
        <v>29.291</v>
      </c>
      <c r="G56" s="415">
        <v>25.315000000000001</v>
      </c>
      <c r="H56" s="416">
        <f>G56-J56-K56</f>
        <v>19.961000000000002</v>
      </c>
      <c r="I56" s="416">
        <v>0.78700000000000003</v>
      </c>
      <c r="J56" s="416">
        <v>0.11799999999999999</v>
      </c>
      <c r="K56" s="416">
        <v>5.2359999999999998</v>
      </c>
      <c r="L56" s="416">
        <v>3</v>
      </c>
      <c r="M56" s="416">
        <v>12.992000000000001</v>
      </c>
      <c r="N56" s="416">
        <f t="shared" si="0"/>
        <v>12.992000000000001</v>
      </c>
      <c r="O56" s="416">
        <v>0.43</v>
      </c>
      <c r="P56" s="416">
        <v>9.8000000000000004E-2</v>
      </c>
      <c r="Q56" s="416">
        <v>1.1020000000000001</v>
      </c>
      <c r="R56" s="416">
        <v>2.7839999999999998</v>
      </c>
      <c r="S56" s="416">
        <v>3</v>
      </c>
      <c r="T56" s="416">
        <v>0.8</v>
      </c>
      <c r="U56" s="416">
        <v>15.43</v>
      </c>
      <c r="V56" s="416">
        <v>24.831</v>
      </c>
      <c r="W56" s="417">
        <v>28.19</v>
      </c>
      <c r="X56" s="418">
        <v>3</v>
      </c>
      <c r="Y56" s="418">
        <v>3</v>
      </c>
      <c r="Z56" s="416">
        <v>24.831</v>
      </c>
      <c r="AA56" s="424"/>
      <c r="AB56" s="424"/>
      <c r="AC56" s="424"/>
      <c r="AD56" s="424"/>
      <c r="AE56" s="422"/>
      <c r="AF56" s="421">
        <v>29.25</v>
      </c>
      <c r="AM56" s="15"/>
    </row>
    <row r="57" spans="1:39" x14ac:dyDescent="0.35">
      <c r="A57" s="15"/>
      <c r="B57" s="413">
        <v>630</v>
      </c>
      <c r="C57" s="413" t="s">
        <v>1400</v>
      </c>
      <c r="D57" s="414" t="s">
        <v>1427</v>
      </c>
      <c r="E57" s="415">
        <v>29.920999999999999</v>
      </c>
      <c r="F57" s="415">
        <v>29.291</v>
      </c>
      <c r="G57" s="415">
        <v>26.042999999999999</v>
      </c>
      <c r="H57" s="416">
        <v>19.843</v>
      </c>
      <c r="I57" s="416">
        <v>0.78700000000000003</v>
      </c>
      <c r="J57" s="416">
        <v>0.19700000000000001</v>
      </c>
      <c r="K57" s="416">
        <v>5.4130000000000003</v>
      </c>
      <c r="L57" s="416">
        <v>3</v>
      </c>
      <c r="M57" s="416">
        <v>12.992000000000001</v>
      </c>
      <c r="N57" s="416">
        <f t="shared" si="0"/>
        <v>12.992000000000001</v>
      </c>
      <c r="O57" s="416">
        <v>0.43</v>
      </c>
      <c r="P57" s="416">
        <v>9.8000000000000004E-2</v>
      </c>
      <c r="Q57" s="416">
        <v>1.1020000000000001</v>
      </c>
      <c r="R57" s="416">
        <v>2.7839999999999998</v>
      </c>
      <c r="S57" s="416">
        <v>3</v>
      </c>
      <c r="T57" s="416">
        <v>0.8</v>
      </c>
      <c r="U57" s="416">
        <v>10.75</v>
      </c>
      <c r="V57" s="416">
        <f>G57-I57+J57</f>
        <v>25.452999999999999</v>
      </c>
      <c r="W57" s="417">
        <v>28.19</v>
      </c>
      <c r="X57" s="418">
        <v>3</v>
      </c>
      <c r="Y57" s="418">
        <v>2</v>
      </c>
      <c r="Z57" s="416">
        <v>25.452999999999999</v>
      </c>
      <c r="AA57" s="424"/>
      <c r="AB57" s="424"/>
      <c r="AC57" s="424"/>
      <c r="AD57" s="424"/>
      <c r="AE57" s="422"/>
      <c r="AF57" s="421">
        <v>29.25</v>
      </c>
      <c r="AM57" s="15"/>
    </row>
    <row r="58" spans="1:39" s="15" customFormat="1" x14ac:dyDescent="0.35">
      <c r="B58" s="412" t="s">
        <v>1578</v>
      </c>
      <c r="C58" s="413" t="s">
        <v>1398</v>
      </c>
      <c r="D58" s="414" t="s">
        <v>1577</v>
      </c>
      <c r="E58" s="415">
        <v>31.5</v>
      </c>
      <c r="F58" s="415">
        <v>29.85</v>
      </c>
      <c r="G58" s="415">
        <v>21.2</v>
      </c>
      <c r="H58" s="415">
        <v>18.32</v>
      </c>
      <c r="I58" s="416">
        <v>-1</v>
      </c>
      <c r="J58" s="416">
        <v>0.13500000000000001</v>
      </c>
      <c r="K58" s="416">
        <v>2.75</v>
      </c>
      <c r="L58" s="415">
        <v>3</v>
      </c>
      <c r="M58" s="415">
        <f>29.53/2</f>
        <v>14.765000000000001</v>
      </c>
      <c r="N58" s="416">
        <f t="shared" si="0"/>
        <v>14.765000000000001</v>
      </c>
      <c r="O58" s="416">
        <v>0.43</v>
      </c>
      <c r="P58" s="415">
        <v>0</v>
      </c>
      <c r="Q58" s="416">
        <v>2.06</v>
      </c>
      <c r="R58" s="416">
        <v>1.85</v>
      </c>
      <c r="S58" s="415">
        <v>3</v>
      </c>
      <c r="T58" s="416">
        <v>0.64</v>
      </c>
      <c r="U58" s="416">
        <v>10.75</v>
      </c>
      <c r="V58" s="416">
        <f>G58-I58+J58</f>
        <v>22.335000000000001</v>
      </c>
      <c r="W58" s="417">
        <v>28.19</v>
      </c>
      <c r="X58" s="418">
        <v>4</v>
      </c>
      <c r="Y58" s="419">
        <v>3.5</v>
      </c>
      <c r="Z58" s="416"/>
      <c r="AA58" s="420"/>
      <c r="AB58" s="421"/>
      <c r="AC58" s="420"/>
      <c r="AD58" s="421"/>
      <c r="AE58" s="422"/>
      <c r="AF58" s="421">
        <v>31.25</v>
      </c>
      <c r="AG58" s="33"/>
      <c r="AH58" s="33"/>
      <c r="AI58" s="4"/>
    </row>
    <row r="59" spans="1:39" s="15" customFormat="1" x14ac:dyDescent="0.35">
      <c r="B59" s="309">
        <v>63</v>
      </c>
      <c r="C59" s="309"/>
      <c r="D59" s="310" t="s">
        <v>222</v>
      </c>
      <c r="E59" s="311">
        <v>28.74</v>
      </c>
      <c r="F59" s="311">
        <v>28.74</v>
      </c>
      <c r="G59" s="311">
        <v>21.928999999999998</v>
      </c>
      <c r="H59" s="311">
        <v>17.402000000000001</v>
      </c>
      <c r="I59" s="312">
        <v>1.772</v>
      </c>
      <c r="J59" s="312">
        <v>0.157</v>
      </c>
      <c r="K59" s="312">
        <v>1.772</v>
      </c>
      <c r="L59" s="311">
        <v>4</v>
      </c>
      <c r="M59" s="311">
        <f>27.126/2</f>
        <v>13.563000000000001</v>
      </c>
      <c r="N59" s="313">
        <f>M59*1.5</f>
        <v>20.3445</v>
      </c>
      <c r="O59" s="311">
        <v>0.43</v>
      </c>
      <c r="P59" s="311">
        <v>0.25</v>
      </c>
      <c r="Q59" s="312">
        <v>1.732</v>
      </c>
      <c r="R59" s="312">
        <v>5.7350000000000003</v>
      </c>
      <c r="S59" s="312">
        <v>2.3940000000000001</v>
      </c>
      <c r="T59" s="314">
        <v>0.64</v>
      </c>
      <c r="U59" s="311">
        <v>8.9529999999999994</v>
      </c>
      <c r="V59" s="312">
        <f>G59</f>
        <v>21.928999999999998</v>
      </c>
      <c r="W59" s="312">
        <f>14.162*2</f>
        <v>28.324000000000002</v>
      </c>
      <c r="X59" s="315">
        <v>4</v>
      </c>
      <c r="Y59" s="315">
        <v>3</v>
      </c>
      <c r="Z59" s="312"/>
      <c r="AA59" s="316"/>
      <c r="AB59" s="317"/>
      <c r="AC59" s="316"/>
      <c r="AD59" s="317"/>
      <c r="AE59" s="308"/>
      <c r="AF59" s="307">
        <v>28.25</v>
      </c>
      <c r="AG59" s="33"/>
      <c r="AH59" s="33"/>
      <c r="AI59" s="4"/>
    </row>
    <row r="60" spans="1:39" x14ac:dyDescent="0.35">
      <c r="A60" s="15"/>
      <c r="B60" s="413">
        <v>710</v>
      </c>
      <c r="C60" s="413" t="s">
        <v>1398</v>
      </c>
      <c r="D60" s="414" t="s">
        <v>1428</v>
      </c>
      <c r="E60" s="415">
        <v>37.4</v>
      </c>
      <c r="F60" s="415">
        <v>33.46</v>
      </c>
      <c r="G60" s="415">
        <v>23.97</v>
      </c>
      <c r="H60" s="416">
        <v>19.242000000000001</v>
      </c>
      <c r="I60" s="416">
        <v>2</v>
      </c>
      <c r="J60" s="416">
        <v>0.17899999999999999</v>
      </c>
      <c r="K60" s="416">
        <v>2</v>
      </c>
      <c r="L60" s="416">
        <v>3</v>
      </c>
      <c r="M60" s="416">
        <v>17.716999999999999</v>
      </c>
      <c r="N60" s="416">
        <f t="shared" si="0"/>
        <v>17.716999999999999</v>
      </c>
      <c r="O60" s="416">
        <v>0.43</v>
      </c>
      <c r="P60" s="416">
        <v>0</v>
      </c>
      <c r="Q60" s="416">
        <v>3.15</v>
      </c>
      <c r="R60" s="416">
        <v>4.2110000000000003</v>
      </c>
      <c r="S60" s="416">
        <v>5.593</v>
      </c>
      <c r="T60" s="416">
        <v>0.59</v>
      </c>
      <c r="U60" s="416">
        <v>9.17</v>
      </c>
      <c r="V60" s="416">
        <f>G60-I60+J60</f>
        <v>22.148999999999997</v>
      </c>
      <c r="W60" s="417">
        <v>31.73</v>
      </c>
      <c r="X60" s="418">
        <v>2</v>
      </c>
      <c r="Y60" s="418">
        <v>1</v>
      </c>
      <c r="Z60" s="416">
        <v>22.148999999999997</v>
      </c>
      <c r="AA60" s="424"/>
      <c r="AB60" s="424"/>
      <c r="AC60" s="424"/>
      <c r="AD60" s="424"/>
      <c r="AE60" s="422"/>
      <c r="AF60" s="421">
        <v>37.25</v>
      </c>
      <c r="AM60" s="15"/>
    </row>
    <row r="61" spans="1:39" x14ac:dyDescent="0.35">
      <c r="B61" s="413">
        <v>710</v>
      </c>
      <c r="C61" s="413" t="s">
        <v>1398</v>
      </c>
      <c r="D61" s="414" t="s">
        <v>1429</v>
      </c>
      <c r="E61" s="415">
        <v>37.795000000000002</v>
      </c>
      <c r="F61" s="415">
        <v>37.164999999999999</v>
      </c>
      <c r="G61" s="415">
        <v>27.736000000000001</v>
      </c>
      <c r="H61" s="416">
        <v>22.736000000000001</v>
      </c>
      <c r="I61" s="416">
        <v>0.98399999999999999</v>
      </c>
      <c r="J61" s="416">
        <v>0.11799999999999999</v>
      </c>
      <c r="K61" s="416">
        <v>4.8819999999999997</v>
      </c>
      <c r="L61" s="416">
        <v>3</v>
      </c>
      <c r="M61" s="416">
        <v>11.811</v>
      </c>
      <c r="N61" s="416">
        <f t="shared" si="0"/>
        <v>11.811</v>
      </c>
      <c r="O61" s="416">
        <v>0.43</v>
      </c>
      <c r="P61" s="416">
        <v>9.8000000000000004E-2</v>
      </c>
      <c r="Q61" s="416">
        <v>1.2989999999999999</v>
      </c>
      <c r="R61" s="416">
        <v>2.7839999999999998</v>
      </c>
      <c r="S61" s="416">
        <v>3</v>
      </c>
      <c r="T61" s="416">
        <v>0.8</v>
      </c>
      <c r="U61" s="416">
        <v>10.72</v>
      </c>
      <c r="V61" s="416">
        <v>27.283000000000001</v>
      </c>
      <c r="W61" s="417">
        <v>31.73</v>
      </c>
      <c r="X61" s="418">
        <v>3</v>
      </c>
      <c r="Y61" s="418">
        <v>4</v>
      </c>
      <c r="Z61" s="416">
        <v>27.283000000000001</v>
      </c>
      <c r="AA61" s="424"/>
      <c r="AB61" s="424"/>
      <c r="AC61" s="424"/>
      <c r="AD61" s="424"/>
      <c r="AE61" s="422"/>
      <c r="AF61" s="421">
        <v>37.25</v>
      </c>
      <c r="AM61" s="15"/>
    </row>
    <row r="62" spans="1:39" x14ac:dyDescent="0.35">
      <c r="B62" s="413">
        <v>710</v>
      </c>
      <c r="C62" s="413" t="s">
        <v>1398</v>
      </c>
      <c r="D62" s="414" t="s">
        <v>1430</v>
      </c>
      <c r="E62" s="415">
        <v>37.795000000000002</v>
      </c>
      <c r="F62" s="415">
        <v>37.164999999999999</v>
      </c>
      <c r="G62" s="415">
        <v>27.736000000000001</v>
      </c>
      <c r="H62" s="416">
        <f>G62-J62-K62</f>
        <v>22.736000000000004</v>
      </c>
      <c r="I62" s="416">
        <v>0.98399999999999999</v>
      </c>
      <c r="J62" s="416">
        <v>0.11799999999999999</v>
      </c>
      <c r="K62" s="416">
        <v>4.8819999999999997</v>
      </c>
      <c r="L62" s="416">
        <v>3</v>
      </c>
      <c r="M62" s="416">
        <v>11.811</v>
      </c>
      <c r="N62" s="416">
        <f t="shared" si="0"/>
        <v>11.811</v>
      </c>
      <c r="O62" s="416">
        <v>0.43</v>
      </c>
      <c r="P62" s="416">
        <v>9.8000000000000004E-2</v>
      </c>
      <c r="Q62" s="416">
        <v>1.2989999999999999</v>
      </c>
      <c r="R62" s="416">
        <v>2.7839999999999998</v>
      </c>
      <c r="S62" s="416">
        <v>3</v>
      </c>
      <c r="T62" s="416">
        <v>0.8</v>
      </c>
      <c r="U62" s="416">
        <v>10.72</v>
      </c>
      <c r="V62" s="416">
        <v>27.283000000000001</v>
      </c>
      <c r="W62" s="417">
        <v>31.73</v>
      </c>
      <c r="X62" s="418">
        <v>3</v>
      </c>
      <c r="Y62" s="418">
        <v>4</v>
      </c>
      <c r="Z62" s="416">
        <v>27.283000000000001</v>
      </c>
      <c r="AA62" s="424"/>
      <c r="AB62" s="424"/>
      <c r="AC62" s="424"/>
      <c r="AD62" s="424"/>
      <c r="AE62" s="422"/>
      <c r="AF62" s="421">
        <v>37.25</v>
      </c>
      <c r="AM62" s="15"/>
    </row>
    <row r="63" spans="1:39" x14ac:dyDescent="0.35">
      <c r="B63" s="413">
        <v>710</v>
      </c>
      <c r="C63" s="413" t="s">
        <v>1398</v>
      </c>
      <c r="D63" s="414" t="s">
        <v>1431</v>
      </c>
      <c r="E63" s="415">
        <v>37.795000000000002</v>
      </c>
      <c r="F63" s="415">
        <v>37.164999999999999</v>
      </c>
      <c r="G63" s="415">
        <v>29.567</v>
      </c>
      <c r="H63" s="416">
        <f>G63-J63-K63</f>
        <v>24.272000000000002</v>
      </c>
      <c r="I63" s="416">
        <v>0.98399999999999999</v>
      </c>
      <c r="J63" s="416">
        <v>0.11799999999999999</v>
      </c>
      <c r="K63" s="416">
        <v>5.1769999999999996</v>
      </c>
      <c r="L63" s="416">
        <v>3</v>
      </c>
      <c r="M63" s="416">
        <v>11.811</v>
      </c>
      <c r="N63" s="416">
        <f t="shared" si="0"/>
        <v>11.811</v>
      </c>
      <c r="O63" s="416">
        <v>0.43</v>
      </c>
      <c r="P63" s="416">
        <v>9.8000000000000004E-2</v>
      </c>
      <c r="Q63" s="416">
        <v>1.2989999999999999</v>
      </c>
      <c r="R63" s="416">
        <v>2.7839999999999998</v>
      </c>
      <c r="S63" s="416">
        <v>3</v>
      </c>
      <c r="T63" s="416">
        <v>0.8</v>
      </c>
      <c r="U63" s="416">
        <v>15.36</v>
      </c>
      <c r="V63" s="416">
        <f>G63-J63-0.25</f>
        <v>29.199000000000002</v>
      </c>
      <c r="W63" s="417">
        <v>31.73</v>
      </c>
      <c r="X63" s="418">
        <v>3</v>
      </c>
      <c r="Y63" s="418">
        <v>4</v>
      </c>
      <c r="Z63" s="416">
        <v>29.199000000000002</v>
      </c>
      <c r="AA63" s="424"/>
      <c r="AB63" s="424"/>
      <c r="AC63" s="424"/>
      <c r="AD63" s="424"/>
      <c r="AE63" s="422"/>
      <c r="AF63" s="421">
        <v>37.25</v>
      </c>
      <c r="AM63" s="15"/>
    </row>
    <row r="64" spans="1:39" x14ac:dyDescent="0.35">
      <c r="B64" s="413">
        <v>710</v>
      </c>
      <c r="C64" s="413" t="s">
        <v>1400</v>
      </c>
      <c r="D64" s="414" t="s">
        <v>1432</v>
      </c>
      <c r="E64" s="415">
        <v>37.795000000000002</v>
      </c>
      <c r="F64" s="415">
        <v>37.164999999999999</v>
      </c>
      <c r="G64" s="415">
        <v>27.736000000000001</v>
      </c>
      <c r="H64" s="416">
        <f>G64-J64-K64</f>
        <v>22.736000000000004</v>
      </c>
      <c r="I64" s="416">
        <v>0.98399999999999999</v>
      </c>
      <c r="J64" s="416">
        <v>0.11799999999999999</v>
      </c>
      <c r="K64" s="416">
        <v>4.8819999999999997</v>
      </c>
      <c r="L64" s="416">
        <v>3</v>
      </c>
      <c r="M64" s="416">
        <v>11.811</v>
      </c>
      <c r="N64" s="416">
        <f t="shared" si="0"/>
        <v>11.811</v>
      </c>
      <c r="O64" s="416">
        <v>0.43</v>
      </c>
      <c r="P64" s="416">
        <v>9.8000000000000004E-2</v>
      </c>
      <c r="Q64" s="416">
        <v>1.2989999999999999</v>
      </c>
      <c r="R64" s="416">
        <v>2.7839999999999998</v>
      </c>
      <c r="S64" s="416">
        <v>3</v>
      </c>
      <c r="T64" s="416">
        <v>0.8</v>
      </c>
      <c r="U64" s="416">
        <v>10.72</v>
      </c>
      <c r="V64" s="416">
        <v>27.283000000000001</v>
      </c>
      <c r="W64" s="417">
        <v>31.73</v>
      </c>
      <c r="X64" s="418">
        <v>3</v>
      </c>
      <c r="Y64" s="418">
        <v>4</v>
      </c>
      <c r="Z64" s="416">
        <v>27.283000000000001</v>
      </c>
      <c r="AA64" s="424"/>
      <c r="AB64" s="424"/>
      <c r="AC64" s="424"/>
      <c r="AD64" s="424"/>
      <c r="AE64" s="422"/>
      <c r="AF64" s="421">
        <v>37.25</v>
      </c>
      <c r="AM64" s="15"/>
    </row>
    <row r="65" spans="1:39" x14ac:dyDescent="0.35">
      <c r="B65" s="413">
        <v>800</v>
      </c>
      <c r="C65" s="413" t="s">
        <v>1398</v>
      </c>
      <c r="D65" s="414" t="s">
        <v>1433</v>
      </c>
      <c r="E65" s="415">
        <v>37.795000000000002</v>
      </c>
      <c r="F65" s="415">
        <v>37.164999999999999</v>
      </c>
      <c r="G65" s="415">
        <v>30.512</v>
      </c>
      <c r="H65" s="416">
        <f>G65-J65-K65</f>
        <v>25.709000000000003</v>
      </c>
      <c r="I65" s="416">
        <v>0.98399999999999999</v>
      </c>
      <c r="J65" s="416">
        <v>0.11799999999999999</v>
      </c>
      <c r="K65" s="416">
        <v>4.6849999999999996</v>
      </c>
      <c r="L65" s="416">
        <v>3</v>
      </c>
      <c r="M65" s="416">
        <v>11.811</v>
      </c>
      <c r="N65" s="416">
        <f t="shared" si="0"/>
        <v>11.811</v>
      </c>
      <c r="O65" s="416">
        <v>0.43</v>
      </c>
      <c r="P65" s="416">
        <v>9.8000000000000004E-2</v>
      </c>
      <c r="Q65" s="416">
        <v>1.2989999999999999</v>
      </c>
      <c r="R65" s="416">
        <v>2.7839999999999998</v>
      </c>
      <c r="S65" s="416">
        <v>3</v>
      </c>
      <c r="T65" s="416">
        <v>0.8</v>
      </c>
      <c r="U65" s="416">
        <v>10.72</v>
      </c>
      <c r="V65" s="416">
        <v>30.256</v>
      </c>
      <c r="W65" s="417">
        <v>35.79</v>
      </c>
      <c r="X65" s="418">
        <v>3</v>
      </c>
      <c r="Y65" s="418">
        <v>4</v>
      </c>
      <c r="Z65" s="416">
        <v>30.256</v>
      </c>
      <c r="AA65" s="424"/>
      <c r="AB65" s="424"/>
      <c r="AC65" s="424"/>
      <c r="AD65" s="424"/>
      <c r="AE65" s="422"/>
      <c r="AF65" s="421">
        <v>37.25</v>
      </c>
      <c r="AM65" s="15"/>
    </row>
    <row r="66" spans="1:39" x14ac:dyDescent="0.35">
      <c r="B66" s="413">
        <v>800</v>
      </c>
      <c r="C66" s="413" t="s">
        <v>1398</v>
      </c>
      <c r="D66" s="414" t="s">
        <v>1434</v>
      </c>
      <c r="E66" s="415">
        <v>37.795000000000002</v>
      </c>
      <c r="F66" s="415">
        <v>37.164999999999999</v>
      </c>
      <c r="G66" s="415">
        <v>30.512</v>
      </c>
      <c r="H66" s="416">
        <f t="shared" ref="H66:H71" si="8">G66-J66-K66</f>
        <v>25.473000000000003</v>
      </c>
      <c r="I66" s="416">
        <v>0.98399999999999999</v>
      </c>
      <c r="J66" s="416">
        <v>0.11799999999999999</v>
      </c>
      <c r="K66" s="416">
        <v>4.9210000000000003</v>
      </c>
      <c r="L66" s="416">
        <v>3</v>
      </c>
      <c r="M66" s="416">
        <v>11.811</v>
      </c>
      <c r="N66" s="416">
        <f t="shared" si="0"/>
        <v>11.811</v>
      </c>
      <c r="O66" s="416">
        <v>0.43</v>
      </c>
      <c r="P66" s="416">
        <v>9.8000000000000004E-2</v>
      </c>
      <c r="Q66" s="416">
        <v>1.2989999999999999</v>
      </c>
      <c r="R66" s="416">
        <v>2.7839999999999998</v>
      </c>
      <c r="S66" s="416">
        <v>3</v>
      </c>
      <c r="T66" s="416">
        <v>0.8</v>
      </c>
      <c r="U66" s="416">
        <v>10.72</v>
      </c>
      <c r="V66" s="416">
        <v>30.256</v>
      </c>
      <c r="W66" s="417">
        <v>35.79</v>
      </c>
      <c r="X66" s="418">
        <v>3</v>
      </c>
      <c r="Y66" s="418">
        <v>4</v>
      </c>
      <c r="Z66" s="416">
        <v>30.256</v>
      </c>
      <c r="AA66" s="424"/>
      <c r="AB66" s="424"/>
      <c r="AC66" s="424"/>
      <c r="AD66" s="424"/>
      <c r="AE66" s="422"/>
      <c r="AF66" s="421">
        <v>37.25</v>
      </c>
      <c r="AM66" s="15"/>
    </row>
    <row r="67" spans="1:39" x14ac:dyDescent="0.35">
      <c r="B67" s="413">
        <v>800</v>
      </c>
      <c r="C67" s="413" t="s">
        <v>1398</v>
      </c>
      <c r="D67" s="414" t="s">
        <v>1435</v>
      </c>
      <c r="E67" s="415">
        <v>37.795000000000002</v>
      </c>
      <c r="F67" s="415">
        <v>37.164999999999999</v>
      </c>
      <c r="G67" s="415">
        <v>29.567</v>
      </c>
      <c r="H67" s="416">
        <f t="shared" si="8"/>
        <v>24.272000000000002</v>
      </c>
      <c r="I67" s="416">
        <v>0.98399999999999999</v>
      </c>
      <c r="J67" s="416">
        <v>0.11799999999999999</v>
      </c>
      <c r="K67" s="416">
        <v>5.1769999999999996</v>
      </c>
      <c r="L67" s="416">
        <v>3</v>
      </c>
      <c r="M67" s="416">
        <v>11.811</v>
      </c>
      <c r="N67" s="416">
        <f t="shared" si="0"/>
        <v>11.811</v>
      </c>
      <c r="O67" s="416">
        <v>0.43</v>
      </c>
      <c r="P67" s="416">
        <v>9.8000000000000004E-2</v>
      </c>
      <c r="Q67" s="416">
        <v>1.2989999999999999</v>
      </c>
      <c r="R67" s="416">
        <v>2.7839999999999998</v>
      </c>
      <c r="S67" s="416">
        <v>3</v>
      </c>
      <c r="T67" s="416">
        <v>0.8</v>
      </c>
      <c r="U67" s="416">
        <v>15.433</v>
      </c>
      <c r="V67" s="416">
        <v>29.134</v>
      </c>
      <c r="W67" s="417">
        <v>35.79</v>
      </c>
      <c r="X67" s="418">
        <v>3</v>
      </c>
      <c r="Y67" s="418">
        <v>4</v>
      </c>
      <c r="Z67" s="416">
        <v>29.134</v>
      </c>
      <c r="AA67" s="424"/>
      <c r="AB67" s="424"/>
      <c r="AC67" s="424"/>
      <c r="AD67" s="424"/>
      <c r="AE67" s="422"/>
      <c r="AF67" s="421">
        <v>37.25</v>
      </c>
      <c r="AM67" s="15"/>
    </row>
    <row r="68" spans="1:39" x14ac:dyDescent="0.35">
      <c r="B68" s="413">
        <v>800</v>
      </c>
      <c r="C68" s="413" t="s">
        <v>1400</v>
      </c>
      <c r="D68" s="414" t="s">
        <v>1436</v>
      </c>
      <c r="E68" s="415">
        <v>37.795000000000002</v>
      </c>
      <c r="F68" s="415">
        <v>37.164999999999999</v>
      </c>
      <c r="G68" s="415">
        <v>30.512</v>
      </c>
      <c r="H68" s="416">
        <f t="shared" si="8"/>
        <v>25.709000000000003</v>
      </c>
      <c r="I68" s="416">
        <v>0.98399999999999999</v>
      </c>
      <c r="J68" s="416">
        <v>0.11799999999999999</v>
      </c>
      <c r="K68" s="416">
        <v>4.6849999999999996</v>
      </c>
      <c r="L68" s="416">
        <v>3</v>
      </c>
      <c r="M68" s="416">
        <v>11.811</v>
      </c>
      <c r="N68" s="416">
        <f t="shared" si="0"/>
        <v>11.811</v>
      </c>
      <c r="O68" s="416">
        <v>0.43</v>
      </c>
      <c r="P68" s="416">
        <v>9.8000000000000004E-2</v>
      </c>
      <c r="Q68" s="416">
        <v>1.2989999999999999</v>
      </c>
      <c r="R68" s="416">
        <v>2.7839999999999998</v>
      </c>
      <c r="S68" s="416">
        <v>3</v>
      </c>
      <c r="T68" s="416">
        <v>0.8</v>
      </c>
      <c r="U68" s="416">
        <v>10.72</v>
      </c>
      <c r="V68" s="416">
        <v>30.256</v>
      </c>
      <c r="W68" s="417">
        <v>35.79</v>
      </c>
      <c r="X68" s="418">
        <v>3</v>
      </c>
      <c r="Y68" s="418">
        <v>4</v>
      </c>
      <c r="Z68" s="416">
        <v>30.256</v>
      </c>
      <c r="AA68" s="424"/>
      <c r="AB68" s="424"/>
      <c r="AC68" s="424"/>
      <c r="AD68" s="424"/>
      <c r="AE68" s="422"/>
      <c r="AF68" s="421">
        <v>37.25</v>
      </c>
      <c r="AM68" s="15"/>
    </row>
    <row r="69" spans="1:39" x14ac:dyDescent="0.35">
      <c r="B69" s="413">
        <v>900</v>
      </c>
      <c r="C69" s="413" t="s">
        <v>1398</v>
      </c>
      <c r="D69" s="414" t="s">
        <v>1437</v>
      </c>
      <c r="E69" s="415">
        <v>46.457000000000001</v>
      </c>
      <c r="F69" s="415">
        <v>45.826999999999998</v>
      </c>
      <c r="G69" s="415">
        <v>29.015999999999998</v>
      </c>
      <c r="H69" s="416">
        <f t="shared" si="8"/>
        <v>24.015999999999998</v>
      </c>
      <c r="I69" s="415">
        <v>1.181</v>
      </c>
      <c r="J69" s="416">
        <v>0.11799999999999999</v>
      </c>
      <c r="K69" s="415">
        <v>4.8819999999999997</v>
      </c>
      <c r="L69" s="416">
        <v>3</v>
      </c>
      <c r="M69" s="415">
        <v>15.747999999999999</v>
      </c>
      <c r="N69" s="416">
        <f t="shared" si="0"/>
        <v>15.747999999999999</v>
      </c>
      <c r="O69" s="416">
        <v>0.43</v>
      </c>
      <c r="P69" s="416">
        <v>9.8000000000000004E-2</v>
      </c>
      <c r="Q69" s="416">
        <v>1.2989999999999999</v>
      </c>
      <c r="R69" s="416">
        <v>2.7839999999999998</v>
      </c>
      <c r="S69" s="416">
        <v>3</v>
      </c>
      <c r="T69" s="416">
        <v>0.8</v>
      </c>
      <c r="U69" s="416">
        <v>10.72</v>
      </c>
      <c r="V69" s="415">
        <v>28.562999999999999</v>
      </c>
      <c r="W69" s="417">
        <v>39.61</v>
      </c>
      <c r="X69" s="418">
        <v>3</v>
      </c>
      <c r="Y69" s="418">
        <v>4</v>
      </c>
      <c r="Z69" s="415">
        <v>28.562999999999999</v>
      </c>
      <c r="AA69" s="424"/>
      <c r="AB69" s="424"/>
      <c r="AC69" s="424"/>
      <c r="AD69" s="424"/>
      <c r="AE69" s="422"/>
      <c r="AF69" s="421">
        <v>46.25</v>
      </c>
      <c r="AM69" s="15"/>
    </row>
    <row r="70" spans="1:39" x14ac:dyDescent="0.35">
      <c r="B70" s="413">
        <v>900</v>
      </c>
      <c r="C70" s="413" t="s">
        <v>1398</v>
      </c>
      <c r="D70" s="414" t="s">
        <v>1438</v>
      </c>
      <c r="E70" s="415">
        <v>46.457000000000001</v>
      </c>
      <c r="F70" s="415">
        <v>45.826999999999998</v>
      </c>
      <c r="G70" s="415">
        <v>25.550999999999998</v>
      </c>
      <c r="H70" s="416">
        <f t="shared" si="8"/>
        <v>20.236000000000001</v>
      </c>
      <c r="I70" s="415">
        <v>1.181</v>
      </c>
      <c r="J70" s="416">
        <v>0.11799999999999999</v>
      </c>
      <c r="K70" s="416">
        <v>5.1970000000000001</v>
      </c>
      <c r="L70" s="416">
        <v>3</v>
      </c>
      <c r="M70" s="415">
        <v>15.747999999999999</v>
      </c>
      <c r="N70" s="416">
        <f t="shared" si="0"/>
        <v>15.747999999999999</v>
      </c>
      <c r="O70" s="416">
        <v>0.43</v>
      </c>
      <c r="P70" s="416">
        <v>9.8000000000000004E-2</v>
      </c>
      <c r="Q70" s="416">
        <v>1.2989999999999999</v>
      </c>
      <c r="R70" s="416">
        <v>2.7839999999999998</v>
      </c>
      <c r="S70" s="416">
        <v>3</v>
      </c>
      <c r="T70" s="416">
        <v>0.8</v>
      </c>
      <c r="U70" s="415">
        <v>15.433</v>
      </c>
      <c r="V70" s="415">
        <v>25.097999999999999</v>
      </c>
      <c r="W70" s="417">
        <v>39.76</v>
      </c>
      <c r="X70" s="418">
        <v>3</v>
      </c>
      <c r="Y70" s="418">
        <v>4</v>
      </c>
      <c r="Z70" s="415">
        <v>25.097999999999999</v>
      </c>
      <c r="AA70" s="424"/>
      <c r="AB70" s="424"/>
      <c r="AC70" s="424"/>
      <c r="AD70" s="424"/>
      <c r="AE70" s="422"/>
      <c r="AF70" s="421">
        <v>46.25</v>
      </c>
      <c r="AM70" s="15"/>
    </row>
    <row r="71" spans="1:39" x14ac:dyDescent="0.35">
      <c r="B71" s="413">
        <v>900</v>
      </c>
      <c r="C71" s="413" t="s">
        <v>1400</v>
      </c>
      <c r="D71" s="414" t="s">
        <v>1439</v>
      </c>
      <c r="E71" s="415">
        <v>46.457000000000001</v>
      </c>
      <c r="F71" s="415">
        <v>45.826999999999998</v>
      </c>
      <c r="G71" s="415">
        <v>29.015999999999998</v>
      </c>
      <c r="H71" s="416">
        <f t="shared" si="8"/>
        <v>24.015999999999998</v>
      </c>
      <c r="I71" s="415">
        <v>1.181</v>
      </c>
      <c r="J71" s="416">
        <v>0.11799999999999999</v>
      </c>
      <c r="K71" s="415">
        <v>4.8819999999999997</v>
      </c>
      <c r="L71" s="416">
        <v>3</v>
      </c>
      <c r="M71" s="415">
        <v>15.747999999999999</v>
      </c>
      <c r="N71" s="416">
        <f t="shared" si="0"/>
        <v>15.747999999999999</v>
      </c>
      <c r="O71" s="416">
        <v>0.43</v>
      </c>
      <c r="P71" s="416">
        <v>9.8000000000000004E-2</v>
      </c>
      <c r="Q71" s="416">
        <v>1.2989999999999999</v>
      </c>
      <c r="R71" s="416">
        <v>2.7839999999999998</v>
      </c>
      <c r="S71" s="416">
        <v>3</v>
      </c>
      <c r="T71" s="416">
        <v>0.8</v>
      </c>
      <c r="U71" s="416">
        <v>10.72</v>
      </c>
      <c r="V71" s="415">
        <v>28.562999999999999</v>
      </c>
      <c r="W71" s="417">
        <v>39.61</v>
      </c>
      <c r="X71" s="418">
        <v>3</v>
      </c>
      <c r="Y71" s="418">
        <v>4</v>
      </c>
      <c r="Z71" s="415">
        <v>28.562999999999999</v>
      </c>
      <c r="AA71" s="424"/>
      <c r="AB71" s="424"/>
      <c r="AC71" s="424"/>
      <c r="AD71" s="424"/>
      <c r="AE71" s="422"/>
      <c r="AF71" s="421">
        <v>46.25</v>
      </c>
      <c r="AM71" s="15"/>
    </row>
    <row r="72" spans="1:39" x14ac:dyDescent="0.35">
      <c r="A72" s="321"/>
      <c r="B72" s="322">
        <v>250</v>
      </c>
      <c r="C72" s="322" t="s">
        <v>1398</v>
      </c>
      <c r="D72" s="323" t="s">
        <v>1440</v>
      </c>
      <c r="E72" s="324">
        <v>17.716999999999999</v>
      </c>
      <c r="F72" s="324">
        <v>12.6</v>
      </c>
      <c r="G72" s="324">
        <v>11.57</v>
      </c>
      <c r="H72" s="324">
        <v>7.9649999999999999</v>
      </c>
      <c r="I72" s="324">
        <v>1.3779999999999999</v>
      </c>
      <c r="J72" s="324">
        <v>0.108</v>
      </c>
      <c r="K72" s="324">
        <v>1.181</v>
      </c>
      <c r="L72" s="324">
        <v>2</v>
      </c>
      <c r="M72" s="324">
        <v>15.747999999999999</v>
      </c>
      <c r="N72" s="325">
        <f t="shared" si="0"/>
        <v>7.8739999999999997</v>
      </c>
      <c r="O72" s="324">
        <v>0.43</v>
      </c>
      <c r="P72" s="324">
        <v>0</v>
      </c>
      <c r="Q72" s="324">
        <v>3.1789999999999998</v>
      </c>
      <c r="R72" s="324">
        <v>1.0629999999999999</v>
      </c>
      <c r="S72" s="326">
        <v>3</v>
      </c>
      <c r="T72" s="324">
        <v>0.41</v>
      </c>
      <c r="U72" s="324">
        <v>6.5</v>
      </c>
      <c r="V72" s="325">
        <f t="shared" ref="V72:V93" si="9">G72-I72+J72</f>
        <v>10.3</v>
      </c>
      <c r="W72" s="327">
        <v>11.18</v>
      </c>
      <c r="X72" s="328">
        <v>1</v>
      </c>
      <c r="Y72" s="328">
        <v>1</v>
      </c>
      <c r="Z72" s="329">
        <v>10.454000000000001</v>
      </c>
      <c r="AA72" s="330">
        <v>1.56</v>
      </c>
      <c r="AB72" s="331">
        <v>2.4300000000000002</v>
      </c>
      <c r="AC72" s="330">
        <v>4.75</v>
      </c>
      <c r="AD72" s="331">
        <v>4.4800000000000004</v>
      </c>
      <c r="AE72" s="332"/>
      <c r="AF72" s="333">
        <v>13.999999999999998</v>
      </c>
    </row>
    <row r="73" spans="1:39" x14ac:dyDescent="0.35">
      <c r="A73" s="321"/>
      <c r="B73" s="322">
        <v>250</v>
      </c>
      <c r="C73" s="322" t="s">
        <v>1400</v>
      </c>
      <c r="D73" s="323" t="s">
        <v>1441</v>
      </c>
      <c r="E73" s="324">
        <v>17.716999999999999</v>
      </c>
      <c r="F73" s="324">
        <v>12.6</v>
      </c>
      <c r="G73" s="324">
        <v>11.57</v>
      </c>
      <c r="H73" s="324">
        <v>7.9649999999999999</v>
      </c>
      <c r="I73" s="324">
        <v>1.3779999999999999</v>
      </c>
      <c r="J73" s="324">
        <v>0.108</v>
      </c>
      <c r="K73" s="324">
        <v>1.181</v>
      </c>
      <c r="L73" s="324">
        <v>2</v>
      </c>
      <c r="M73" s="324">
        <v>15.747999999999999</v>
      </c>
      <c r="N73" s="325">
        <f t="shared" si="0"/>
        <v>7.8739999999999997</v>
      </c>
      <c r="O73" s="324">
        <v>0.43</v>
      </c>
      <c r="P73" s="324">
        <v>0</v>
      </c>
      <c r="Q73" s="324">
        <v>3.1789999999999998</v>
      </c>
      <c r="R73" s="324">
        <v>1.0629999999999999</v>
      </c>
      <c r="S73" s="326">
        <v>3</v>
      </c>
      <c r="T73" s="324">
        <v>0.41</v>
      </c>
      <c r="U73" s="324">
        <v>6.5</v>
      </c>
      <c r="V73" s="325">
        <f t="shared" si="9"/>
        <v>10.3</v>
      </c>
      <c r="W73" s="327">
        <v>11.18</v>
      </c>
      <c r="X73" s="328">
        <v>1</v>
      </c>
      <c r="Y73" s="328">
        <v>1</v>
      </c>
      <c r="Z73" s="329">
        <v>10.454000000000001</v>
      </c>
      <c r="AA73" s="330">
        <v>1.56</v>
      </c>
      <c r="AB73" s="331">
        <v>2.4300000000000002</v>
      </c>
      <c r="AC73" s="330">
        <v>4.75</v>
      </c>
      <c r="AD73" s="331">
        <v>4.4800000000000004</v>
      </c>
      <c r="AE73" s="332"/>
      <c r="AF73" s="333">
        <v>13.999999999999998</v>
      </c>
    </row>
    <row r="74" spans="1:39" x14ac:dyDescent="0.35">
      <c r="A74" s="321"/>
      <c r="B74" s="334">
        <v>280</v>
      </c>
      <c r="C74" s="334" t="s">
        <v>1398</v>
      </c>
      <c r="D74" s="335" t="s">
        <v>1442</v>
      </c>
      <c r="E74" s="336">
        <v>18.7</v>
      </c>
      <c r="F74" s="336">
        <v>12.6</v>
      </c>
      <c r="G74" s="336">
        <v>12.96</v>
      </c>
      <c r="H74" s="336">
        <v>9.3610000000000007</v>
      </c>
      <c r="I74" s="336">
        <v>1.3779999999999999</v>
      </c>
      <c r="J74" s="336">
        <v>0.108</v>
      </c>
      <c r="K74" s="336">
        <v>1.181</v>
      </c>
      <c r="L74" s="337">
        <v>2</v>
      </c>
      <c r="M74" s="336">
        <v>16.73</v>
      </c>
      <c r="N74" s="338">
        <f t="shared" si="0"/>
        <v>8.3650000000000002</v>
      </c>
      <c r="O74" s="336">
        <v>0.43</v>
      </c>
      <c r="P74" s="336">
        <v>0</v>
      </c>
      <c r="Q74" s="336">
        <v>3.6709999999999998</v>
      </c>
      <c r="R74" s="336">
        <v>1.0629999999999999</v>
      </c>
      <c r="S74" s="339">
        <v>3</v>
      </c>
      <c r="T74" s="336">
        <v>0.41</v>
      </c>
      <c r="U74" s="336">
        <v>6.5</v>
      </c>
      <c r="V74" s="338">
        <f t="shared" si="9"/>
        <v>11.690000000000001</v>
      </c>
      <c r="W74" s="327">
        <v>12.56</v>
      </c>
      <c r="X74" s="328">
        <v>1</v>
      </c>
      <c r="Y74" s="328">
        <v>1</v>
      </c>
      <c r="Z74" s="329">
        <v>11.813000000000001</v>
      </c>
      <c r="AA74" s="330">
        <v>1.431</v>
      </c>
      <c r="AB74" s="331">
        <v>2.4300000000000002</v>
      </c>
      <c r="AC74" s="330">
        <v>4.75</v>
      </c>
      <c r="AD74" s="331">
        <v>3.98</v>
      </c>
      <c r="AE74" s="332"/>
      <c r="AF74" s="333">
        <v>15</v>
      </c>
    </row>
    <row r="75" spans="1:39" x14ac:dyDescent="0.35">
      <c r="A75" s="321"/>
      <c r="B75" s="334">
        <v>280</v>
      </c>
      <c r="C75" s="334" t="s">
        <v>1400</v>
      </c>
      <c r="D75" s="335" t="s">
        <v>1443</v>
      </c>
      <c r="E75" s="336">
        <v>18.7</v>
      </c>
      <c r="F75" s="336">
        <v>12.6</v>
      </c>
      <c r="G75" s="336">
        <v>12.96</v>
      </c>
      <c r="H75" s="336">
        <v>9.3610000000000007</v>
      </c>
      <c r="I75" s="336">
        <v>1.3779999999999999</v>
      </c>
      <c r="J75" s="336">
        <v>0.108</v>
      </c>
      <c r="K75" s="336">
        <v>1.181</v>
      </c>
      <c r="L75" s="337">
        <v>2</v>
      </c>
      <c r="M75" s="336">
        <v>16.73</v>
      </c>
      <c r="N75" s="338">
        <f t="shared" si="0"/>
        <v>8.3650000000000002</v>
      </c>
      <c r="O75" s="336">
        <v>0.43</v>
      </c>
      <c r="P75" s="336">
        <v>0</v>
      </c>
      <c r="Q75" s="336">
        <v>3.6709999999999998</v>
      </c>
      <c r="R75" s="336">
        <v>1.0629999999999999</v>
      </c>
      <c r="S75" s="339">
        <v>3</v>
      </c>
      <c r="T75" s="336">
        <v>0.41</v>
      </c>
      <c r="U75" s="336">
        <v>6.5</v>
      </c>
      <c r="V75" s="338">
        <f t="shared" si="9"/>
        <v>11.690000000000001</v>
      </c>
      <c r="W75" s="327">
        <v>12.56</v>
      </c>
      <c r="X75" s="328">
        <v>1</v>
      </c>
      <c r="Y75" s="328">
        <v>1</v>
      </c>
      <c r="Z75" s="329">
        <v>11.813000000000001</v>
      </c>
      <c r="AA75" s="330">
        <v>1.431</v>
      </c>
      <c r="AB75" s="331">
        <v>2.4300000000000002</v>
      </c>
      <c r="AC75" s="330">
        <v>4.75</v>
      </c>
      <c r="AD75" s="331">
        <v>3.98</v>
      </c>
      <c r="AE75" s="332"/>
      <c r="AF75" s="333">
        <v>15</v>
      </c>
    </row>
    <row r="76" spans="1:39" x14ac:dyDescent="0.35">
      <c r="A76" s="321"/>
      <c r="B76" s="322">
        <v>310</v>
      </c>
      <c r="C76" s="322" t="s">
        <v>1398</v>
      </c>
      <c r="D76" s="340" t="s">
        <v>1444</v>
      </c>
      <c r="E76" s="324">
        <v>19.690000000000001</v>
      </c>
      <c r="F76" s="324">
        <v>16.54</v>
      </c>
      <c r="G76" s="324">
        <v>14.59</v>
      </c>
      <c r="H76" s="324">
        <v>10.374000000000001</v>
      </c>
      <c r="I76" s="324">
        <v>1.3779999999999999</v>
      </c>
      <c r="J76" s="324">
        <v>0.12</v>
      </c>
      <c r="K76" s="324">
        <v>1.181</v>
      </c>
      <c r="L76" s="324">
        <v>2</v>
      </c>
      <c r="M76" s="324">
        <v>17.72</v>
      </c>
      <c r="N76" s="325">
        <f t="shared" si="0"/>
        <v>8.86</v>
      </c>
      <c r="O76" s="324">
        <v>0.43</v>
      </c>
      <c r="P76" s="324">
        <v>0</v>
      </c>
      <c r="Q76" s="324">
        <v>2.2149999999999999</v>
      </c>
      <c r="R76" s="324">
        <v>1.89</v>
      </c>
      <c r="S76" s="326">
        <v>3</v>
      </c>
      <c r="T76" s="341">
        <v>0.64</v>
      </c>
      <c r="U76" s="341">
        <v>8.3000000000000007</v>
      </c>
      <c r="V76" s="325">
        <f t="shared" si="9"/>
        <v>13.331999999999999</v>
      </c>
      <c r="W76" s="327">
        <v>14.17</v>
      </c>
      <c r="X76" s="328">
        <v>1</v>
      </c>
      <c r="Y76" s="328">
        <v>1</v>
      </c>
      <c r="Z76" s="329">
        <v>13.027000000000001</v>
      </c>
      <c r="AA76" s="330">
        <v>1.79</v>
      </c>
      <c r="AB76" s="331">
        <v>1.93</v>
      </c>
      <c r="AC76" s="330">
        <v>4.63</v>
      </c>
      <c r="AD76" s="331">
        <v>4.32</v>
      </c>
      <c r="AE76" s="332"/>
      <c r="AF76" s="333">
        <v>16.25</v>
      </c>
    </row>
    <row r="77" spans="1:39" x14ac:dyDescent="0.35">
      <c r="A77" s="321"/>
      <c r="B77" s="322">
        <v>310</v>
      </c>
      <c r="C77" s="322" t="s">
        <v>1400</v>
      </c>
      <c r="D77" s="340" t="s">
        <v>1445</v>
      </c>
      <c r="E77" s="324">
        <v>19.690000000000001</v>
      </c>
      <c r="F77" s="324">
        <v>16.54</v>
      </c>
      <c r="G77" s="324">
        <v>12.85</v>
      </c>
      <c r="H77" s="324">
        <v>8.6509999999999998</v>
      </c>
      <c r="I77" s="324">
        <v>1.3779999999999999</v>
      </c>
      <c r="J77" s="324">
        <v>0.12</v>
      </c>
      <c r="K77" s="324">
        <v>1.181</v>
      </c>
      <c r="L77" s="324">
        <v>2</v>
      </c>
      <c r="M77" s="324">
        <v>17.72</v>
      </c>
      <c r="N77" s="325">
        <f t="shared" si="0"/>
        <v>8.86</v>
      </c>
      <c r="O77" s="324">
        <v>0.43</v>
      </c>
      <c r="P77" s="324">
        <v>0</v>
      </c>
      <c r="Q77" s="324">
        <v>2.2149999999999999</v>
      </c>
      <c r="R77" s="324">
        <v>1.89</v>
      </c>
      <c r="S77" s="326">
        <v>3</v>
      </c>
      <c r="T77" s="341">
        <v>0.64</v>
      </c>
      <c r="U77" s="341">
        <v>8.3000000000000007</v>
      </c>
      <c r="V77" s="325">
        <f t="shared" si="9"/>
        <v>11.591999999999999</v>
      </c>
      <c r="W77" s="327">
        <v>14.17</v>
      </c>
      <c r="X77" s="328">
        <v>1</v>
      </c>
      <c r="Y77" s="328">
        <v>1</v>
      </c>
      <c r="Z77" s="329">
        <v>13.027000000000001</v>
      </c>
      <c r="AA77" s="330">
        <v>1.79</v>
      </c>
      <c r="AB77" s="331">
        <v>1.93</v>
      </c>
      <c r="AC77" s="330">
        <v>4.63</v>
      </c>
      <c r="AD77" s="331">
        <v>4.32</v>
      </c>
      <c r="AE77" s="332"/>
      <c r="AF77" s="333">
        <v>16.25</v>
      </c>
    </row>
    <row r="78" spans="1:39" x14ac:dyDescent="0.35">
      <c r="A78" s="321"/>
      <c r="B78" s="334">
        <v>355</v>
      </c>
      <c r="C78" s="334" t="s">
        <v>1398</v>
      </c>
      <c r="D78" s="335" t="s">
        <v>1446</v>
      </c>
      <c r="E78" s="342">
        <v>19.690000000000001</v>
      </c>
      <c r="F78" s="342">
        <v>16.54</v>
      </c>
      <c r="G78" s="342">
        <v>15.41</v>
      </c>
      <c r="H78" s="342">
        <v>11.2</v>
      </c>
      <c r="I78" s="342">
        <v>1.3779999999999999</v>
      </c>
      <c r="J78" s="342">
        <v>0.12</v>
      </c>
      <c r="K78" s="342">
        <v>1.181</v>
      </c>
      <c r="L78" s="337">
        <v>2</v>
      </c>
      <c r="M78" s="342">
        <v>17.72</v>
      </c>
      <c r="N78" s="338">
        <f t="shared" si="0"/>
        <v>8.86</v>
      </c>
      <c r="O78" s="342">
        <v>0.43</v>
      </c>
      <c r="P78" s="337">
        <v>0</v>
      </c>
      <c r="Q78" s="342">
        <v>2.1030000000000002</v>
      </c>
      <c r="R78" s="342">
        <v>1.89</v>
      </c>
      <c r="S78" s="339">
        <v>3</v>
      </c>
      <c r="T78" s="337">
        <v>0.64</v>
      </c>
      <c r="U78" s="337">
        <v>9.1999999999999993</v>
      </c>
      <c r="V78" s="338">
        <f t="shared" si="9"/>
        <v>14.151999999999999</v>
      </c>
      <c r="W78" s="327">
        <v>15.91</v>
      </c>
      <c r="X78" s="328">
        <v>1</v>
      </c>
      <c r="Y78" s="328">
        <v>1</v>
      </c>
      <c r="Z78" s="329">
        <v>13.917000000000002</v>
      </c>
      <c r="AA78" s="330">
        <v>1.56</v>
      </c>
      <c r="AB78" s="331">
        <v>2.4300000000000002</v>
      </c>
      <c r="AC78" s="330">
        <v>4.25</v>
      </c>
      <c r="AD78" s="331">
        <v>4.0999999999999996</v>
      </c>
      <c r="AE78" s="332"/>
      <c r="AF78" s="333">
        <v>16.25</v>
      </c>
    </row>
    <row r="79" spans="1:39" x14ac:dyDescent="0.35">
      <c r="A79" s="321"/>
      <c r="B79" s="334">
        <v>355</v>
      </c>
      <c r="C79" s="334" t="s">
        <v>1400</v>
      </c>
      <c r="D79" s="335" t="s">
        <v>1447</v>
      </c>
      <c r="E79" s="342">
        <v>19.690000000000001</v>
      </c>
      <c r="F79" s="342">
        <v>16.54</v>
      </c>
      <c r="G79" s="342">
        <v>15.41</v>
      </c>
      <c r="H79" s="342">
        <v>11.2</v>
      </c>
      <c r="I79" s="342">
        <v>1.3779999999999999</v>
      </c>
      <c r="J79" s="342">
        <v>0.12</v>
      </c>
      <c r="K79" s="342">
        <v>1.181</v>
      </c>
      <c r="L79" s="337">
        <v>2</v>
      </c>
      <c r="M79" s="342">
        <v>17.72</v>
      </c>
      <c r="N79" s="338">
        <f t="shared" si="0"/>
        <v>8.86</v>
      </c>
      <c r="O79" s="342">
        <v>0.43</v>
      </c>
      <c r="P79" s="337">
        <v>0</v>
      </c>
      <c r="Q79" s="342">
        <v>2.1030000000000002</v>
      </c>
      <c r="R79" s="342">
        <v>1.89</v>
      </c>
      <c r="S79" s="339">
        <v>3</v>
      </c>
      <c r="T79" s="337">
        <v>0.64</v>
      </c>
      <c r="U79" s="337">
        <v>9.1999999999999993</v>
      </c>
      <c r="V79" s="338">
        <f t="shared" si="9"/>
        <v>14.151999999999999</v>
      </c>
      <c r="W79" s="327">
        <v>15.91</v>
      </c>
      <c r="X79" s="328">
        <v>1</v>
      </c>
      <c r="Y79" s="328">
        <v>1</v>
      </c>
      <c r="Z79" s="329">
        <v>13.917000000000002</v>
      </c>
      <c r="AA79" s="330">
        <v>1.56</v>
      </c>
      <c r="AB79" s="331">
        <v>2.4300000000000002</v>
      </c>
      <c r="AC79" s="330">
        <v>4.25</v>
      </c>
      <c r="AD79" s="331">
        <v>4.0999999999999996</v>
      </c>
      <c r="AE79" s="332"/>
      <c r="AF79" s="333">
        <v>16.25</v>
      </c>
    </row>
    <row r="80" spans="1:39" x14ac:dyDescent="0.35">
      <c r="A80" s="321"/>
      <c r="B80" s="322">
        <v>400</v>
      </c>
      <c r="C80" s="322" t="s">
        <v>1398</v>
      </c>
      <c r="D80" s="340" t="s">
        <v>1448</v>
      </c>
      <c r="E80" s="341">
        <v>21.69</v>
      </c>
      <c r="F80" s="341">
        <v>16.54</v>
      </c>
      <c r="G80" s="341">
        <v>16.77</v>
      </c>
      <c r="H80" s="341">
        <v>12.68</v>
      </c>
      <c r="I80" s="341">
        <v>1.3779999999999999</v>
      </c>
      <c r="J80" s="341">
        <v>0.108</v>
      </c>
      <c r="K80" s="341">
        <v>1.181</v>
      </c>
      <c r="L80" s="341">
        <v>2</v>
      </c>
      <c r="M80" s="341">
        <v>19.72</v>
      </c>
      <c r="N80" s="325">
        <f t="shared" ref="N80:N111" si="10">IF(L80=2,M80/2,M80)</f>
        <v>9.86</v>
      </c>
      <c r="O80" s="341">
        <v>0.43</v>
      </c>
      <c r="P80" s="341">
        <v>0</v>
      </c>
      <c r="Q80" s="341">
        <v>3.1030000000000002</v>
      </c>
      <c r="R80" s="341">
        <v>1.89</v>
      </c>
      <c r="S80" s="326">
        <v>3</v>
      </c>
      <c r="T80" s="341">
        <v>0.64</v>
      </c>
      <c r="U80" s="341">
        <v>9.3000000000000007</v>
      </c>
      <c r="V80" s="325">
        <f t="shared" si="9"/>
        <v>15.5</v>
      </c>
      <c r="W80" s="327">
        <v>17.91</v>
      </c>
      <c r="X80" s="328">
        <v>1</v>
      </c>
      <c r="Y80" s="328">
        <v>1</v>
      </c>
      <c r="Z80" s="329">
        <v>15.451000000000001</v>
      </c>
      <c r="AA80" s="330">
        <v>1.67</v>
      </c>
      <c r="AB80" s="331">
        <v>2.93</v>
      </c>
      <c r="AC80" s="330">
        <v>5.35</v>
      </c>
      <c r="AD80" s="331">
        <v>5.09</v>
      </c>
      <c r="AE80" s="332"/>
      <c r="AF80" s="333">
        <v>18</v>
      </c>
    </row>
    <row r="81" spans="1:32" x14ac:dyDescent="0.35">
      <c r="A81" s="321"/>
      <c r="B81" s="322">
        <v>400</v>
      </c>
      <c r="C81" s="322" t="s">
        <v>1400</v>
      </c>
      <c r="D81" s="340" t="s">
        <v>1449</v>
      </c>
      <c r="E81" s="341">
        <v>21.69</v>
      </c>
      <c r="F81" s="341">
        <v>16.54</v>
      </c>
      <c r="G81" s="341">
        <v>16.77</v>
      </c>
      <c r="H81" s="341">
        <v>12.68</v>
      </c>
      <c r="I81" s="341">
        <v>1.3779999999999999</v>
      </c>
      <c r="J81" s="341">
        <v>0.108</v>
      </c>
      <c r="K81" s="341">
        <v>1.181</v>
      </c>
      <c r="L81" s="341">
        <v>2</v>
      </c>
      <c r="M81" s="341">
        <v>19.72</v>
      </c>
      <c r="N81" s="325">
        <f t="shared" si="10"/>
        <v>9.86</v>
      </c>
      <c r="O81" s="341">
        <v>0.43</v>
      </c>
      <c r="P81" s="341">
        <v>0</v>
      </c>
      <c r="Q81" s="341">
        <v>3.1030000000000002</v>
      </c>
      <c r="R81" s="341">
        <v>1.89</v>
      </c>
      <c r="S81" s="326">
        <v>3</v>
      </c>
      <c r="T81" s="341">
        <v>0.64</v>
      </c>
      <c r="U81" s="341">
        <v>9.3000000000000007</v>
      </c>
      <c r="V81" s="325">
        <f t="shared" si="9"/>
        <v>15.5</v>
      </c>
      <c r="W81" s="327">
        <v>17.91</v>
      </c>
      <c r="X81" s="328">
        <v>1</v>
      </c>
      <c r="Y81" s="328">
        <v>1</v>
      </c>
      <c r="Z81" s="329">
        <v>15.451000000000001</v>
      </c>
      <c r="AA81" s="330">
        <v>1.67</v>
      </c>
      <c r="AB81" s="331">
        <v>2.93</v>
      </c>
      <c r="AC81" s="330">
        <v>5.35</v>
      </c>
      <c r="AD81" s="331">
        <v>5.09</v>
      </c>
      <c r="AE81" s="332"/>
      <c r="AF81" s="333">
        <v>18</v>
      </c>
    </row>
    <row r="82" spans="1:32" x14ac:dyDescent="0.35">
      <c r="A82" s="321"/>
      <c r="B82" s="334">
        <v>450</v>
      </c>
      <c r="C82" s="334" t="s">
        <v>1398</v>
      </c>
      <c r="D82" s="335" t="s">
        <v>1450</v>
      </c>
      <c r="E82" s="337">
        <v>24.803000000000001</v>
      </c>
      <c r="F82" s="337">
        <v>19.684999999999999</v>
      </c>
      <c r="G82" s="337">
        <v>17.899999999999999</v>
      </c>
      <c r="H82" s="337">
        <v>13.807</v>
      </c>
      <c r="I82" s="337">
        <v>1.3779999999999999</v>
      </c>
      <c r="J82" s="337">
        <v>0.12</v>
      </c>
      <c r="K82" s="337">
        <v>1.181</v>
      </c>
      <c r="L82" s="337">
        <v>3</v>
      </c>
      <c r="M82" s="337">
        <v>11.417</v>
      </c>
      <c r="N82" s="338">
        <f t="shared" si="10"/>
        <v>11.417</v>
      </c>
      <c r="O82" s="337">
        <v>0.43</v>
      </c>
      <c r="P82" s="337">
        <v>0</v>
      </c>
      <c r="Q82" s="337">
        <v>3.173</v>
      </c>
      <c r="R82" s="337">
        <v>1.89</v>
      </c>
      <c r="S82" s="339">
        <v>3</v>
      </c>
      <c r="T82" s="337">
        <v>0.64</v>
      </c>
      <c r="U82" s="337">
        <v>9.1999999999999993</v>
      </c>
      <c r="V82" s="338">
        <f t="shared" si="9"/>
        <v>16.641999999999999</v>
      </c>
      <c r="W82" s="327">
        <v>19.88</v>
      </c>
      <c r="X82" s="328">
        <v>1</v>
      </c>
      <c r="Y82" s="328">
        <v>1</v>
      </c>
      <c r="Z82" s="329">
        <v>16.657</v>
      </c>
      <c r="AA82" s="330">
        <v>2.2599999999999998</v>
      </c>
      <c r="AB82" s="330">
        <v>3.38</v>
      </c>
      <c r="AC82" s="330">
        <v>5.42</v>
      </c>
      <c r="AD82" s="330">
        <v>5.13</v>
      </c>
      <c r="AE82" s="332"/>
      <c r="AF82" s="333">
        <v>21</v>
      </c>
    </row>
    <row r="83" spans="1:32" x14ac:dyDescent="0.35">
      <c r="A83" s="321"/>
      <c r="B83" s="334">
        <v>450</v>
      </c>
      <c r="C83" s="334" t="s">
        <v>1398</v>
      </c>
      <c r="D83" s="335" t="s">
        <v>1451</v>
      </c>
      <c r="E83" s="337">
        <v>24.803000000000001</v>
      </c>
      <c r="F83" s="337">
        <v>20.5</v>
      </c>
      <c r="G83" s="337">
        <v>19.89</v>
      </c>
      <c r="H83" s="337">
        <v>14.083</v>
      </c>
      <c r="I83" s="337">
        <v>1.3779999999999999</v>
      </c>
      <c r="J83" s="337">
        <v>0.12</v>
      </c>
      <c r="K83" s="337">
        <v>1.181</v>
      </c>
      <c r="L83" s="337">
        <v>3</v>
      </c>
      <c r="M83" s="337">
        <v>11.417</v>
      </c>
      <c r="N83" s="338">
        <f t="shared" si="10"/>
        <v>11.417</v>
      </c>
      <c r="O83" s="337">
        <v>0.43</v>
      </c>
      <c r="P83" s="337">
        <v>0</v>
      </c>
      <c r="Q83" s="337">
        <v>3.14</v>
      </c>
      <c r="R83" s="337">
        <v>1.17</v>
      </c>
      <c r="S83" s="337">
        <v>3.8420000000000001</v>
      </c>
      <c r="T83" s="337">
        <v>0.64</v>
      </c>
      <c r="U83" s="337">
        <v>10.9</v>
      </c>
      <c r="V83" s="338">
        <f t="shared" si="9"/>
        <v>18.632000000000001</v>
      </c>
      <c r="W83" s="327">
        <v>19.88</v>
      </c>
      <c r="X83" s="328">
        <v>2</v>
      </c>
      <c r="Y83" s="328">
        <v>1</v>
      </c>
      <c r="Z83" s="329">
        <v>18.638999999999999</v>
      </c>
      <c r="AA83" s="330">
        <v>1.45</v>
      </c>
      <c r="AB83" s="330">
        <v>2.4300000000000002</v>
      </c>
      <c r="AC83" s="330">
        <v>7.25</v>
      </c>
      <c r="AD83" s="330">
        <v>7.07</v>
      </c>
      <c r="AE83" s="332"/>
      <c r="AF83" s="333">
        <v>21</v>
      </c>
    </row>
    <row r="84" spans="1:32" x14ac:dyDescent="0.35">
      <c r="A84" s="321"/>
      <c r="B84" s="334">
        <v>450</v>
      </c>
      <c r="C84" s="334" t="s">
        <v>1400</v>
      </c>
      <c r="D84" s="335" t="s">
        <v>1452</v>
      </c>
      <c r="E84" s="337">
        <v>24.803000000000001</v>
      </c>
      <c r="F84" s="337">
        <v>19.684999999999999</v>
      </c>
      <c r="G84" s="337">
        <v>17.899999999999999</v>
      </c>
      <c r="H84" s="337">
        <v>13.807</v>
      </c>
      <c r="I84" s="337">
        <v>1.3779999999999999</v>
      </c>
      <c r="J84" s="337">
        <v>0.12</v>
      </c>
      <c r="K84" s="337">
        <v>1.181</v>
      </c>
      <c r="L84" s="337">
        <v>3</v>
      </c>
      <c r="M84" s="337">
        <v>11.417</v>
      </c>
      <c r="N84" s="338">
        <f t="shared" si="10"/>
        <v>11.417</v>
      </c>
      <c r="O84" s="337">
        <v>0.43</v>
      </c>
      <c r="P84" s="337">
        <v>0</v>
      </c>
      <c r="Q84" s="337">
        <v>3.173</v>
      </c>
      <c r="R84" s="337">
        <v>1.89</v>
      </c>
      <c r="S84" s="343">
        <v>3</v>
      </c>
      <c r="T84" s="337">
        <v>0.64</v>
      </c>
      <c r="U84" s="337">
        <v>9.1999999999999993</v>
      </c>
      <c r="V84" s="338">
        <f t="shared" si="9"/>
        <v>16.641999999999999</v>
      </c>
      <c r="W84" s="327">
        <v>19.88</v>
      </c>
      <c r="X84" s="328">
        <v>1</v>
      </c>
      <c r="Y84" s="328">
        <v>1</v>
      </c>
      <c r="Z84" s="329">
        <v>16.657</v>
      </c>
      <c r="AA84" s="330">
        <v>2.2599999999999998</v>
      </c>
      <c r="AB84" s="330">
        <v>3.38</v>
      </c>
      <c r="AC84" s="330">
        <v>5.42</v>
      </c>
      <c r="AD84" s="330">
        <v>5.13</v>
      </c>
      <c r="AE84" s="332"/>
      <c r="AF84" s="333">
        <v>21</v>
      </c>
    </row>
    <row r="85" spans="1:32" x14ac:dyDescent="0.35">
      <c r="A85" s="321"/>
      <c r="B85" s="334">
        <v>450</v>
      </c>
      <c r="C85" s="334" t="s">
        <v>1400</v>
      </c>
      <c r="D85" s="335" t="s">
        <v>1453</v>
      </c>
      <c r="E85" s="337">
        <v>24.803000000000001</v>
      </c>
      <c r="F85" s="337">
        <v>20.5</v>
      </c>
      <c r="G85" s="337">
        <v>19.690000000000001</v>
      </c>
      <c r="H85" s="337">
        <v>14.083</v>
      </c>
      <c r="I85" s="337">
        <v>1.3779999999999999</v>
      </c>
      <c r="J85" s="337">
        <v>0.12</v>
      </c>
      <c r="K85" s="337">
        <v>1.181</v>
      </c>
      <c r="L85" s="337">
        <v>3</v>
      </c>
      <c r="M85" s="337">
        <v>11.417</v>
      </c>
      <c r="N85" s="338">
        <f t="shared" si="10"/>
        <v>11.417</v>
      </c>
      <c r="O85" s="337">
        <v>0.43</v>
      </c>
      <c r="P85" s="337">
        <v>0</v>
      </c>
      <c r="Q85" s="337">
        <v>3.14</v>
      </c>
      <c r="R85" s="337">
        <v>1.17</v>
      </c>
      <c r="S85" s="337">
        <v>3.8420000000000001</v>
      </c>
      <c r="T85" s="337">
        <v>0.64</v>
      </c>
      <c r="U85" s="337">
        <v>10.9</v>
      </c>
      <c r="V85" s="338">
        <f t="shared" si="9"/>
        <v>18.432000000000002</v>
      </c>
      <c r="W85" s="327">
        <v>19.88</v>
      </c>
      <c r="X85" s="328">
        <v>2</v>
      </c>
      <c r="Y85" s="328">
        <v>1</v>
      </c>
      <c r="Z85" s="329">
        <v>18.638999999999999</v>
      </c>
      <c r="AA85" s="330">
        <v>1.45</v>
      </c>
      <c r="AB85" s="330">
        <v>2.4300000000000002</v>
      </c>
      <c r="AC85" s="330">
        <v>7.25</v>
      </c>
      <c r="AD85" s="330">
        <v>7.07</v>
      </c>
      <c r="AE85" s="332"/>
      <c r="AF85" s="333">
        <v>21</v>
      </c>
    </row>
    <row r="86" spans="1:32" x14ac:dyDescent="0.35">
      <c r="A86" s="321"/>
      <c r="B86" s="322">
        <v>500</v>
      </c>
      <c r="C86" s="322" t="s">
        <v>1398</v>
      </c>
      <c r="D86" s="340" t="s">
        <v>1454</v>
      </c>
      <c r="E86" s="341">
        <v>26.76</v>
      </c>
      <c r="F86" s="341">
        <v>20.87</v>
      </c>
      <c r="G86" s="341">
        <v>18.440000000000001</v>
      </c>
      <c r="H86" s="341">
        <v>14.336</v>
      </c>
      <c r="I86" s="341">
        <v>1.3779999999999999</v>
      </c>
      <c r="J86" s="341">
        <v>0.12</v>
      </c>
      <c r="K86" s="341">
        <v>1.181</v>
      </c>
      <c r="L86" s="341">
        <v>3</v>
      </c>
      <c r="M86" s="341">
        <v>12.396000000000001</v>
      </c>
      <c r="N86" s="325">
        <f t="shared" si="10"/>
        <v>12.396000000000001</v>
      </c>
      <c r="O86" s="341">
        <v>0.43</v>
      </c>
      <c r="P86" s="341">
        <v>0</v>
      </c>
      <c r="Q86" s="341">
        <v>3.4750000000000001</v>
      </c>
      <c r="R86" s="341">
        <v>1.89</v>
      </c>
      <c r="S86" s="344">
        <v>3</v>
      </c>
      <c r="T86" s="341">
        <v>0.64</v>
      </c>
      <c r="U86" s="341">
        <v>9.1999999999999993</v>
      </c>
      <c r="V86" s="325">
        <f t="shared" si="9"/>
        <v>17.182000000000002</v>
      </c>
      <c r="W86" s="327">
        <v>22.28</v>
      </c>
      <c r="X86" s="328">
        <v>1</v>
      </c>
      <c r="Y86" s="328">
        <v>1</v>
      </c>
      <c r="Z86" s="329">
        <v>17.098100000000002</v>
      </c>
      <c r="AA86" s="330">
        <v>3.54</v>
      </c>
      <c r="AB86" s="330">
        <v>3.38</v>
      </c>
      <c r="AC86" s="330">
        <v>5.5</v>
      </c>
      <c r="AD86" s="330">
        <v>5.45</v>
      </c>
      <c r="AE86" s="332"/>
      <c r="AF86" s="333">
        <v>23</v>
      </c>
    </row>
    <row r="87" spans="1:32" x14ac:dyDescent="0.35">
      <c r="A87" s="321"/>
      <c r="B87" s="322">
        <v>500</v>
      </c>
      <c r="C87" s="322" t="s">
        <v>1398</v>
      </c>
      <c r="D87" s="340" t="s">
        <v>1455</v>
      </c>
      <c r="E87" s="341">
        <v>26.76</v>
      </c>
      <c r="F87" s="341">
        <v>22.047000000000001</v>
      </c>
      <c r="G87" s="341">
        <v>21.55</v>
      </c>
      <c r="H87" s="341">
        <v>15.747999999999999</v>
      </c>
      <c r="I87" s="341">
        <v>1.3779999999999999</v>
      </c>
      <c r="J87" s="341">
        <v>0.12</v>
      </c>
      <c r="K87" s="341">
        <v>1.181</v>
      </c>
      <c r="L87" s="341">
        <v>3</v>
      </c>
      <c r="M87" s="341">
        <v>12.412000000000001</v>
      </c>
      <c r="N87" s="325">
        <f t="shared" si="10"/>
        <v>12.412000000000001</v>
      </c>
      <c r="O87" s="341">
        <v>0.43</v>
      </c>
      <c r="P87" s="341">
        <v>0</v>
      </c>
      <c r="Q87" s="341">
        <v>3.3410000000000002</v>
      </c>
      <c r="R87" s="341">
        <v>1.1679999999999999</v>
      </c>
      <c r="S87" s="341">
        <v>3.8410000000000002</v>
      </c>
      <c r="T87" s="341">
        <v>0.64</v>
      </c>
      <c r="U87" s="341">
        <v>10.7</v>
      </c>
      <c r="V87" s="325">
        <f t="shared" si="9"/>
        <v>20.292000000000002</v>
      </c>
      <c r="W87" s="327">
        <v>22.28</v>
      </c>
      <c r="X87" s="328">
        <v>2</v>
      </c>
      <c r="Y87" s="328">
        <v>1</v>
      </c>
      <c r="Z87" s="329">
        <v>20.433</v>
      </c>
      <c r="AA87" s="330">
        <v>2.65</v>
      </c>
      <c r="AB87" s="330">
        <v>2.68</v>
      </c>
      <c r="AC87" s="330">
        <v>7.47</v>
      </c>
      <c r="AD87" s="330">
        <v>7.39</v>
      </c>
      <c r="AE87" s="332"/>
      <c r="AF87" s="333">
        <v>23</v>
      </c>
    </row>
    <row r="88" spans="1:32" x14ac:dyDescent="0.35">
      <c r="A88" s="321"/>
      <c r="B88" s="322">
        <v>500</v>
      </c>
      <c r="C88" s="322" t="s">
        <v>1400</v>
      </c>
      <c r="D88" s="340" t="s">
        <v>1456</v>
      </c>
      <c r="E88" s="341">
        <v>26.76</v>
      </c>
      <c r="F88" s="341">
        <v>20.87</v>
      </c>
      <c r="G88" s="341">
        <v>18.440000000000001</v>
      </c>
      <c r="H88" s="341">
        <v>14.340999999999999</v>
      </c>
      <c r="I88" s="341">
        <v>1.3779999999999999</v>
      </c>
      <c r="J88" s="341">
        <v>0.12</v>
      </c>
      <c r="K88" s="341">
        <v>1.181</v>
      </c>
      <c r="L88" s="341">
        <v>3</v>
      </c>
      <c r="M88" s="341">
        <v>12.396000000000001</v>
      </c>
      <c r="N88" s="325">
        <f t="shared" si="10"/>
        <v>12.396000000000001</v>
      </c>
      <c r="O88" s="341">
        <v>0.43</v>
      </c>
      <c r="P88" s="341">
        <v>0</v>
      </c>
      <c r="Q88" s="341">
        <v>3.4750000000000001</v>
      </c>
      <c r="R88" s="341">
        <v>1.89</v>
      </c>
      <c r="S88" s="344">
        <v>3</v>
      </c>
      <c r="T88" s="341">
        <v>0.64</v>
      </c>
      <c r="U88" s="341">
        <v>9.1999999999999993</v>
      </c>
      <c r="V88" s="325">
        <f t="shared" si="9"/>
        <v>17.182000000000002</v>
      </c>
      <c r="W88" s="327">
        <v>22.28</v>
      </c>
      <c r="X88" s="328">
        <v>1</v>
      </c>
      <c r="Y88" s="328">
        <v>1</v>
      </c>
      <c r="Z88" s="329">
        <v>17.100100000000001</v>
      </c>
      <c r="AA88" s="330">
        <v>3.54</v>
      </c>
      <c r="AB88" s="330">
        <v>3.38</v>
      </c>
      <c r="AC88" s="330">
        <v>5.5</v>
      </c>
      <c r="AD88" s="330">
        <v>5.45</v>
      </c>
      <c r="AE88" s="332"/>
      <c r="AF88" s="333">
        <v>23</v>
      </c>
    </row>
    <row r="89" spans="1:32" x14ac:dyDescent="0.35">
      <c r="A89" s="321"/>
      <c r="B89" s="322">
        <v>500</v>
      </c>
      <c r="C89" s="322" t="s">
        <v>1400</v>
      </c>
      <c r="D89" s="340" t="s">
        <v>1457</v>
      </c>
      <c r="E89" s="341">
        <v>26.76</v>
      </c>
      <c r="F89" s="341">
        <v>22.047000000000001</v>
      </c>
      <c r="G89" s="341">
        <v>21.5</v>
      </c>
      <c r="H89" s="341">
        <v>15.75</v>
      </c>
      <c r="I89" s="341">
        <v>1.3779999999999999</v>
      </c>
      <c r="J89" s="341">
        <v>0.12</v>
      </c>
      <c r="K89" s="341">
        <v>1.181</v>
      </c>
      <c r="L89" s="341">
        <v>3</v>
      </c>
      <c r="M89" s="341">
        <v>12.412000000000001</v>
      </c>
      <c r="N89" s="325">
        <f t="shared" si="10"/>
        <v>12.412000000000001</v>
      </c>
      <c r="O89" s="341">
        <v>0.43</v>
      </c>
      <c r="P89" s="341">
        <v>0</v>
      </c>
      <c r="Q89" s="341">
        <v>3.3410000000000002</v>
      </c>
      <c r="R89" s="341">
        <v>1.1679999999999999</v>
      </c>
      <c r="S89" s="341">
        <v>3.8410000000000002</v>
      </c>
      <c r="T89" s="341">
        <v>0.64</v>
      </c>
      <c r="U89" s="341">
        <v>10.7</v>
      </c>
      <c r="V89" s="325">
        <f t="shared" si="9"/>
        <v>20.242000000000001</v>
      </c>
      <c r="W89" s="327">
        <v>22.28</v>
      </c>
      <c r="X89" s="328">
        <v>2</v>
      </c>
      <c r="Y89" s="328">
        <v>1</v>
      </c>
      <c r="Z89" s="329">
        <v>20.433</v>
      </c>
      <c r="AA89" s="330">
        <v>2.65</v>
      </c>
      <c r="AB89" s="330">
        <v>2.68</v>
      </c>
      <c r="AC89" s="330">
        <v>7.47</v>
      </c>
      <c r="AD89" s="330">
        <v>7.39</v>
      </c>
      <c r="AE89" s="332"/>
      <c r="AF89" s="333">
        <v>23</v>
      </c>
    </row>
    <row r="90" spans="1:32" x14ac:dyDescent="0.35">
      <c r="A90" s="321"/>
      <c r="B90" s="334">
        <v>560</v>
      </c>
      <c r="C90" s="334" t="s">
        <v>1398</v>
      </c>
      <c r="D90" s="335" t="s">
        <v>1458</v>
      </c>
      <c r="E90" s="337">
        <v>30.66</v>
      </c>
      <c r="F90" s="337">
        <v>24.8</v>
      </c>
      <c r="G90" s="337">
        <v>20.73</v>
      </c>
      <c r="H90" s="337">
        <v>16.638999999999999</v>
      </c>
      <c r="I90" s="337">
        <v>1.3779999999999999</v>
      </c>
      <c r="J90" s="337">
        <v>0.12</v>
      </c>
      <c r="K90" s="337">
        <v>1.181</v>
      </c>
      <c r="L90" s="337">
        <v>3</v>
      </c>
      <c r="M90" s="337">
        <v>13.83</v>
      </c>
      <c r="N90" s="338">
        <f t="shared" si="10"/>
        <v>13.83</v>
      </c>
      <c r="O90" s="337">
        <v>0.43</v>
      </c>
      <c r="P90" s="337">
        <v>0</v>
      </c>
      <c r="Q90" s="337">
        <v>3.4369999999999998</v>
      </c>
      <c r="R90" s="337">
        <v>1.89</v>
      </c>
      <c r="S90" s="343">
        <v>3</v>
      </c>
      <c r="T90" s="337">
        <v>0.64</v>
      </c>
      <c r="U90" s="337">
        <v>9.1999999999999993</v>
      </c>
      <c r="V90" s="338">
        <f t="shared" si="9"/>
        <v>19.472000000000001</v>
      </c>
      <c r="W90" s="327">
        <v>25.04</v>
      </c>
      <c r="X90" s="328">
        <v>1</v>
      </c>
      <c r="Y90" s="328">
        <v>1</v>
      </c>
      <c r="Z90" s="329">
        <v>19.36</v>
      </c>
      <c r="AA90" s="330">
        <v>3.28</v>
      </c>
      <c r="AB90" s="330">
        <v>3.5</v>
      </c>
      <c r="AC90" s="330">
        <v>5.88</v>
      </c>
      <c r="AD90" s="330">
        <v>5.57</v>
      </c>
      <c r="AE90" s="332"/>
      <c r="AF90" s="333">
        <v>27.75</v>
      </c>
    </row>
    <row r="91" spans="1:32" x14ac:dyDescent="0.35">
      <c r="A91" s="321"/>
      <c r="B91" s="334">
        <v>560</v>
      </c>
      <c r="C91" s="334" t="s">
        <v>1398</v>
      </c>
      <c r="D91" s="335" t="s">
        <v>1459</v>
      </c>
      <c r="E91" s="337">
        <v>31.5</v>
      </c>
      <c r="F91" s="337">
        <v>24.8</v>
      </c>
      <c r="G91" s="337">
        <v>24.02</v>
      </c>
      <c r="H91" s="337">
        <v>18.207999999999998</v>
      </c>
      <c r="I91" s="337">
        <v>1.3779999999999999</v>
      </c>
      <c r="J91" s="337">
        <v>0.12</v>
      </c>
      <c r="K91" s="337">
        <v>1.181</v>
      </c>
      <c r="L91" s="337">
        <v>3</v>
      </c>
      <c r="M91" s="337">
        <v>14.763999999999999</v>
      </c>
      <c r="N91" s="338">
        <f t="shared" si="10"/>
        <v>14.763999999999999</v>
      </c>
      <c r="O91" s="337">
        <v>0.43</v>
      </c>
      <c r="P91" s="337">
        <v>0</v>
      </c>
      <c r="Q91" s="337">
        <v>4.33</v>
      </c>
      <c r="R91" s="337">
        <v>1.17</v>
      </c>
      <c r="S91" s="337">
        <v>3.8420000000000001</v>
      </c>
      <c r="T91" s="337">
        <v>0.64</v>
      </c>
      <c r="U91" s="337">
        <v>10.7</v>
      </c>
      <c r="V91" s="338">
        <f t="shared" si="9"/>
        <v>22.762</v>
      </c>
      <c r="W91" s="327">
        <v>25.04</v>
      </c>
      <c r="X91" s="328">
        <v>2</v>
      </c>
      <c r="Y91" s="328">
        <v>1</v>
      </c>
      <c r="Z91" s="329">
        <v>22.478999999999999</v>
      </c>
      <c r="AA91" s="330">
        <v>4.05</v>
      </c>
      <c r="AB91" s="330">
        <v>3.68</v>
      </c>
      <c r="AC91" s="330">
        <v>8.4600000000000009</v>
      </c>
      <c r="AD91" s="330">
        <v>8.35</v>
      </c>
      <c r="AE91" s="332"/>
      <c r="AF91" s="333">
        <v>27.75</v>
      </c>
    </row>
    <row r="92" spans="1:32" x14ac:dyDescent="0.35">
      <c r="A92" s="321"/>
      <c r="B92" s="334">
        <v>560</v>
      </c>
      <c r="C92" s="334" t="s">
        <v>1400</v>
      </c>
      <c r="D92" s="335" t="s">
        <v>1460</v>
      </c>
      <c r="E92" s="337">
        <v>30.66</v>
      </c>
      <c r="F92" s="337">
        <v>24.8</v>
      </c>
      <c r="G92" s="337">
        <v>20.73</v>
      </c>
      <c r="H92" s="337">
        <v>16.638999999999999</v>
      </c>
      <c r="I92" s="337">
        <v>1.3779999999999999</v>
      </c>
      <c r="J92" s="337">
        <v>0.12</v>
      </c>
      <c r="K92" s="337">
        <v>1.181</v>
      </c>
      <c r="L92" s="337">
        <v>3</v>
      </c>
      <c r="M92" s="337">
        <v>13.83</v>
      </c>
      <c r="N92" s="338">
        <f t="shared" si="10"/>
        <v>13.83</v>
      </c>
      <c r="O92" s="337">
        <v>0.43</v>
      </c>
      <c r="P92" s="337">
        <v>0</v>
      </c>
      <c r="Q92" s="337">
        <v>3.4369999999999998</v>
      </c>
      <c r="R92" s="337">
        <v>1.89</v>
      </c>
      <c r="S92" s="343">
        <v>3</v>
      </c>
      <c r="T92" s="337">
        <v>0.64</v>
      </c>
      <c r="U92" s="337">
        <v>9.1999999999999993</v>
      </c>
      <c r="V92" s="338">
        <f t="shared" si="9"/>
        <v>19.472000000000001</v>
      </c>
      <c r="W92" s="327">
        <v>25.04</v>
      </c>
      <c r="X92" s="328">
        <v>1</v>
      </c>
      <c r="Y92" s="328">
        <v>1</v>
      </c>
      <c r="Z92" s="329">
        <v>19.36</v>
      </c>
      <c r="AA92" s="330">
        <v>3.28</v>
      </c>
      <c r="AB92" s="330">
        <v>3.5</v>
      </c>
      <c r="AC92" s="330">
        <v>5.88</v>
      </c>
      <c r="AD92" s="330">
        <v>5.57</v>
      </c>
      <c r="AE92" s="332"/>
      <c r="AF92" s="333">
        <v>27.75</v>
      </c>
    </row>
    <row r="93" spans="1:32" x14ac:dyDescent="0.35">
      <c r="A93" s="321"/>
      <c r="B93" s="334">
        <v>560</v>
      </c>
      <c r="C93" s="334" t="s">
        <v>1400</v>
      </c>
      <c r="D93" s="335" t="s">
        <v>1461</v>
      </c>
      <c r="E93" s="337">
        <v>31.5</v>
      </c>
      <c r="F93" s="337">
        <v>24.8</v>
      </c>
      <c r="G93" s="337">
        <v>24.02</v>
      </c>
      <c r="H93" s="337">
        <v>18.207999999999998</v>
      </c>
      <c r="I93" s="337">
        <v>1.3779999999999999</v>
      </c>
      <c r="J93" s="337">
        <v>0.12</v>
      </c>
      <c r="K93" s="337">
        <v>1.181</v>
      </c>
      <c r="L93" s="337">
        <v>3</v>
      </c>
      <c r="M93" s="337">
        <v>14.763999999999999</v>
      </c>
      <c r="N93" s="338">
        <f t="shared" si="10"/>
        <v>14.763999999999999</v>
      </c>
      <c r="O93" s="337">
        <v>0.43</v>
      </c>
      <c r="P93" s="337">
        <v>0</v>
      </c>
      <c r="Q93" s="337">
        <v>4.33</v>
      </c>
      <c r="R93" s="337">
        <v>1.17</v>
      </c>
      <c r="S93" s="337">
        <v>3.8420000000000001</v>
      </c>
      <c r="T93" s="337">
        <v>0.64</v>
      </c>
      <c r="U93" s="337">
        <v>10.7</v>
      </c>
      <c r="V93" s="338">
        <f t="shared" si="9"/>
        <v>22.762</v>
      </c>
      <c r="W93" s="327">
        <v>25.04</v>
      </c>
      <c r="X93" s="328">
        <v>2</v>
      </c>
      <c r="Y93" s="328">
        <v>1</v>
      </c>
      <c r="Z93" s="329">
        <v>22.478999999999999</v>
      </c>
      <c r="AA93" s="330">
        <v>4.05</v>
      </c>
      <c r="AB93" s="330">
        <v>3.68</v>
      </c>
      <c r="AC93" s="330">
        <v>8.4600000000000009</v>
      </c>
      <c r="AD93" s="330">
        <v>8.35</v>
      </c>
      <c r="AE93" s="332"/>
      <c r="AF93" s="333">
        <v>27.75</v>
      </c>
    </row>
    <row r="94" spans="1:32" x14ac:dyDescent="0.35">
      <c r="A94" s="321"/>
      <c r="B94" s="322">
        <v>630</v>
      </c>
      <c r="C94" s="322" t="s">
        <v>1398</v>
      </c>
      <c r="D94" s="340" t="s">
        <v>1462</v>
      </c>
      <c r="E94" s="324">
        <v>31.495999999999999</v>
      </c>
      <c r="F94" s="324">
        <v>26.390999999999998</v>
      </c>
      <c r="G94" s="324">
        <v>20.9</v>
      </c>
      <c r="H94" s="341">
        <v>17.594000000000001</v>
      </c>
      <c r="I94" s="341">
        <v>0.59</v>
      </c>
      <c r="J94" s="341">
        <v>0.12</v>
      </c>
      <c r="K94" s="341">
        <v>0.59099999999999997</v>
      </c>
      <c r="L94" s="341">
        <v>3</v>
      </c>
      <c r="M94" s="341">
        <v>14.763999999999999</v>
      </c>
      <c r="N94" s="325">
        <f t="shared" si="10"/>
        <v>14.763999999999999</v>
      </c>
      <c r="O94" s="341">
        <v>0.43</v>
      </c>
      <c r="P94" s="341">
        <v>0</v>
      </c>
      <c r="Q94" s="341">
        <v>3.0590000000000002</v>
      </c>
      <c r="R94" s="341">
        <v>1.89</v>
      </c>
      <c r="S94" s="344">
        <v>3</v>
      </c>
      <c r="T94" s="341">
        <v>0.64</v>
      </c>
      <c r="U94" s="341">
        <v>9.1999999999999993</v>
      </c>
      <c r="V94" s="325">
        <f>G94-I94+J94</f>
        <v>20.43</v>
      </c>
      <c r="W94" s="327">
        <v>28.19</v>
      </c>
      <c r="X94" s="328">
        <v>1</v>
      </c>
      <c r="Y94" s="328">
        <v>1</v>
      </c>
      <c r="Z94" s="345">
        <v>20.43</v>
      </c>
      <c r="AA94" s="346"/>
      <c r="AB94" s="346"/>
      <c r="AC94" s="346"/>
      <c r="AD94" s="346"/>
      <c r="AE94" s="332"/>
      <c r="AF94" s="333">
        <v>28.25</v>
      </c>
    </row>
    <row r="95" spans="1:32" x14ac:dyDescent="0.35">
      <c r="A95" s="321"/>
      <c r="B95" s="322">
        <v>630</v>
      </c>
      <c r="C95" s="322" t="s">
        <v>1398</v>
      </c>
      <c r="D95" s="323" t="s">
        <v>1463</v>
      </c>
      <c r="E95" s="324">
        <v>29.920999999999999</v>
      </c>
      <c r="F95" s="324">
        <v>29.291</v>
      </c>
      <c r="G95" s="324">
        <v>26.042999999999999</v>
      </c>
      <c r="H95" s="341">
        <v>19.843</v>
      </c>
      <c r="I95" s="341">
        <v>0.78700000000000003</v>
      </c>
      <c r="J95" s="341">
        <v>0.19700000000000001</v>
      </c>
      <c r="K95" s="341">
        <v>5.4130000000000003</v>
      </c>
      <c r="L95" s="341">
        <v>3</v>
      </c>
      <c r="M95" s="341">
        <v>12.992000000000001</v>
      </c>
      <c r="N95" s="325">
        <f t="shared" si="10"/>
        <v>12.992000000000001</v>
      </c>
      <c r="O95" s="341">
        <v>0.43</v>
      </c>
      <c r="P95" s="341">
        <v>9.8000000000000004E-2</v>
      </c>
      <c r="Q95" s="341">
        <v>1.1020000000000001</v>
      </c>
      <c r="R95" s="341">
        <v>2.7839999999999998</v>
      </c>
      <c r="S95" s="344">
        <v>3</v>
      </c>
      <c r="T95" s="341">
        <v>0.8</v>
      </c>
      <c r="U95" s="341">
        <v>10.75</v>
      </c>
      <c r="V95" s="325">
        <f>G95-I95+J95</f>
        <v>25.452999999999999</v>
      </c>
      <c r="W95" s="327">
        <v>28.19</v>
      </c>
      <c r="X95" s="328">
        <v>3</v>
      </c>
      <c r="Y95" s="328">
        <v>2</v>
      </c>
      <c r="Z95" s="345">
        <v>25.452999999999999</v>
      </c>
      <c r="AA95" s="346"/>
      <c r="AB95" s="346"/>
      <c r="AC95" s="346"/>
      <c r="AD95" s="346"/>
      <c r="AE95" s="332"/>
      <c r="AF95" s="333">
        <v>28.25</v>
      </c>
    </row>
    <row r="96" spans="1:32" x14ac:dyDescent="0.35">
      <c r="A96" s="321"/>
      <c r="B96" s="322">
        <v>630</v>
      </c>
      <c r="C96" s="322" t="s">
        <v>1398</v>
      </c>
      <c r="D96" s="323" t="s">
        <v>1464</v>
      </c>
      <c r="E96" s="324">
        <v>29.920999999999999</v>
      </c>
      <c r="F96" s="324">
        <v>29.291</v>
      </c>
      <c r="G96" s="324">
        <v>25.373999999999999</v>
      </c>
      <c r="H96" s="325">
        <f>G96-J96-K96</f>
        <v>19.843</v>
      </c>
      <c r="I96" s="341">
        <v>0.78700000000000003</v>
      </c>
      <c r="J96" s="341">
        <v>0.11799999999999999</v>
      </c>
      <c r="K96" s="341">
        <v>5.4130000000000003</v>
      </c>
      <c r="L96" s="341">
        <v>3</v>
      </c>
      <c r="M96" s="341">
        <v>12.992000000000001</v>
      </c>
      <c r="N96" s="325">
        <f t="shared" si="10"/>
        <v>12.992000000000001</v>
      </c>
      <c r="O96" s="341">
        <v>0.43</v>
      </c>
      <c r="P96" s="341">
        <v>9.8000000000000004E-2</v>
      </c>
      <c r="Q96" s="341">
        <v>1.1020000000000001</v>
      </c>
      <c r="R96" s="341">
        <v>2.7839999999999998</v>
      </c>
      <c r="S96" s="344">
        <v>3</v>
      </c>
      <c r="T96" s="341">
        <v>0.8</v>
      </c>
      <c r="U96" s="341">
        <v>10.72</v>
      </c>
      <c r="V96" s="341">
        <v>24.39</v>
      </c>
      <c r="W96" s="327">
        <v>28.19</v>
      </c>
      <c r="X96" s="328">
        <v>3</v>
      </c>
      <c r="Y96" s="328">
        <v>3</v>
      </c>
      <c r="Z96" s="345">
        <v>24.39</v>
      </c>
      <c r="AA96" s="346"/>
      <c r="AB96" s="346"/>
      <c r="AC96" s="346"/>
      <c r="AD96" s="346"/>
      <c r="AE96" s="332"/>
      <c r="AF96" s="333">
        <v>28.25</v>
      </c>
    </row>
    <row r="97" spans="1:32" x14ac:dyDescent="0.35">
      <c r="A97" s="321"/>
      <c r="B97" s="322">
        <v>630</v>
      </c>
      <c r="C97" s="322" t="s">
        <v>1398</v>
      </c>
      <c r="D97" s="323" t="s">
        <v>1465</v>
      </c>
      <c r="E97" s="324">
        <v>29.920999999999999</v>
      </c>
      <c r="F97" s="324">
        <v>29.291</v>
      </c>
      <c r="G97" s="324">
        <v>27.677</v>
      </c>
      <c r="H97" s="325">
        <f>G97-J97-K97</f>
        <v>22.323</v>
      </c>
      <c r="I97" s="341">
        <v>0.78700000000000003</v>
      </c>
      <c r="J97" s="341">
        <v>0.11799999999999999</v>
      </c>
      <c r="K97" s="341">
        <v>5.2359999999999998</v>
      </c>
      <c r="L97" s="341">
        <v>3</v>
      </c>
      <c r="M97" s="341">
        <v>12.992000000000001</v>
      </c>
      <c r="N97" s="325">
        <f t="shared" si="10"/>
        <v>12.992000000000001</v>
      </c>
      <c r="O97" s="341">
        <v>0.43</v>
      </c>
      <c r="P97" s="341">
        <v>9.8000000000000004E-2</v>
      </c>
      <c r="Q97" s="341">
        <v>1.1020000000000001</v>
      </c>
      <c r="R97" s="341">
        <v>2.7839999999999998</v>
      </c>
      <c r="S97" s="344">
        <v>3</v>
      </c>
      <c r="T97" s="341">
        <v>0.8</v>
      </c>
      <c r="U97" s="341">
        <v>15.43</v>
      </c>
      <c r="V97" s="341">
        <v>27.184999999999999</v>
      </c>
      <c r="W97" s="327">
        <v>28.19</v>
      </c>
      <c r="X97" s="328">
        <v>3</v>
      </c>
      <c r="Y97" s="328">
        <v>3</v>
      </c>
      <c r="Z97" s="345">
        <v>27.184999999999999</v>
      </c>
      <c r="AA97" s="346"/>
      <c r="AB97" s="346"/>
      <c r="AC97" s="346"/>
      <c r="AD97" s="346"/>
      <c r="AE97" s="332"/>
      <c r="AF97" s="333">
        <v>28.25</v>
      </c>
    </row>
    <row r="98" spans="1:32" x14ac:dyDescent="0.35">
      <c r="A98" s="321"/>
      <c r="B98" s="322">
        <v>630</v>
      </c>
      <c r="C98" s="322" t="s">
        <v>1398</v>
      </c>
      <c r="D98" s="323" t="s">
        <v>1466</v>
      </c>
      <c r="E98" s="324">
        <v>29.920999999999999</v>
      </c>
      <c r="F98" s="324">
        <v>29.291</v>
      </c>
      <c r="G98" s="324">
        <v>25.315000000000001</v>
      </c>
      <c r="H98" s="325">
        <f>G98-J98-K98</f>
        <v>19.961000000000002</v>
      </c>
      <c r="I98" s="341">
        <v>0.78700000000000003</v>
      </c>
      <c r="J98" s="341">
        <v>0.11799999999999999</v>
      </c>
      <c r="K98" s="341">
        <v>5.2359999999999998</v>
      </c>
      <c r="L98" s="341">
        <v>3</v>
      </c>
      <c r="M98" s="341">
        <v>12.992000000000001</v>
      </c>
      <c r="N98" s="325">
        <f t="shared" si="10"/>
        <v>12.992000000000001</v>
      </c>
      <c r="O98" s="341">
        <v>0.43</v>
      </c>
      <c r="P98" s="341">
        <v>9.8000000000000004E-2</v>
      </c>
      <c r="Q98" s="341">
        <v>1.1020000000000001</v>
      </c>
      <c r="R98" s="341">
        <v>2.7839999999999998</v>
      </c>
      <c r="S98" s="344">
        <v>3</v>
      </c>
      <c r="T98" s="341">
        <v>0.8</v>
      </c>
      <c r="U98" s="341">
        <v>15.43</v>
      </c>
      <c r="V98" s="341">
        <v>24.831</v>
      </c>
      <c r="W98" s="327">
        <v>28.19</v>
      </c>
      <c r="X98" s="328">
        <v>3</v>
      </c>
      <c r="Y98" s="328">
        <v>3</v>
      </c>
      <c r="Z98" s="345">
        <v>24.831</v>
      </c>
      <c r="AA98" s="346"/>
      <c r="AB98" s="346"/>
      <c r="AC98" s="346"/>
      <c r="AD98" s="346"/>
      <c r="AE98" s="332"/>
      <c r="AF98" s="333">
        <v>28.25</v>
      </c>
    </row>
    <row r="99" spans="1:32" x14ac:dyDescent="0.35">
      <c r="A99" s="321"/>
      <c r="B99" s="322">
        <v>630</v>
      </c>
      <c r="C99" s="322" t="s">
        <v>1400</v>
      </c>
      <c r="D99" s="323" t="s">
        <v>1467</v>
      </c>
      <c r="E99" s="324">
        <v>29.920999999999999</v>
      </c>
      <c r="F99" s="324">
        <v>29.291</v>
      </c>
      <c r="G99" s="324">
        <v>26.042999999999999</v>
      </c>
      <c r="H99" s="341">
        <v>19.843</v>
      </c>
      <c r="I99" s="341">
        <v>0.78700000000000003</v>
      </c>
      <c r="J99" s="347">
        <v>0.19700000000000001</v>
      </c>
      <c r="K99" s="341">
        <v>5.4130000000000003</v>
      </c>
      <c r="L99" s="341">
        <v>3</v>
      </c>
      <c r="M99" s="341">
        <v>12.992000000000001</v>
      </c>
      <c r="N99" s="325">
        <f t="shared" si="10"/>
        <v>12.992000000000001</v>
      </c>
      <c r="O99" s="341">
        <v>0.43</v>
      </c>
      <c r="P99" s="341">
        <v>9.8000000000000004E-2</v>
      </c>
      <c r="Q99" s="341">
        <v>1.1020000000000001</v>
      </c>
      <c r="R99" s="341">
        <v>2.7839999999999998</v>
      </c>
      <c r="S99" s="344">
        <v>3</v>
      </c>
      <c r="T99" s="341">
        <v>0.8</v>
      </c>
      <c r="U99" s="341">
        <v>10.75</v>
      </c>
      <c r="V99" s="325">
        <f>G99-I99+J99</f>
        <v>25.452999999999999</v>
      </c>
      <c r="W99" s="327">
        <v>28.19</v>
      </c>
      <c r="X99" s="328">
        <v>3</v>
      </c>
      <c r="Y99" s="328">
        <v>2</v>
      </c>
      <c r="Z99" s="345">
        <v>25.452999999999999</v>
      </c>
      <c r="AA99" s="346"/>
      <c r="AB99" s="346"/>
      <c r="AC99" s="346"/>
      <c r="AD99" s="346"/>
      <c r="AE99" s="332"/>
      <c r="AF99" s="333">
        <v>28.25</v>
      </c>
    </row>
    <row r="100" spans="1:32" x14ac:dyDescent="0.35">
      <c r="A100" s="321"/>
      <c r="B100" s="334">
        <v>710</v>
      </c>
      <c r="C100" s="334" t="s">
        <v>1398</v>
      </c>
      <c r="D100" s="335" t="s">
        <v>1468</v>
      </c>
      <c r="E100" s="336">
        <v>37.4</v>
      </c>
      <c r="F100" s="336">
        <v>33.46</v>
      </c>
      <c r="G100" s="348">
        <v>23.97</v>
      </c>
      <c r="H100" s="337">
        <v>19.242000000000001</v>
      </c>
      <c r="I100" s="337">
        <v>2</v>
      </c>
      <c r="J100" s="337">
        <v>0.17899999999999999</v>
      </c>
      <c r="K100" s="337">
        <v>2</v>
      </c>
      <c r="L100" s="337">
        <v>3</v>
      </c>
      <c r="M100" s="337">
        <v>17.716999999999999</v>
      </c>
      <c r="N100" s="338">
        <f t="shared" si="10"/>
        <v>17.716999999999999</v>
      </c>
      <c r="O100" s="337">
        <v>0.43</v>
      </c>
      <c r="P100" s="337">
        <v>0</v>
      </c>
      <c r="Q100" s="337">
        <v>3.15</v>
      </c>
      <c r="R100" s="337">
        <v>4.2110000000000003</v>
      </c>
      <c r="S100" s="337">
        <v>5.593</v>
      </c>
      <c r="T100" s="337">
        <v>0.59</v>
      </c>
      <c r="U100" s="337">
        <v>9.17</v>
      </c>
      <c r="V100" s="338">
        <f>G100-I100+J100</f>
        <v>22.148999999999997</v>
      </c>
      <c r="W100" s="327">
        <v>31.73</v>
      </c>
      <c r="X100" s="328">
        <v>2</v>
      </c>
      <c r="Y100" s="328">
        <v>1</v>
      </c>
      <c r="Z100" s="345">
        <v>22.148999999999997</v>
      </c>
      <c r="AA100" s="346"/>
      <c r="AB100" s="346"/>
      <c r="AC100" s="346"/>
      <c r="AD100" s="346"/>
      <c r="AE100" s="332"/>
      <c r="AF100" s="333">
        <v>33.75</v>
      </c>
    </row>
    <row r="101" spans="1:32" x14ac:dyDescent="0.35">
      <c r="A101" s="321"/>
      <c r="B101" s="334">
        <v>710</v>
      </c>
      <c r="C101" s="334" t="s">
        <v>1398</v>
      </c>
      <c r="D101" s="335" t="s">
        <v>1469</v>
      </c>
      <c r="E101" s="336">
        <v>37.795000000000002</v>
      </c>
      <c r="F101" s="336">
        <v>37.164999999999999</v>
      </c>
      <c r="G101" s="336">
        <v>27.736000000000001</v>
      </c>
      <c r="H101" s="337">
        <v>22.736000000000001</v>
      </c>
      <c r="I101" s="337">
        <v>0.98399999999999999</v>
      </c>
      <c r="J101" s="337">
        <v>0.11799999999999999</v>
      </c>
      <c r="K101" s="337">
        <v>4.8819999999999997</v>
      </c>
      <c r="L101" s="337">
        <v>3</v>
      </c>
      <c r="M101" s="337">
        <v>11.811</v>
      </c>
      <c r="N101" s="338">
        <f t="shared" si="10"/>
        <v>11.811</v>
      </c>
      <c r="O101" s="337">
        <v>0.43</v>
      </c>
      <c r="P101" s="337">
        <v>9.8000000000000004E-2</v>
      </c>
      <c r="Q101" s="337">
        <v>1.2989999999999999</v>
      </c>
      <c r="R101" s="337">
        <v>2.7839999999999998</v>
      </c>
      <c r="S101" s="343">
        <v>3</v>
      </c>
      <c r="T101" s="337">
        <v>0.8</v>
      </c>
      <c r="U101" s="337">
        <v>10.72</v>
      </c>
      <c r="V101" s="337">
        <v>27.283000000000001</v>
      </c>
      <c r="W101" s="327">
        <v>31.73</v>
      </c>
      <c r="X101" s="328">
        <v>3</v>
      </c>
      <c r="Y101" s="328">
        <v>4</v>
      </c>
      <c r="Z101" s="345">
        <v>27.283000000000001</v>
      </c>
      <c r="AA101" s="346"/>
      <c r="AB101" s="346"/>
      <c r="AC101" s="346"/>
      <c r="AD101" s="346"/>
      <c r="AE101" s="332"/>
      <c r="AF101" s="333">
        <v>33.75</v>
      </c>
    </row>
    <row r="102" spans="1:32" x14ac:dyDescent="0.35">
      <c r="A102" s="321"/>
      <c r="B102" s="334">
        <v>710</v>
      </c>
      <c r="C102" s="334" t="s">
        <v>1398</v>
      </c>
      <c r="D102" s="335" t="s">
        <v>1470</v>
      </c>
      <c r="E102" s="336">
        <v>37.795000000000002</v>
      </c>
      <c r="F102" s="336">
        <v>37.164999999999999</v>
      </c>
      <c r="G102" s="336">
        <v>27.736000000000001</v>
      </c>
      <c r="H102" s="338">
        <f>G102-J102-K102</f>
        <v>22.736000000000004</v>
      </c>
      <c r="I102" s="337">
        <v>0.98399999999999999</v>
      </c>
      <c r="J102" s="337">
        <v>0.11799999999999999</v>
      </c>
      <c r="K102" s="337">
        <v>4.8819999999999997</v>
      </c>
      <c r="L102" s="337">
        <v>3</v>
      </c>
      <c r="M102" s="349">
        <v>11.811</v>
      </c>
      <c r="N102" s="338">
        <f t="shared" si="10"/>
        <v>11.811</v>
      </c>
      <c r="O102" s="337">
        <v>0.43</v>
      </c>
      <c r="P102" s="337">
        <v>9.8000000000000004E-2</v>
      </c>
      <c r="Q102" s="337">
        <v>1.2989999999999999</v>
      </c>
      <c r="R102" s="337">
        <v>2.7839999999999998</v>
      </c>
      <c r="S102" s="343">
        <v>3</v>
      </c>
      <c r="T102" s="337">
        <v>0.8</v>
      </c>
      <c r="U102" s="337">
        <v>10.72</v>
      </c>
      <c r="V102" s="349">
        <v>27.283000000000001</v>
      </c>
      <c r="W102" s="327">
        <v>31.73</v>
      </c>
      <c r="X102" s="328">
        <v>3</v>
      </c>
      <c r="Y102" s="328">
        <v>4</v>
      </c>
      <c r="Z102" s="345">
        <v>27.283000000000001</v>
      </c>
      <c r="AA102" s="346"/>
      <c r="AB102" s="346"/>
      <c r="AC102" s="346"/>
      <c r="AD102" s="346"/>
      <c r="AE102" s="332"/>
      <c r="AF102" s="333">
        <v>33.75</v>
      </c>
    </row>
    <row r="103" spans="1:32" x14ac:dyDescent="0.35">
      <c r="A103" s="321"/>
      <c r="B103" s="334">
        <v>710</v>
      </c>
      <c r="C103" s="334" t="s">
        <v>1398</v>
      </c>
      <c r="D103" s="335" t="s">
        <v>1471</v>
      </c>
      <c r="E103" s="336">
        <v>37.795000000000002</v>
      </c>
      <c r="F103" s="336">
        <v>37.164999999999999</v>
      </c>
      <c r="G103" s="336">
        <v>29.567</v>
      </c>
      <c r="H103" s="338">
        <f>G103-J103-K103</f>
        <v>24.272000000000002</v>
      </c>
      <c r="I103" s="337">
        <v>0.98399999999999999</v>
      </c>
      <c r="J103" s="337">
        <v>0.11799999999999999</v>
      </c>
      <c r="K103" s="337">
        <v>5.1769999999999996</v>
      </c>
      <c r="L103" s="337">
        <v>3</v>
      </c>
      <c r="M103" s="349">
        <v>11.811</v>
      </c>
      <c r="N103" s="338">
        <f t="shared" si="10"/>
        <v>11.811</v>
      </c>
      <c r="O103" s="337">
        <v>0.43</v>
      </c>
      <c r="P103" s="337">
        <v>9.8000000000000004E-2</v>
      </c>
      <c r="Q103" s="337">
        <v>1.2989999999999999</v>
      </c>
      <c r="R103" s="337">
        <v>2.7839999999999998</v>
      </c>
      <c r="S103" s="343">
        <v>3</v>
      </c>
      <c r="T103" s="337">
        <v>0.8</v>
      </c>
      <c r="U103" s="337">
        <v>15.36</v>
      </c>
      <c r="V103" s="338">
        <f>G103-J103-0.25</f>
        <v>29.199000000000002</v>
      </c>
      <c r="W103" s="327">
        <v>31.73</v>
      </c>
      <c r="X103" s="328">
        <v>3</v>
      </c>
      <c r="Y103" s="328">
        <v>4</v>
      </c>
      <c r="Z103" s="345">
        <v>29.199000000000002</v>
      </c>
      <c r="AA103" s="346"/>
      <c r="AB103" s="346"/>
      <c r="AC103" s="346"/>
      <c r="AD103" s="346"/>
      <c r="AE103" s="332"/>
      <c r="AF103" s="333">
        <v>33.75</v>
      </c>
    </row>
    <row r="104" spans="1:32" x14ac:dyDescent="0.35">
      <c r="A104" s="321"/>
      <c r="B104" s="334">
        <v>710</v>
      </c>
      <c r="C104" s="334" t="s">
        <v>1400</v>
      </c>
      <c r="D104" s="335" t="s">
        <v>1472</v>
      </c>
      <c r="E104" s="336">
        <v>37.795000000000002</v>
      </c>
      <c r="F104" s="336">
        <v>37.164999999999999</v>
      </c>
      <c r="G104" s="336">
        <v>27.736000000000001</v>
      </c>
      <c r="H104" s="338">
        <f>G104-J104-K104</f>
        <v>22.736000000000004</v>
      </c>
      <c r="I104" s="337">
        <v>0.98399999999999999</v>
      </c>
      <c r="J104" s="337">
        <v>0.11799999999999999</v>
      </c>
      <c r="K104" s="337">
        <v>4.8819999999999997</v>
      </c>
      <c r="L104" s="337">
        <v>3</v>
      </c>
      <c r="M104" s="349">
        <v>11.811</v>
      </c>
      <c r="N104" s="338">
        <f t="shared" si="10"/>
        <v>11.811</v>
      </c>
      <c r="O104" s="337">
        <v>0.43</v>
      </c>
      <c r="P104" s="337">
        <v>9.8000000000000004E-2</v>
      </c>
      <c r="Q104" s="337">
        <v>1.2989999999999999</v>
      </c>
      <c r="R104" s="337">
        <v>2.7839999999999998</v>
      </c>
      <c r="S104" s="343">
        <v>3</v>
      </c>
      <c r="T104" s="337">
        <v>0.8</v>
      </c>
      <c r="U104" s="337">
        <v>10.72</v>
      </c>
      <c r="V104" s="349">
        <v>27.283000000000001</v>
      </c>
      <c r="W104" s="327">
        <v>31.73</v>
      </c>
      <c r="X104" s="328">
        <v>3</v>
      </c>
      <c r="Y104" s="328">
        <v>4</v>
      </c>
      <c r="Z104" s="345">
        <v>27.283000000000001</v>
      </c>
      <c r="AA104" s="346"/>
      <c r="AB104" s="346"/>
      <c r="AC104" s="346"/>
      <c r="AD104" s="346"/>
      <c r="AE104" s="332"/>
      <c r="AF104" s="333">
        <v>33.75</v>
      </c>
    </row>
    <row r="105" spans="1:32" x14ac:dyDescent="0.35">
      <c r="A105" s="321"/>
      <c r="B105" s="322">
        <v>800</v>
      </c>
      <c r="C105" s="322" t="s">
        <v>1398</v>
      </c>
      <c r="D105" s="323" t="s">
        <v>1473</v>
      </c>
      <c r="E105" s="324">
        <v>37.795000000000002</v>
      </c>
      <c r="F105" s="324">
        <v>37.164999999999999</v>
      </c>
      <c r="G105" s="324">
        <v>30.512</v>
      </c>
      <c r="H105" s="325">
        <f>G105-J105-K105</f>
        <v>25.709000000000003</v>
      </c>
      <c r="I105" s="341">
        <v>0.98399999999999999</v>
      </c>
      <c r="J105" s="341">
        <v>0.11799999999999999</v>
      </c>
      <c r="K105" s="341">
        <v>4.6849999999999996</v>
      </c>
      <c r="L105" s="341">
        <v>3</v>
      </c>
      <c r="M105" s="350">
        <v>11.811</v>
      </c>
      <c r="N105" s="325">
        <f t="shared" si="10"/>
        <v>11.811</v>
      </c>
      <c r="O105" s="341">
        <v>0.43</v>
      </c>
      <c r="P105" s="341">
        <v>9.8000000000000004E-2</v>
      </c>
      <c r="Q105" s="341">
        <v>1.2989999999999999</v>
      </c>
      <c r="R105" s="341">
        <v>2.7839999999999998</v>
      </c>
      <c r="S105" s="344">
        <v>3</v>
      </c>
      <c r="T105" s="341">
        <v>0.8</v>
      </c>
      <c r="U105" s="341">
        <v>10.72</v>
      </c>
      <c r="V105" s="341">
        <v>30.256</v>
      </c>
      <c r="W105" s="327">
        <v>35.79</v>
      </c>
      <c r="X105" s="328">
        <v>3</v>
      </c>
      <c r="Y105" s="328">
        <v>4</v>
      </c>
      <c r="Z105" s="345">
        <v>30.256</v>
      </c>
      <c r="AA105" s="346"/>
      <c r="AB105" s="346"/>
      <c r="AC105" s="346"/>
      <c r="AD105" s="346"/>
      <c r="AE105" s="332"/>
      <c r="AF105" s="333">
        <v>33.75</v>
      </c>
    </row>
    <row r="106" spans="1:32" x14ac:dyDescent="0.35">
      <c r="A106" s="321"/>
      <c r="B106" s="322">
        <v>800</v>
      </c>
      <c r="C106" s="322" t="s">
        <v>1398</v>
      </c>
      <c r="D106" s="323" t="s">
        <v>1474</v>
      </c>
      <c r="E106" s="324">
        <v>37.795000000000002</v>
      </c>
      <c r="F106" s="324">
        <v>37.164999999999999</v>
      </c>
      <c r="G106" s="324">
        <v>30.512</v>
      </c>
      <c r="H106" s="325">
        <f t="shared" ref="H106:H111" si="11">G106-J106-K106</f>
        <v>25.473000000000003</v>
      </c>
      <c r="I106" s="341">
        <v>0.98399999999999999</v>
      </c>
      <c r="J106" s="341">
        <v>0.11799999999999999</v>
      </c>
      <c r="K106" s="341">
        <v>4.9210000000000003</v>
      </c>
      <c r="L106" s="341">
        <v>3</v>
      </c>
      <c r="M106" s="350">
        <v>11.811</v>
      </c>
      <c r="N106" s="325">
        <f t="shared" si="10"/>
        <v>11.811</v>
      </c>
      <c r="O106" s="341">
        <v>0.43</v>
      </c>
      <c r="P106" s="341">
        <v>9.8000000000000004E-2</v>
      </c>
      <c r="Q106" s="341">
        <v>1.2989999999999999</v>
      </c>
      <c r="R106" s="341">
        <v>2.7839999999999998</v>
      </c>
      <c r="S106" s="344">
        <v>3</v>
      </c>
      <c r="T106" s="341">
        <v>0.8</v>
      </c>
      <c r="U106" s="341">
        <v>10.72</v>
      </c>
      <c r="V106" s="341">
        <v>30.256</v>
      </c>
      <c r="W106" s="327">
        <v>35.79</v>
      </c>
      <c r="X106" s="328">
        <v>3</v>
      </c>
      <c r="Y106" s="328">
        <v>4</v>
      </c>
      <c r="Z106" s="345">
        <v>30.256</v>
      </c>
      <c r="AA106" s="346"/>
      <c r="AB106" s="346"/>
      <c r="AC106" s="346"/>
      <c r="AD106" s="346"/>
      <c r="AE106" s="332"/>
      <c r="AF106" s="333">
        <v>33.75</v>
      </c>
    </row>
    <row r="107" spans="1:32" x14ac:dyDescent="0.35">
      <c r="A107" s="321"/>
      <c r="B107" s="322">
        <v>800</v>
      </c>
      <c r="C107" s="322" t="s">
        <v>1398</v>
      </c>
      <c r="D107" s="323" t="s">
        <v>1475</v>
      </c>
      <c r="E107" s="324">
        <v>37.795000000000002</v>
      </c>
      <c r="F107" s="324">
        <v>37.164999999999999</v>
      </c>
      <c r="G107" s="324">
        <v>29.567</v>
      </c>
      <c r="H107" s="325">
        <f t="shared" si="11"/>
        <v>24.272000000000002</v>
      </c>
      <c r="I107" s="341">
        <v>0.98399999999999999</v>
      </c>
      <c r="J107" s="341">
        <v>0.11799999999999999</v>
      </c>
      <c r="K107" s="341">
        <v>5.1769999999999996</v>
      </c>
      <c r="L107" s="341">
        <v>3</v>
      </c>
      <c r="M107" s="350">
        <v>11.811</v>
      </c>
      <c r="N107" s="325">
        <f t="shared" si="10"/>
        <v>11.811</v>
      </c>
      <c r="O107" s="341">
        <v>0.43</v>
      </c>
      <c r="P107" s="341">
        <v>9.8000000000000004E-2</v>
      </c>
      <c r="Q107" s="341">
        <v>1.2989999999999999</v>
      </c>
      <c r="R107" s="341">
        <v>2.7839999999999998</v>
      </c>
      <c r="S107" s="344">
        <v>3</v>
      </c>
      <c r="T107" s="341">
        <v>0.8</v>
      </c>
      <c r="U107" s="341">
        <v>15.433</v>
      </c>
      <c r="V107" s="341">
        <v>29.134</v>
      </c>
      <c r="W107" s="327">
        <v>35.79</v>
      </c>
      <c r="X107" s="328">
        <v>3</v>
      </c>
      <c r="Y107" s="328">
        <v>4</v>
      </c>
      <c r="Z107" s="345">
        <v>29.134</v>
      </c>
      <c r="AA107" s="346"/>
      <c r="AB107" s="346"/>
      <c r="AC107" s="346"/>
      <c r="AD107" s="346"/>
      <c r="AE107" s="332"/>
      <c r="AF107" s="333">
        <v>33.75</v>
      </c>
    </row>
    <row r="108" spans="1:32" x14ac:dyDescent="0.35">
      <c r="A108" s="321"/>
      <c r="B108" s="322">
        <v>800</v>
      </c>
      <c r="C108" s="322" t="s">
        <v>1400</v>
      </c>
      <c r="D108" s="323" t="s">
        <v>1476</v>
      </c>
      <c r="E108" s="324">
        <v>37.795000000000002</v>
      </c>
      <c r="F108" s="324">
        <v>37.164999999999999</v>
      </c>
      <c r="G108" s="324">
        <v>30.512</v>
      </c>
      <c r="H108" s="325">
        <f t="shared" si="11"/>
        <v>25.709000000000003</v>
      </c>
      <c r="I108" s="341">
        <v>0.98399999999999999</v>
      </c>
      <c r="J108" s="341">
        <v>0.11799999999999999</v>
      </c>
      <c r="K108" s="341">
        <v>4.6849999999999996</v>
      </c>
      <c r="L108" s="341">
        <v>3</v>
      </c>
      <c r="M108" s="350">
        <v>11.811</v>
      </c>
      <c r="N108" s="325">
        <f t="shared" si="10"/>
        <v>11.811</v>
      </c>
      <c r="O108" s="341">
        <v>0.43</v>
      </c>
      <c r="P108" s="341">
        <v>9.8000000000000004E-2</v>
      </c>
      <c r="Q108" s="341">
        <v>1.2989999999999999</v>
      </c>
      <c r="R108" s="341">
        <v>2.7839999999999998</v>
      </c>
      <c r="S108" s="344">
        <v>3</v>
      </c>
      <c r="T108" s="341">
        <v>0.8</v>
      </c>
      <c r="U108" s="341">
        <v>10.72</v>
      </c>
      <c r="V108" s="347">
        <v>30.256</v>
      </c>
      <c r="W108" s="327">
        <v>35.79</v>
      </c>
      <c r="X108" s="328">
        <v>3</v>
      </c>
      <c r="Y108" s="328">
        <v>4</v>
      </c>
      <c r="Z108" s="345">
        <v>30.256</v>
      </c>
      <c r="AA108" s="346"/>
      <c r="AB108" s="346"/>
      <c r="AC108" s="346"/>
      <c r="AD108" s="346"/>
      <c r="AE108" s="332"/>
      <c r="AF108" s="333">
        <v>33.75</v>
      </c>
    </row>
    <row r="109" spans="1:32" x14ac:dyDescent="0.35">
      <c r="A109" s="321"/>
      <c r="B109" s="334">
        <v>900</v>
      </c>
      <c r="C109" s="334" t="s">
        <v>1398</v>
      </c>
      <c r="D109" s="335" t="s">
        <v>1477</v>
      </c>
      <c r="E109" s="336">
        <v>46.457000000000001</v>
      </c>
      <c r="F109" s="336">
        <v>45.826999999999998</v>
      </c>
      <c r="G109" s="336">
        <v>29.015999999999998</v>
      </c>
      <c r="H109" s="338">
        <f t="shared" si="11"/>
        <v>24.015999999999998</v>
      </c>
      <c r="I109" s="336">
        <v>1.181</v>
      </c>
      <c r="J109" s="337">
        <v>0.11799999999999999</v>
      </c>
      <c r="K109" s="336">
        <v>4.8819999999999997</v>
      </c>
      <c r="L109" s="337">
        <v>3</v>
      </c>
      <c r="M109" s="336">
        <v>15.747999999999999</v>
      </c>
      <c r="N109" s="338">
        <f t="shared" si="10"/>
        <v>15.747999999999999</v>
      </c>
      <c r="O109" s="337">
        <v>0.43</v>
      </c>
      <c r="P109" s="337">
        <v>9.8000000000000004E-2</v>
      </c>
      <c r="Q109" s="337">
        <v>1.2989999999999999</v>
      </c>
      <c r="R109" s="337">
        <v>2.7839999999999998</v>
      </c>
      <c r="S109" s="343">
        <v>3</v>
      </c>
      <c r="T109" s="337">
        <v>0.8</v>
      </c>
      <c r="U109" s="337">
        <v>10.72</v>
      </c>
      <c r="V109" s="336">
        <v>28.562999999999999</v>
      </c>
      <c r="W109" s="327">
        <v>39.61</v>
      </c>
      <c r="X109" s="328">
        <v>3</v>
      </c>
      <c r="Y109" s="328">
        <v>4</v>
      </c>
      <c r="Z109" s="351">
        <v>28.562999999999999</v>
      </c>
      <c r="AA109" s="346"/>
      <c r="AB109" s="346"/>
      <c r="AC109" s="346"/>
      <c r="AD109" s="346"/>
      <c r="AE109" s="332"/>
      <c r="AF109" s="333">
        <v>41.5</v>
      </c>
    </row>
    <row r="110" spans="1:32" x14ac:dyDescent="0.35">
      <c r="A110" s="321"/>
      <c r="B110" s="334">
        <v>900</v>
      </c>
      <c r="C110" s="334" t="s">
        <v>1398</v>
      </c>
      <c r="D110" s="335" t="s">
        <v>1478</v>
      </c>
      <c r="E110" s="336">
        <v>46.457000000000001</v>
      </c>
      <c r="F110" s="336">
        <v>45.826999999999998</v>
      </c>
      <c r="G110" s="336">
        <v>25.550999999999998</v>
      </c>
      <c r="H110" s="338">
        <f t="shared" si="11"/>
        <v>20.236000000000001</v>
      </c>
      <c r="I110" s="336">
        <v>1.181</v>
      </c>
      <c r="J110" s="337">
        <v>0.11799999999999999</v>
      </c>
      <c r="K110" s="337">
        <v>5.1970000000000001</v>
      </c>
      <c r="L110" s="337">
        <v>3</v>
      </c>
      <c r="M110" s="336">
        <v>15.747999999999999</v>
      </c>
      <c r="N110" s="338">
        <f t="shared" si="10"/>
        <v>15.747999999999999</v>
      </c>
      <c r="O110" s="337">
        <v>0.43</v>
      </c>
      <c r="P110" s="337">
        <v>9.8000000000000004E-2</v>
      </c>
      <c r="Q110" s="337">
        <v>1.2989999999999999</v>
      </c>
      <c r="R110" s="337">
        <v>2.7839999999999998</v>
      </c>
      <c r="S110" s="343">
        <v>3</v>
      </c>
      <c r="T110" s="337">
        <v>0.8</v>
      </c>
      <c r="U110" s="336">
        <v>15.433</v>
      </c>
      <c r="V110" s="336">
        <v>25.097999999999999</v>
      </c>
      <c r="W110" s="327">
        <v>39.76</v>
      </c>
      <c r="X110" s="328">
        <v>3</v>
      </c>
      <c r="Y110" s="328">
        <v>4</v>
      </c>
      <c r="Z110" s="351">
        <v>25.097999999999999</v>
      </c>
      <c r="AA110" s="346"/>
      <c r="AB110" s="346"/>
      <c r="AC110" s="346"/>
      <c r="AD110" s="346"/>
      <c r="AE110" s="332"/>
      <c r="AF110" s="333">
        <v>41.5</v>
      </c>
    </row>
    <row r="111" spans="1:32" x14ac:dyDescent="0.35">
      <c r="A111" s="321"/>
      <c r="B111" s="334">
        <v>900</v>
      </c>
      <c r="C111" s="334" t="s">
        <v>1400</v>
      </c>
      <c r="D111" s="335" t="s">
        <v>1479</v>
      </c>
      <c r="E111" s="336">
        <v>46.457000000000001</v>
      </c>
      <c r="F111" s="336">
        <v>45.826999999999998</v>
      </c>
      <c r="G111" s="336">
        <v>29.015999999999998</v>
      </c>
      <c r="H111" s="338">
        <f t="shared" si="11"/>
        <v>24.015999999999998</v>
      </c>
      <c r="I111" s="336">
        <v>1.181</v>
      </c>
      <c r="J111" s="337">
        <v>0.11799999999999999</v>
      </c>
      <c r="K111" s="336">
        <v>4.8819999999999997</v>
      </c>
      <c r="L111" s="337">
        <v>3</v>
      </c>
      <c r="M111" s="336">
        <v>15.747999999999999</v>
      </c>
      <c r="N111" s="338">
        <f t="shared" si="10"/>
        <v>15.747999999999999</v>
      </c>
      <c r="O111" s="337">
        <v>0.43</v>
      </c>
      <c r="P111" s="337">
        <v>9.8000000000000004E-2</v>
      </c>
      <c r="Q111" s="337">
        <v>1.2989999999999999</v>
      </c>
      <c r="R111" s="337">
        <v>2.7839999999999998</v>
      </c>
      <c r="S111" s="343">
        <v>3</v>
      </c>
      <c r="T111" s="337">
        <v>0.8</v>
      </c>
      <c r="U111" s="337">
        <v>10.72</v>
      </c>
      <c r="V111" s="336">
        <v>28.562999999999999</v>
      </c>
      <c r="W111" s="327">
        <v>39.61</v>
      </c>
      <c r="X111" s="328">
        <v>3</v>
      </c>
      <c r="Y111" s="328">
        <v>4</v>
      </c>
      <c r="Z111" s="351">
        <v>28.562999999999999</v>
      </c>
      <c r="AA111" s="346"/>
      <c r="AB111" s="346"/>
      <c r="AC111" s="346"/>
      <c r="AD111" s="346"/>
      <c r="AE111" s="332"/>
      <c r="AF111" s="333">
        <v>41.5</v>
      </c>
    </row>
  </sheetData>
  <mergeCells count="2">
    <mergeCell ref="AA2:AD2"/>
    <mergeCell ref="AE2:AF2"/>
  </mergeCells>
  <pageMargins left="0.7" right="0.7" top="0.75" bottom="0.75" header="0.3" footer="0.3"/>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DDF67-8BB5-424C-A0FE-0B47AC614DDF}">
  <dimension ref="A1:U303"/>
  <sheetViews>
    <sheetView showGridLines="0" zoomScale="55" zoomScaleNormal="55" workbookViewId="0">
      <pane ySplit="15" topLeftCell="A125" activePane="bottomLeft" state="frozen"/>
      <selection pane="bottomLeft" activeCell="A15" sqref="A15"/>
    </sheetView>
  </sheetViews>
  <sheetFormatPr defaultColWidth="9.5546875" defaultRowHeight="13.8" x14ac:dyDescent="0.3"/>
  <cols>
    <col min="1" max="1" width="14.88671875" style="65" bestFit="1" customWidth="1"/>
    <col min="2" max="2" width="9.33203125" style="65" bestFit="1" customWidth="1"/>
    <col min="3" max="3" width="16.6640625" style="65" bestFit="1" customWidth="1"/>
    <col min="4" max="4" width="11.109375" style="65" customWidth="1"/>
    <col min="5" max="5" width="12.33203125" style="65" customWidth="1"/>
    <col min="6" max="6" width="6.33203125" style="65" customWidth="1"/>
    <col min="7" max="7" width="5.5546875" style="65" customWidth="1"/>
    <col min="8" max="8" width="15.5546875" style="65" customWidth="1"/>
    <col min="9" max="9" width="11.33203125" style="65" customWidth="1"/>
    <col min="10" max="10" width="14.6640625" style="65" customWidth="1"/>
    <col min="11" max="11" width="28.88671875" style="65" bestFit="1" customWidth="1"/>
    <col min="12" max="12" width="27.5546875" style="65" customWidth="1"/>
    <col min="13" max="13" width="29.88671875" style="63" customWidth="1"/>
    <col min="14" max="14" width="6.6640625" style="64" bestFit="1" customWidth="1"/>
    <col min="15" max="15" width="8.6640625" style="65" bestFit="1" customWidth="1"/>
    <col min="16" max="16" width="11.5546875" style="64" customWidth="1"/>
    <col min="17" max="17" width="11.33203125" style="64" customWidth="1"/>
    <col min="18" max="18" width="8.33203125" style="64" customWidth="1"/>
    <col min="19" max="19" width="25.33203125" style="65" customWidth="1"/>
    <col min="20" max="20" width="17.109375" style="65" bestFit="1" customWidth="1"/>
    <col min="21" max="21" width="12.33203125" style="65" bestFit="1" customWidth="1"/>
    <col min="22" max="16384" width="9.5546875" style="65"/>
  </cols>
  <sheetData>
    <row r="1" spans="1:21" s="8" customFormat="1" thickBot="1" x14ac:dyDescent="0.3">
      <c r="B1" s="603" t="s">
        <v>223</v>
      </c>
      <c r="C1" s="604"/>
      <c r="D1" s="604"/>
      <c r="E1" s="9"/>
      <c r="F1" s="9"/>
      <c r="G1" s="603" t="s">
        <v>224</v>
      </c>
      <c r="H1" s="604"/>
      <c r="I1" s="9"/>
      <c r="J1" s="9"/>
      <c r="K1" s="605" t="s">
        <v>225</v>
      </c>
      <c r="L1" s="605"/>
      <c r="M1" s="58"/>
      <c r="N1" s="59"/>
      <c r="P1" s="59"/>
      <c r="Q1" s="59"/>
      <c r="R1" s="59"/>
    </row>
    <row r="2" spans="1:21" s="8" customFormat="1" ht="15.75" customHeight="1" thickBot="1" x14ac:dyDescent="0.3">
      <c r="B2" s="606" t="s">
        <v>226</v>
      </c>
      <c r="C2" s="607"/>
      <c r="D2" s="607"/>
      <c r="E2" s="607"/>
      <c r="F2" s="607"/>
      <c r="G2" s="607"/>
      <c r="H2" s="607"/>
      <c r="I2" s="607"/>
      <c r="J2" s="55"/>
      <c r="K2" s="57" t="s">
        <v>227</v>
      </c>
      <c r="L2" s="60" t="s">
        <v>228</v>
      </c>
      <c r="M2" s="58"/>
      <c r="N2" s="59"/>
      <c r="P2" s="59"/>
      <c r="Q2" s="59"/>
      <c r="R2" s="59"/>
    </row>
    <row r="3" spans="1:21" s="8" customFormat="1" ht="27" thickBot="1" x14ac:dyDescent="0.3">
      <c r="B3" s="608"/>
      <c r="C3" s="609"/>
      <c r="D3" s="609"/>
      <c r="E3" s="609"/>
      <c r="F3" s="609"/>
      <c r="G3" s="609"/>
      <c r="H3" s="609"/>
      <c r="I3" s="609"/>
      <c r="J3" s="56"/>
      <c r="K3" s="61" t="s">
        <v>229</v>
      </c>
      <c r="L3" s="61" t="s">
        <v>230</v>
      </c>
      <c r="M3" s="58"/>
      <c r="N3" s="59"/>
      <c r="P3" s="59"/>
      <c r="Q3" s="59"/>
      <c r="R3" s="59"/>
    </row>
    <row r="4" spans="1:21" ht="12.75" hidden="1" customHeight="1" x14ac:dyDescent="0.3">
      <c r="A4" s="62"/>
      <c r="B4" s="62"/>
      <c r="C4" s="62"/>
      <c r="D4" s="62"/>
      <c r="E4" s="62"/>
      <c r="F4" s="62"/>
      <c r="G4" s="62"/>
      <c r="H4" s="62"/>
      <c r="I4" s="62"/>
      <c r="J4" s="62"/>
      <c r="K4" s="62"/>
      <c r="L4" s="62"/>
    </row>
    <row r="5" spans="1:21" ht="12.75" hidden="1" customHeight="1" x14ac:dyDescent="0.3">
      <c r="A5" s="62"/>
      <c r="B5" s="62"/>
      <c r="C5" s="62"/>
      <c r="D5" s="62"/>
      <c r="E5" s="62"/>
      <c r="F5" s="62"/>
      <c r="G5" s="62"/>
      <c r="H5" s="62"/>
      <c r="I5" s="62"/>
      <c r="J5" s="62"/>
      <c r="K5" s="62"/>
      <c r="L5" s="62"/>
    </row>
    <row r="6" spans="1:21" ht="12.75" hidden="1" customHeight="1" x14ac:dyDescent="0.3">
      <c r="A6" s="62"/>
      <c r="B6" s="62"/>
      <c r="C6" s="62"/>
      <c r="D6" s="62"/>
      <c r="E6" s="62"/>
      <c r="F6" s="62"/>
      <c r="G6" s="62"/>
      <c r="H6" s="62"/>
      <c r="I6" s="62"/>
      <c r="J6" s="62"/>
      <c r="K6" s="62"/>
      <c r="L6" s="62"/>
    </row>
    <row r="7" spans="1:21" ht="12.75" hidden="1" customHeight="1" x14ac:dyDescent="0.3">
      <c r="A7" s="62"/>
      <c r="B7" s="62"/>
      <c r="C7" s="62"/>
      <c r="D7" s="62"/>
      <c r="E7" s="62"/>
      <c r="F7" s="62"/>
      <c r="G7" s="62"/>
      <c r="H7" s="62"/>
      <c r="I7" s="62"/>
      <c r="J7" s="62"/>
      <c r="K7" s="62"/>
      <c r="L7" s="62"/>
    </row>
    <row r="8" spans="1:21" ht="12.75" hidden="1" customHeight="1" x14ac:dyDescent="0.3">
      <c r="A8" s="62"/>
      <c r="B8" s="62"/>
      <c r="C8" s="62"/>
      <c r="D8" s="62"/>
      <c r="E8" s="62"/>
      <c r="F8" s="62"/>
      <c r="G8" s="62"/>
      <c r="H8" s="62"/>
      <c r="I8" s="62"/>
      <c r="J8" s="62"/>
      <c r="K8" s="62"/>
      <c r="L8" s="62"/>
    </row>
    <row r="9" spans="1:21" ht="12.75" hidden="1" customHeight="1" x14ac:dyDescent="0.3">
      <c r="A9" s="62"/>
      <c r="B9" s="62"/>
      <c r="C9" s="62"/>
      <c r="D9" s="62"/>
      <c r="E9" s="62"/>
      <c r="F9" s="62"/>
      <c r="G9" s="62"/>
      <c r="H9" s="62"/>
      <c r="I9" s="62"/>
      <c r="J9" s="62"/>
      <c r="K9" s="62"/>
      <c r="L9" s="62"/>
    </row>
    <row r="10" spans="1:21" ht="12.75" hidden="1" customHeight="1" x14ac:dyDescent="0.3">
      <c r="A10" s="62"/>
      <c r="B10" s="62"/>
      <c r="C10" s="62"/>
      <c r="D10" s="62"/>
      <c r="E10" s="62"/>
      <c r="F10" s="62"/>
      <c r="G10" s="62"/>
      <c r="H10" s="62"/>
      <c r="I10" s="62"/>
      <c r="J10" s="62"/>
      <c r="K10" s="62"/>
      <c r="L10" s="62"/>
    </row>
    <row r="11" spans="1:21" hidden="1" x14ac:dyDescent="0.3">
      <c r="A11" s="62"/>
      <c r="B11" s="62"/>
      <c r="C11" s="62"/>
      <c r="D11" s="62"/>
      <c r="E11" s="62"/>
      <c r="F11" s="62"/>
      <c r="G11" s="62"/>
      <c r="H11" s="62"/>
      <c r="I11" s="62"/>
      <c r="J11" s="62"/>
      <c r="K11" s="62"/>
      <c r="L11" s="62"/>
    </row>
    <row r="12" spans="1:21" ht="11.7" hidden="1" customHeight="1" x14ac:dyDescent="0.3">
      <c r="A12" s="62"/>
      <c r="B12" s="62"/>
      <c r="C12" s="62"/>
      <c r="D12" s="62"/>
      <c r="E12" s="62"/>
      <c r="F12" s="62"/>
      <c r="G12" s="62"/>
      <c r="H12" s="62"/>
      <c r="I12" s="62"/>
      <c r="J12" s="62"/>
      <c r="K12" s="62"/>
      <c r="L12" s="62"/>
    </row>
    <row r="13" spans="1:21" s="66" customFormat="1" hidden="1" x14ac:dyDescent="0.3">
      <c r="A13" s="62"/>
      <c r="B13" s="62"/>
      <c r="C13" s="62"/>
      <c r="D13" s="62"/>
      <c r="E13" s="62"/>
      <c r="F13" s="62"/>
      <c r="G13" s="62"/>
      <c r="H13" s="62"/>
      <c r="I13" s="62"/>
      <c r="J13" s="62"/>
      <c r="K13" s="62"/>
      <c r="L13" s="62"/>
      <c r="M13" s="63"/>
      <c r="N13" s="64"/>
      <c r="O13" s="65"/>
      <c r="P13" s="64"/>
      <c r="Q13" s="64"/>
      <c r="R13" s="64"/>
      <c r="S13" s="65"/>
    </row>
    <row r="14" spans="1:21" s="66" customFormat="1" ht="14.4" x14ac:dyDescent="0.3">
      <c r="A14" s="62"/>
      <c r="B14" s="62"/>
      <c r="C14" s="62"/>
      <c r="D14" s="62"/>
      <c r="E14" s="62"/>
      <c r="F14" s="62"/>
      <c r="G14" s="62"/>
      <c r="H14" s="62"/>
      <c r="I14" s="62"/>
      <c r="J14" s="62"/>
      <c r="K14" s="62"/>
      <c r="L14" s="62"/>
      <c r="M14" s="63"/>
      <c r="N14" s="40">
        <f>VLOOKUP(A15,A16:S318,14,FALSE)</f>
        <v>96</v>
      </c>
      <c r="O14" s="65"/>
      <c r="P14" s="64"/>
      <c r="Q14" s="64"/>
      <c r="R14" s="64"/>
      <c r="S14" s="65"/>
    </row>
    <row r="15" spans="1:21" ht="41.4" x14ac:dyDescent="0.3">
      <c r="A15" s="67" t="str">
        <f>IF(FANSIZE+0&lt;100,CONCATENATE(FANSIZE+0,"_0_0"),CONCATENATE(FANSIZE+0,"_",MTRVOLT,"_",KW))</f>
        <v>450_460_3</v>
      </c>
      <c r="B15" s="68" t="s">
        <v>231</v>
      </c>
      <c r="C15" s="69" t="s">
        <v>232</v>
      </c>
      <c r="D15" s="37" t="s">
        <v>4</v>
      </c>
      <c r="E15" s="37" t="s">
        <v>233</v>
      </c>
      <c r="F15" s="37" t="s">
        <v>6</v>
      </c>
      <c r="G15" s="37" t="s">
        <v>234</v>
      </c>
      <c r="H15" s="70" t="s">
        <v>235</v>
      </c>
      <c r="I15" s="69" t="s">
        <v>236</v>
      </c>
      <c r="J15" s="69" t="s">
        <v>237</v>
      </c>
      <c r="K15" s="71" t="s">
        <v>238</v>
      </c>
      <c r="L15" s="71" t="s">
        <v>239</v>
      </c>
      <c r="M15" s="71" t="s">
        <v>240</v>
      </c>
      <c r="N15" s="69" t="s">
        <v>241</v>
      </c>
      <c r="O15" s="69" t="s">
        <v>242</v>
      </c>
      <c r="P15" s="72" t="s">
        <v>243</v>
      </c>
      <c r="Q15" s="72" t="s">
        <v>244</v>
      </c>
      <c r="R15" s="72" t="s">
        <v>245</v>
      </c>
      <c r="S15" s="18" t="str">
        <f>VLOOKUP(A15,A16:S318,19,FALSE)</f>
        <v>EG1R-480-450-48</v>
      </c>
      <c r="T15" s="42" t="s">
        <v>246</v>
      </c>
      <c r="U15" s="43" t="s">
        <v>247</v>
      </c>
    </row>
    <row r="16" spans="1:21" x14ac:dyDescent="0.3">
      <c r="A16" s="73" t="str">
        <f>CONCATENATE(D16,"_",E16,"_",F16)</f>
        <v>250_460_1</v>
      </c>
      <c r="B16" s="68">
        <v>42583</v>
      </c>
      <c r="C16" s="69" t="s">
        <v>248</v>
      </c>
      <c r="D16" s="74">
        <v>250</v>
      </c>
      <c r="E16" s="74">
        <v>460</v>
      </c>
      <c r="F16" s="74">
        <v>1</v>
      </c>
      <c r="G16" s="75">
        <f t="shared" ref="G16:G85" si="0">F16*1.34102</f>
        <v>1.3410200000000001</v>
      </c>
      <c r="H16" s="74">
        <v>0</v>
      </c>
      <c r="I16" s="74" t="s">
        <v>249</v>
      </c>
      <c r="J16" s="76" t="s">
        <v>250</v>
      </c>
      <c r="K16" s="77" t="s">
        <v>251</v>
      </c>
      <c r="L16" s="78" t="s">
        <v>252</v>
      </c>
      <c r="M16" s="79" t="s">
        <v>253</v>
      </c>
      <c r="N16" s="80">
        <v>22</v>
      </c>
      <c r="O16" s="80">
        <v>1.17</v>
      </c>
      <c r="P16" s="80">
        <v>3580</v>
      </c>
      <c r="Q16" s="80">
        <v>0.81</v>
      </c>
      <c r="R16" s="80">
        <v>87.6</v>
      </c>
      <c r="S16" s="73" t="str">
        <f>MID(M16,9,50)</f>
        <v>EG1R-480-250-12</v>
      </c>
      <c r="T16" s="78" t="str">
        <f>VLOOKUP(CONCATENATE(A16,"_W"),A16:S$318,19,FALSE)</f>
        <v>EG1R-480-250-11W</v>
      </c>
      <c r="U16" s="78" t="s">
        <v>254</v>
      </c>
    </row>
    <row r="17" spans="1:21" x14ac:dyDescent="0.3">
      <c r="A17" s="73" t="str">
        <f t="shared" ref="A17:A86" si="1">CONCATENATE(D17,"_",E17,"_",F17)</f>
        <v>250_460_1</v>
      </c>
      <c r="B17" s="68">
        <v>42583</v>
      </c>
      <c r="C17" s="69" t="s">
        <v>248</v>
      </c>
      <c r="D17" s="74">
        <v>250</v>
      </c>
      <c r="E17" s="74">
        <v>460</v>
      </c>
      <c r="F17" s="74">
        <v>1</v>
      </c>
      <c r="G17" s="75">
        <f t="shared" si="0"/>
        <v>1.3410200000000001</v>
      </c>
      <c r="H17" s="74">
        <v>1</v>
      </c>
      <c r="I17" s="74" t="s">
        <v>249</v>
      </c>
      <c r="J17" s="76" t="s">
        <v>255</v>
      </c>
      <c r="K17" s="77" t="s">
        <v>251</v>
      </c>
      <c r="L17" s="78" t="s">
        <v>256</v>
      </c>
      <c r="M17" s="79" t="s">
        <v>253</v>
      </c>
      <c r="N17" s="80">
        <v>22</v>
      </c>
      <c r="O17" s="80">
        <v>1.17</v>
      </c>
      <c r="P17" s="80">
        <v>3580</v>
      </c>
      <c r="Q17" s="80">
        <v>0.81</v>
      </c>
      <c r="R17" s="80">
        <v>87.6</v>
      </c>
      <c r="S17" s="73" t="str">
        <f t="shared" ref="S17:S86" si="2">MID(M17,9,50)</f>
        <v>EG1R-480-250-12</v>
      </c>
      <c r="T17" s="78" t="str">
        <f>VLOOKUP(CONCATENATE(A17,"_W"),A17:S$318,19,FALSE)</f>
        <v>EG1R-480-250-11W</v>
      </c>
      <c r="U17" s="78" t="s">
        <v>254</v>
      </c>
    </row>
    <row r="18" spans="1:21" x14ac:dyDescent="0.3">
      <c r="A18" s="73" t="str">
        <f t="shared" si="1"/>
        <v>250_208_1</v>
      </c>
      <c r="B18" s="68">
        <v>42583</v>
      </c>
      <c r="C18" s="69" t="s">
        <v>248</v>
      </c>
      <c r="D18" s="74">
        <v>250</v>
      </c>
      <c r="E18" s="74">
        <v>208</v>
      </c>
      <c r="F18" s="74">
        <v>1</v>
      </c>
      <c r="G18" s="75">
        <f t="shared" si="0"/>
        <v>1.3410200000000001</v>
      </c>
      <c r="H18" s="74">
        <v>0</v>
      </c>
      <c r="I18" s="74" t="s">
        <v>249</v>
      </c>
      <c r="J18" s="76" t="s">
        <v>257</v>
      </c>
      <c r="K18" s="78" t="s">
        <v>258</v>
      </c>
      <c r="L18" s="78" t="s">
        <v>252</v>
      </c>
      <c r="M18" s="79" t="s">
        <v>259</v>
      </c>
      <c r="N18" s="80">
        <v>22</v>
      </c>
      <c r="O18" s="80">
        <v>2.69</v>
      </c>
      <c r="P18" s="80">
        <v>3700</v>
      </c>
      <c r="Q18" s="80">
        <v>0.83</v>
      </c>
      <c r="R18" s="80">
        <v>87.2</v>
      </c>
      <c r="S18" s="73" t="str">
        <f t="shared" si="2"/>
        <v>EG1R-240-250-12</v>
      </c>
      <c r="T18" s="78" t="str">
        <f>VLOOKUP(CONCATENATE(A18,"_W"),A18:S$318,19,FALSE)</f>
        <v>EG1R-240-250-11W</v>
      </c>
      <c r="U18" s="78" t="s">
        <v>260</v>
      </c>
    </row>
    <row r="19" spans="1:21" x14ac:dyDescent="0.3">
      <c r="A19" s="73" t="str">
        <f t="shared" si="1"/>
        <v>250_208_1</v>
      </c>
      <c r="B19" s="68">
        <v>42583</v>
      </c>
      <c r="C19" s="69" t="s">
        <v>248</v>
      </c>
      <c r="D19" s="74">
        <v>250</v>
      </c>
      <c r="E19" s="74">
        <v>208</v>
      </c>
      <c r="F19" s="74">
        <v>1</v>
      </c>
      <c r="G19" s="75">
        <f t="shared" si="0"/>
        <v>1.3410200000000001</v>
      </c>
      <c r="H19" s="74">
        <v>1</v>
      </c>
      <c r="I19" s="74" t="s">
        <v>249</v>
      </c>
      <c r="J19" s="76" t="s">
        <v>261</v>
      </c>
      <c r="K19" s="78" t="s">
        <v>258</v>
      </c>
      <c r="L19" s="78" t="s">
        <v>256</v>
      </c>
      <c r="M19" s="79" t="s">
        <v>259</v>
      </c>
      <c r="N19" s="80">
        <v>22</v>
      </c>
      <c r="O19" s="80">
        <v>2.69</v>
      </c>
      <c r="P19" s="80">
        <v>3700</v>
      </c>
      <c r="Q19" s="80">
        <v>0.83</v>
      </c>
      <c r="R19" s="80">
        <v>87.2</v>
      </c>
      <c r="S19" s="73" t="str">
        <f t="shared" si="2"/>
        <v>EG1R-240-250-12</v>
      </c>
      <c r="T19" s="78" t="str">
        <f>VLOOKUP(CONCATENATE(A19,"_W"),A19:S$318,19,FALSE)</f>
        <v>EG1R-240-250-11W</v>
      </c>
      <c r="U19" s="78" t="s">
        <v>260</v>
      </c>
    </row>
    <row r="20" spans="1:21" x14ac:dyDescent="0.3">
      <c r="A20" s="73" t="str">
        <f t="shared" si="1"/>
        <v>250_230_1</v>
      </c>
      <c r="B20" s="68">
        <v>42583</v>
      </c>
      <c r="C20" s="69" t="s">
        <v>248</v>
      </c>
      <c r="D20" s="74">
        <v>250</v>
      </c>
      <c r="E20" s="74">
        <v>230</v>
      </c>
      <c r="F20" s="74">
        <v>1</v>
      </c>
      <c r="G20" s="75">
        <f t="shared" si="0"/>
        <v>1.3410200000000001</v>
      </c>
      <c r="H20" s="74">
        <v>0</v>
      </c>
      <c r="I20" s="74" t="s">
        <v>249</v>
      </c>
      <c r="J20" s="76" t="s">
        <v>257</v>
      </c>
      <c r="K20" s="78" t="s">
        <v>258</v>
      </c>
      <c r="L20" s="78" t="s">
        <v>252</v>
      </c>
      <c r="M20" s="79" t="s">
        <v>259</v>
      </c>
      <c r="N20" s="80">
        <v>22</v>
      </c>
      <c r="O20" s="80">
        <v>2.4300000000000002</v>
      </c>
      <c r="P20" s="80">
        <v>3700</v>
      </c>
      <c r="Q20" s="80">
        <v>0.83</v>
      </c>
      <c r="R20" s="80">
        <v>87.2</v>
      </c>
      <c r="S20" s="73" t="str">
        <f t="shared" si="2"/>
        <v>EG1R-240-250-12</v>
      </c>
      <c r="T20" s="78" t="str">
        <f>VLOOKUP(CONCATENATE(A20,"_W"),A20:S$318,19,FALSE)</f>
        <v>EG1R-240-250-11W</v>
      </c>
      <c r="U20" s="78" t="s">
        <v>262</v>
      </c>
    </row>
    <row r="21" spans="1:21" x14ac:dyDescent="0.3">
      <c r="A21" s="73" t="str">
        <f t="shared" si="1"/>
        <v>250_230_1</v>
      </c>
      <c r="B21" s="68">
        <v>42583</v>
      </c>
      <c r="C21" s="69" t="s">
        <v>248</v>
      </c>
      <c r="D21" s="74">
        <v>250</v>
      </c>
      <c r="E21" s="74">
        <v>230</v>
      </c>
      <c r="F21" s="74">
        <v>1</v>
      </c>
      <c r="G21" s="75">
        <f t="shared" si="0"/>
        <v>1.3410200000000001</v>
      </c>
      <c r="H21" s="74">
        <v>1</v>
      </c>
      <c r="I21" s="74" t="s">
        <v>249</v>
      </c>
      <c r="J21" s="76" t="s">
        <v>261</v>
      </c>
      <c r="K21" s="78" t="s">
        <v>258</v>
      </c>
      <c r="L21" s="78" t="s">
        <v>256</v>
      </c>
      <c r="M21" s="79" t="s">
        <v>259</v>
      </c>
      <c r="N21" s="80">
        <v>22</v>
      </c>
      <c r="O21" s="80">
        <v>2.4300000000000002</v>
      </c>
      <c r="P21" s="80">
        <v>3700</v>
      </c>
      <c r="Q21" s="80">
        <v>0.83</v>
      </c>
      <c r="R21" s="80">
        <v>87.2</v>
      </c>
      <c r="S21" s="73" t="str">
        <f t="shared" si="2"/>
        <v>EG1R-240-250-12</v>
      </c>
      <c r="T21" s="78" t="str">
        <f>VLOOKUP(CONCATENATE(A21,"_W"),A21:S$318,19,FALSE)</f>
        <v>EG1R-240-250-11W</v>
      </c>
      <c r="U21" s="78" t="s">
        <v>262</v>
      </c>
    </row>
    <row r="22" spans="1:21" x14ac:dyDescent="0.3">
      <c r="A22" s="44" t="str">
        <f>CONCATENATE(D22,"_",E22,"_",F22)</f>
        <v>25_0_0</v>
      </c>
      <c r="B22" s="45">
        <v>42583</v>
      </c>
      <c r="C22" s="46" t="s">
        <v>248</v>
      </c>
      <c r="D22" s="47">
        <v>25</v>
      </c>
      <c r="E22" s="47">
        <v>0</v>
      </c>
      <c r="F22" s="47">
        <v>0</v>
      </c>
      <c r="G22" s="48">
        <f>F22*1.34102</f>
        <v>0</v>
      </c>
      <c r="H22" s="47" t="s">
        <v>263</v>
      </c>
      <c r="I22" s="47" t="s">
        <v>263</v>
      </c>
      <c r="J22" s="49" t="s">
        <v>263</v>
      </c>
      <c r="K22" s="49" t="s">
        <v>263</v>
      </c>
      <c r="L22" s="51" t="s">
        <v>263</v>
      </c>
      <c r="M22" s="52" t="s">
        <v>263</v>
      </c>
      <c r="N22" s="50" t="s">
        <v>263</v>
      </c>
      <c r="O22" s="50" t="s">
        <v>263</v>
      </c>
      <c r="P22" s="50" t="s">
        <v>263</v>
      </c>
      <c r="Q22" s="50" t="s">
        <v>263</v>
      </c>
      <c r="R22" s="50" t="s">
        <v>263</v>
      </c>
      <c r="S22" s="44" t="s">
        <v>206</v>
      </c>
      <c r="T22" s="51" t="s">
        <v>263</v>
      </c>
      <c r="U22" s="51" t="s">
        <v>263</v>
      </c>
    </row>
    <row r="23" spans="1:21" x14ac:dyDescent="0.3">
      <c r="A23" s="73" t="str">
        <f t="shared" si="1"/>
        <v>280_460_1</v>
      </c>
      <c r="B23" s="68">
        <v>42583</v>
      </c>
      <c r="C23" s="69" t="s">
        <v>248</v>
      </c>
      <c r="D23" s="74">
        <v>280</v>
      </c>
      <c r="E23" s="74">
        <v>460</v>
      </c>
      <c r="F23" s="74">
        <v>1</v>
      </c>
      <c r="G23" s="75">
        <f t="shared" si="0"/>
        <v>1.3410200000000001</v>
      </c>
      <c r="H23" s="74">
        <v>0</v>
      </c>
      <c r="I23" s="74" t="s">
        <v>249</v>
      </c>
      <c r="J23" s="76" t="s">
        <v>264</v>
      </c>
      <c r="K23" s="77" t="s">
        <v>265</v>
      </c>
      <c r="L23" s="78" t="s">
        <v>252</v>
      </c>
      <c r="M23" s="79" t="s">
        <v>266</v>
      </c>
      <c r="N23" s="80">
        <v>30</v>
      </c>
      <c r="O23" s="80">
        <v>1.39</v>
      </c>
      <c r="P23" s="80">
        <v>3100</v>
      </c>
      <c r="Q23" s="80">
        <v>0.82</v>
      </c>
      <c r="R23" s="80">
        <v>87.6</v>
      </c>
      <c r="S23" s="73" t="str">
        <f t="shared" si="2"/>
        <v>EG1R-480-280-12</v>
      </c>
      <c r="T23" s="78" t="str">
        <f>VLOOKUP(CONCATENATE(A23,"_W"),A23:S$318,19,FALSE)</f>
        <v>EG1R480-280-11W</v>
      </c>
      <c r="U23" s="78" t="s">
        <v>267</v>
      </c>
    </row>
    <row r="24" spans="1:21" x14ac:dyDescent="0.3">
      <c r="A24" s="73" t="str">
        <f t="shared" si="1"/>
        <v>280_460_1</v>
      </c>
      <c r="B24" s="68">
        <v>42583</v>
      </c>
      <c r="C24" s="69" t="s">
        <v>248</v>
      </c>
      <c r="D24" s="74">
        <v>280</v>
      </c>
      <c r="E24" s="74">
        <v>460</v>
      </c>
      <c r="F24" s="74">
        <v>1</v>
      </c>
      <c r="G24" s="75">
        <f t="shared" si="0"/>
        <v>1.3410200000000001</v>
      </c>
      <c r="H24" s="74">
        <v>1</v>
      </c>
      <c r="I24" s="74" t="s">
        <v>249</v>
      </c>
      <c r="J24" s="76" t="s">
        <v>268</v>
      </c>
      <c r="K24" s="77" t="s">
        <v>265</v>
      </c>
      <c r="L24" s="78" t="s">
        <v>256</v>
      </c>
      <c r="M24" s="79" t="s">
        <v>266</v>
      </c>
      <c r="N24" s="80">
        <v>30</v>
      </c>
      <c r="O24" s="80">
        <v>1.39</v>
      </c>
      <c r="P24" s="80">
        <v>3100</v>
      </c>
      <c r="Q24" s="80">
        <v>0.82</v>
      </c>
      <c r="R24" s="80">
        <v>87.6</v>
      </c>
      <c r="S24" s="73" t="str">
        <f t="shared" si="2"/>
        <v>EG1R-480-280-12</v>
      </c>
      <c r="T24" s="78" t="str">
        <f>VLOOKUP(CONCATENATE(A24,"_W"),A24:S$318,19,FALSE)</f>
        <v>EG1R480-280-11W</v>
      </c>
      <c r="U24" s="78" t="s">
        <v>267</v>
      </c>
    </row>
    <row r="25" spans="1:21" x14ac:dyDescent="0.3">
      <c r="A25" s="73" t="str">
        <f t="shared" si="1"/>
        <v>280_208_1</v>
      </c>
      <c r="B25" s="68">
        <v>42583</v>
      </c>
      <c r="C25" s="69" t="s">
        <v>248</v>
      </c>
      <c r="D25" s="74">
        <v>280</v>
      </c>
      <c r="E25" s="74">
        <v>208</v>
      </c>
      <c r="F25" s="74">
        <v>1</v>
      </c>
      <c r="G25" s="75">
        <f t="shared" si="0"/>
        <v>1.3410200000000001</v>
      </c>
      <c r="H25" s="74">
        <v>0</v>
      </c>
      <c r="I25" s="74" t="s">
        <v>249</v>
      </c>
      <c r="J25" s="76" t="s">
        <v>269</v>
      </c>
      <c r="K25" s="78" t="s">
        <v>270</v>
      </c>
      <c r="L25" s="78" t="s">
        <v>252</v>
      </c>
      <c r="M25" s="79" t="s">
        <v>271</v>
      </c>
      <c r="N25" s="80">
        <v>30</v>
      </c>
      <c r="O25" s="80">
        <v>3.17</v>
      </c>
      <c r="P25" s="80">
        <v>3100</v>
      </c>
      <c r="Q25" s="80">
        <v>0.83</v>
      </c>
      <c r="R25" s="80">
        <v>86</v>
      </c>
      <c r="S25" s="73" t="str">
        <f t="shared" si="2"/>
        <v>EG1R-240-280-12</v>
      </c>
      <c r="T25" s="78" t="str">
        <f>VLOOKUP(CONCATENATE(A25,"_W"),A25:S$318,19,FALSE)</f>
        <v>EG1R240-280-11W</v>
      </c>
      <c r="U25" s="78" t="s">
        <v>272</v>
      </c>
    </row>
    <row r="26" spans="1:21" x14ac:dyDescent="0.3">
      <c r="A26" s="73" t="str">
        <f t="shared" si="1"/>
        <v>280_208_1</v>
      </c>
      <c r="B26" s="68">
        <v>42583</v>
      </c>
      <c r="C26" s="69" t="s">
        <v>248</v>
      </c>
      <c r="D26" s="74">
        <v>280</v>
      </c>
      <c r="E26" s="74">
        <v>208</v>
      </c>
      <c r="F26" s="74">
        <v>1</v>
      </c>
      <c r="G26" s="75">
        <f t="shared" si="0"/>
        <v>1.3410200000000001</v>
      </c>
      <c r="H26" s="74">
        <v>1</v>
      </c>
      <c r="I26" s="74" t="s">
        <v>249</v>
      </c>
      <c r="J26" s="76" t="s">
        <v>273</v>
      </c>
      <c r="K26" s="78" t="s">
        <v>270</v>
      </c>
      <c r="L26" s="78" t="s">
        <v>256</v>
      </c>
      <c r="M26" s="79" t="s">
        <v>271</v>
      </c>
      <c r="N26" s="80">
        <v>30</v>
      </c>
      <c r="O26" s="80">
        <v>3.17</v>
      </c>
      <c r="P26" s="80">
        <v>3100</v>
      </c>
      <c r="Q26" s="80">
        <v>0.83</v>
      </c>
      <c r="R26" s="80">
        <v>86</v>
      </c>
      <c r="S26" s="73" t="str">
        <f t="shared" si="2"/>
        <v>EG1R-240-280-12</v>
      </c>
      <c r="T26" s="78" t="str">
        <f>VLOOKUP(CONCATENATE(A26,"_W"),A26:S$318,19,FALSE)</f>
        <v>EG1R240-280-11W</v>
      </c>
      <c r="U26" s="78" t="s">
        <v>272</v>
      </c>
    </row>
    <row r="27" spans="1:21" x14ac:dyDescent="0.3">
      <c r="A27" s="73" t="str">
        <f t="shared" si="1"/>
        <v>280_230_1</v>
      </c>
      <c r="B27" s="68">
        <v>42583</v>
      </c>
      <c r="C27" s="69" t="s">
        <v>248</v>
      </c>
      <c r="D27" s="74">
        <v>280</v>
      </c>
      <c r="E27" s="74">
        <v>230</v>
      </c>
      <c r="F27" s="74">
        <v>1</v>
      </c>
      <c r="G27" s="75">
        <f t="shared" si="0"/>
        <v>1.3410200000000001</v>
      </c>
      <c r="H27" s="74">
        <v>0</v>
      </c>
      <c r="I27" s="74" t="s">
        <v>249</v>
      </c>
      <c r="J27" s="76" t="s">
        <v>269</v>
      </c>
      <c r="K27" s="78" t="s">
        <v>270</v>
      </c>
      <c r="L27" s="78" t="s">
        <v>252</v>
      </c>
      <c r="M27" s="79" t="s">
        <v>271</v>
      </c>
      <c r="N27" s="80">
        <v>30</v>
      </c>
      <c r="O27" s="80">
        <v>2.87</v>
      </c>
      <c r="P27" s="80">
        <v>3100</v>
      </c>
      <c r="Q27" s="80">
        <v>0.83</v>
      </c>
      <c r="R27" s="80">
        <v>86</v>
      </c>
      <c r="S27" s="73" t="str">
        <f t="shared" si="2"/>
        <v>EG1R-240-280-12</v>
      </c>
      <c r="T27" s="78" t="str">
        <f>VLOOKUP(CONCATENATE(A27,"_W"),A27:S$318,19,FALSE)</f>
        <v>EG1R240-280-11W</v>
      </c>
      <c r="U27" s="78" t="s">
        <v>274</v>
      </c>
    </row>
    <row r="28" spans="1:21" x14ac:dyDescent="0.3">
      <c r="A28" s="73" t="str">
        <f t="shared" si="1"/>
        <v>280_230_1</v>
      </c>
      <c r="B28" s="68">
        <v>42583</v>
      </c>
      <c r="C28" s="69" t="s">
        <v>248</v>
      </c>
      <c r="D28" s="74">
        <v>280</v>
      </c>
      <c r="E28" s="74">
        <v>230</v>
      </c>
      <c r="F28" s="74">
        <v>1</v>
      </c>
      <c r="G28" s="75">
        <f t="shared" si="0"/>
        <v>1.3410200000000001</v>
      </c>
      <c r="H28" s="74">
        <v>1</v>
      </c>
      <c r="I28" s="74" t="s">
        <v>249</v>
      </c>
      <c r="J28" s="76" t="s">
        <v>273</v>
      </c>
      <c r="K28" s="78" t="s">
        <v>270</v>
      </c>
      <c r="L28" s="78" t="s">
        <v>256</v>
      </c>
      <c r="M28" s="79" t="s">
        <v>271</v>
      </c>
      <c r="N28" s="80">
        <v>30</v>
      </c>
      <c r="O28" s="80">
        <v>2.87</v>
      </c>
      <c r="P28" s="80">
        <v>3100</v>
      </c>
      <c r="Q28" s="80">
        <v>0.83</v>
      </c>
      <c r="R28" s="80">
        <v>86</v>
      </c>
      <c r="S28" s="73" t="str">
        <f t="shared" si="2"/>
        <v>EG1R-240-280-12</v>
      </c>
      <c r="T28" s="78" t="str">
        <f>VLOOKUP(CONCATENATE(A28,"_W"),A28:S$318,19,FALSE)</f>
        <v>EG1R240-280-11W</v>
      </c>
      <c r="U28" s="78" t="s">
        <v>274</v>
      </c>
    </row>
    <row r="29" spans="1:21" x14ac:dyDescent="0.3">
      <c r="A29" s="73" t="str">
        <f t="shared" si="1"/>
        <v>310_460_3</v>
      </c>
      <c r="B29" s="68">
        <v>42583</v>
      </c>
      <c r="C29" s="69" t="s">
        <v>248</v>
      </c>
      <c r="D29" s="74">
        <v>310</v>
      </c>
      <c r="E29" s="74">
        <v>460</v>
      </c>
      <c r="F29" s="74">
        <v>3</v>
      </c>
      <c r="G29" s="75">
        <f t="shared" si="0"/>
        <v>4.0230600000000001</v>
      </c>
      <c r="H29" s="74">
        <v>0</v>
      </c>
      <c r="I29" s="74" t="s">
        <v>249</v>
      </c>
      <c r="J29" s="76" t="s">
        <v>275</v>
      </c>
      <c r="K29" s="77" t="s">
        <v>276</v>
      </c>
      <c r="L29" s="78" t="s">
        <v>252</v>
      </c>
      <c r="M29" s="79" t="s">
        <v>277</v>
      </c>
      <c r="N29" s="80">
        <v>46</v>
      </c>
      <c r="O29" s="80">
        <v>4.26</v>
      </c>
      <c r="P29" s="80">
        <v>4100</v>
      </c>
      <c r="Q29" s="80">
        <v>0.95</v>
      </c>
      <c r="R29" s="80">
        <v>85.5</v>
      </c>
      <c r="S29" s="73" t="str">
        <f>MID(M29,9,50)</f>
        <v>EG1R-480-310-35</v>
      </c>
      <c r="T29" s="78" t="str">
        <f>VLOOKUP(CONCATENATE(A29,"_W"),A29:S$318,19,FALSE)</f>
        <v>EG1R480-310-13W</v>
      </c>
      <c r="U29" s="78" t="s">
        <v>278</v>
      </c>
    </row>
    <row r="30" spans="1:21" x14ac:dyDescent="0.3">
      <c r="A30" s="73" t="str">
        <f t="shared" si="1"/>
        <v>310_460_3</v>
      </c>
      <c r="B30" s="68">
        <v>42583</v>
      </c>
      <c r="C30" s="69" t="s">
        <v>248</v>
      </c>
      <c r="D30" s="74">
        <v>310</v>
      </c>
      <c r="E30" s="74">
        <v>460</v>
      </c>
      <c r="F30" s="74">
        <v>3</v>
      </c>
      <c r="G30" s="75">
        <f t="shared" si="0"/>
        <v>4.0230600000000001</v>
      </c>
      <c r="H30" s="74">
        <v>1</v>
      </c>
      <c r="I30" s="74" t="s">
        <v>249</v>
      </c>
      <c r="J30" s="76" t="s">
        <v>279</v>
      </c>
      <c r="K30" s="77" t="s">
        <v>276</v>
      </c>
      <c r="L30" s="78" t="s">
        <v>256</v>
      </c>
      <c r="M30" s="79" t="s">
        <v>277</v>
      </c>
      <c r="N30" s="80">
        <v>46</v>
      </c>
      <c r="O30" s="80">
        <v>4.26</v>
      </c>
      <c r="P30" s="80">
        <v>4100</v>
      </c>
      <c r="Q30" s="80">
        <v>0.95</v>
      </c>
      <c r="R30" s="80">
        <v>85.5</v>
      </c>
      <c r="S30" s="73" t="str">
        <f t="shared" si="2"/>
        <v>EG1R-480-310-35</v>
      </c>
      <c r="T30" s="78" t="str">
        <f>VLOOKUP(CONCATENATE(A30,"_W"),A30:S$318,19,FALSE)</f>
        <v>EG1R480-310-13W</v>
      </c>
      <c r="U30" s="78" t="s">
        <v>278</v>
      </c>
    </row>
    <row r="31" spans="1:21" x14ac:dyDescent="0.3">
      <c r="A31" s="73" t="str">
        <f t="shared" si="1"/>
        <v>310_208_3</v>
      </c>
      <c r="B31" s="68">
        <v>42583</v>
      </c>
      <c r="C31" s="69" t="s">
        <v>248</v>
      </c>
      <c r="D31" s="74">
        <v>310</v>
      </c>
      <c r="E31" s="74">
        <v>208</v>
      </c>
      <c r="F31" s="74">
        <v>3</v>
      </c>
      <c r="G31" s="75">
        <f t="shared" si="0"/>
        <v>4.0230600000000001</v>
      </c>
      <c r="H31" s="74">
        <v>0</v>
      </c>
      <c r="I31" s="74" t="s">
        <v>249</v>
      </c>
      <c r="J31" s="76" t="s">
        <v>280</v>
      </c>
      <c r="K31" s="78" t="s">
        <v>281</v>
      </c>
      <c r="L31" s="78" t="s">
        <v>252</v>
      </c>
      <c r="M31" s="79" t="s">
        <v>282</v>
      </c>
      <c r="N31" s="80">
        <v>41.5</v>
      </c>
      <c r="O31" s="80">
        <v>8.17</v>
      </c>
      <c r="P31" s="80">
        <v>3900</v>
      </c>
      <c r="Q31" s="80">
        <v>0.95</v>
      </c>
      <c r="R31" s="80">
        <v>83.6</v>
      </c>
      <c r="S31" s="73" t="str">
        <f t="shared" si="2"/>
        <v>EG1R-240-310-35</v>
      </c>
      <c r="T31" s="78" t="str">
        <f>VLOOKUP(CONCATENATE(A31,"_W"),A31:S$318,19,FALSE)</f>
        <v>EG1R240-310-13W</v>
      </c>
      <c r="U31" s="78" t="s">
        <v>283</v>
      </c>
    </row>
    <row r="32" spans="1:21" x14ac:dyDescent="0.3">
      <c r="A32" s="73" t="str">
        <f t="shared" si="1"/>
        <v>310_208_3</v>
      </c>
      <c r="B32" s="68">
        <v>42583</v>
      </c>
      <c r="C32" s="69" t="s">
        <v>248</v>
      </c>
      <c r="D32" s="74">
        <v>310</v>
      </c>
      <c r="E32" s="74">
        <v>208</v>
      </c>
      <c r="F32" s="74">
        <v>3</v>
      </c>
      <c r="G32" s="75">
        <f t="shared" si="0"/>
        <v>4.0230600000000001</v>
      </c>
      <c r="H32" s="74">
        <v>1</v>
      </c>
      <c r="I32" s="74" t="s">
        <v>249</v>
      </c>
      <c r="J32" s="76" t="s">
        <v>284</v>
      </c>
      <c r="K32" s="78" t="s">
        <v>281</v>
      </c>
      <c r="L32" s="78" t="s">
        <v>256</v>
      </c>
      <c r="M32" s="79" t="s">
        <v>282</v>
      </c>
      <c r="N32" s="80">
        <v>41.5</v>
      </c>
      <c r="O32" s="80">
        <v>8.17</v>
      </c>
      <c r="P32" s="80">
        <v>3900</v>
      </c>
      <c r="Q32" s="80">
        <v>0.95</v>
      </c>
      <c r="R32" s="80">
        <v>83.6</v>
      </c>
      <c r="S32" s="73" t="str">
        <f t="shared" si="2"/>
        <v>EG1R-240-310-35</v>
      </c>
      <c r="T32" s="78" t="str">
        <f>VLOOKUP(CONCATENATE(A32,"_W"),A32:S$318,19,FALSE)</f>
        <v>EG1R240-310-13W</v>
      </c>
      <c r="U32" s="78" t="s">
        <v>283</v>
      </c>
    </row>
    <row r="33" spans="1:21" x14ac:dyDescent="0.3">
      <c r="A33" s="73" t="str">
        <f t="shared" si="1"/>
        <v>310_230_3</v>
      </c>
      <c r="B33" s="68">
        <v>42583</v>
      </c>
      <c r="C33" s="69" t="s">
        <v>248</v>
      </c>
      <c r="D33" s="74">
        <v>310</v>
      </c>
      <c r="E33" s="74">
        <v>230</v>
      </c>
      <c r="F33" s="74">
        <v>3</v>
      </c>
      <c r="G33" s="75">
        <f t="shared" si="0"/>
        <v>4.0230600000000001</v>
      </c>
      <c r="H33" s="74">
        <v>0</v>
      </c>
      <c r="I33" s="74" t="s">
        <v>249</v>
      </c>
      <c r="J33" s="76" t="s">
        <v>280</v>
      </c>
      <c r="K33" s="78" t="s">
        <v>281</v>
      </c>
      <c r="L33" s="78" t="s">
        <v>252</v>
      </c>
      <c r="M33" s="79" t="s">
        <v>282</v>
      </c>
      <c r="N33" s="80">
        <v>41.5</v>
      </c>
      <c r="O33" s="80">
        <v>7.39</v>
      </c>
      <c r="P33" s="80">
        <v>3900</v>
      </c>
      <c r="Q33" s="80">
        <v>0.95</v>
      </c>
      <c r="R33" s="80">
        <v>83.6</v>
      </c>
      <c r="S33" s="73" t="str">
        <f t="shared" si="2"/>
        <v>EG1R-240-310-35</v>
      </c>
      <c r="T33" s="78" t="str">
        <f>VLOOKUP(CONCATENATE(A33,"_W"),A33:S$318,19,FALSE)</f>
        <v>EG1R240-310-13W</v>
      </c>
      <c r="U33" s="78" t="s">
        <v>285</v>
      </c>
    </row>
    <row r="34" spans="1:21" x14ac:dyDescent="0.3">
      <c r="A34" s="73" t="str">
        <f t="shared" si="1"/>
        <v>310_230_3</v>
      </c>
      <c r="B34" s="68">
        <v>42583</v>
      </c>
      <c r="C34" s="69" t="s">
        <v>248</v>
      </c>
      <c r="D34" s="74">
        <v>310</v>
      </c>
      <c r="E34" s="74">
        <v>230</v>
      </c>
      <c r="F34" s="74">
        <v>3</v>
      </c>
      <c r="G34" s="75">
        <f t="shared" si="0"/>
        <v>4.0230600000000001</v>
      </c>
      <c r="H34" s="74">
        <v>1</v>
      </c>
      <c r="I34" s="74" t="s">
        <v>249</v>
      </c>
      <c r="J34" s="76" t="s">
        <v>284</v>
      </c>
      <c r="K34" s="78" t="s">
        <v>281</v>
      </c>
      <c r="L34" s="78" t="s">
        <v>256</v>
      </c>
      <c r="M34" s="79" t="s">
        <v>282</v>
      </c>
      <c r="N34" s="80">
        <v>41.5</v>
      </c>
      <c r="O34" s="80">
        <v>7.39</v>
      </c>
      <c r="P34" s="80">
        <v>3900</v>
      </c>
      <c r="Q34" s="80">
        <v>0.95</v>
      </c>
      <c r="R34" s="80">
        <v>83.6</v>
      </c>
      <c r="S34" s="73" t="str">
        <f t="shared" si="2"/>
        <v>EG1R-240-310-35</v>
      </c>
      <c r="T34" s="78" t="str">
        <f>VLOOKUP(CONCATENATE(A34,"_W"),A34:S$318,19,FALSE)</f>
        <v>EG1R240-310-13W</v>
      </c>
      <c r="U34" s="78" t="s">
        <v>285</v>
      </c>
    </row>
    <row r="35" spans="1:21" x14ac:dyDescent="0.3">
      <c r="A35" s="44" t="str">
        <f>CONCATENATE(D35,"_",E35,"_",F35)</f>
        <v>31_0_0</v>
      </c>
      <c r="B35" s="45">
        <v>42583</v>
      </c>
      <c r="C35" s="46" t="s">
        <v>248</v>
      </c>
      <c r="D35" s="47">
        <v>31</v>
      </c>
      <c r="E35" s="47">
        <v>0</v>
      </c>
      <c r="F35" s="47">
        <v>0</v>
      </c>
      <c r="G35" s="48">
        <f>F35*1.34102</f>
        <v>0</v>
      </c>
      <c r="H35" s="47" t="s">
        <v>263</v>
      </c>
      <c r="I35" s="47" t="s">
        <v>263</v>
      </c>
      <c r="J35" s="49" t="s">
        <v>263</v>
      </c>
      <c r="K35" s="49" t="s">
        <v>263</v>
      </c>
      <c r="L35" s="51" t="s">
        <v>263</v>
      </c>
      <c r="M35" s="52" t="s">
        <v>263</v>
      </c>
      <c r="N35" s="50" t="s">
        <v>263</v>
      </c>
      <c r="O35" s="50" t="s">
        <v>263</v>
      </c>
      <c r="P35" s="50" t="s">
        <v>263</v>
      </c>
      <c r="Q35" s="50" t="s">
        <v>263</v>
      </c>
      <c r="R35" s="50" t="s">
        <v>263</v>
      </c>
      <c r="S35" s="44" t="s">
        <v>208</v>
      </c>
      <c r="T35" s="51" t="s">
        <v>263</v>
      </c>
      <c r="U35" s="51" t="s">
        <v>263</v>
      </c>
    </row>
    <row r="36" spans="1:21" x14ac:dyDescent="0.3">
      <c r="A36" s="73" t="str">
        <f t="shared" si="1"/>
        <v>355_460_3</v>
      </c>
      <c r="B36" s="68">
        <v>42583</v>
      </c>
      <c r="C36" s="69" t="s">
        <v>248</v>
      </c>
      <c r="D36" s="74">
        <v>355</v>
      </c>
      <c r="E36" s="74">
        <v>460</v>
      </c>
      <c r="F36" s="74">
        <v>3</v>
      </c>
      <c r="G36" s="75">
        <f t="shared" si="0"/>
        <v>4.0230600000000001</v>
      </c>
      <c r="H36" s="74">
        <v>0</v>
      </c>
      <c r="I36" s="74" t="s">
        <v>249</v>
      </c>
      <c r="J36" s="76" t="s">
        <v>286</v>
      </c>
      <c r="K36" s="77" t="s">
        <v>287</v>
      </c>
      <c r="L36" s="78" t="s">
        <v>252</v>
      </c>
      <c r="M36" s="79" t="s">
        <v>288</v>
      </c>
      <c r="N36" s="80">
        <v>61</v>
      </c>
      <c r="O36" s="80">
        <v>2.2599999999999998</v>
      </c>
      <c r="P36" s="80">
        <v>2600</v>
      </c>
      <c r="Q36" s="80">
        <v>0.94</v>
      </c>
      <c r="R36" s="80">
        <v>87.5</v>
      </c>
      <c r="S36" s="73" t="str">
        <f t="shared" si="2"/>
        <v>EG1R-480-355-32</v>
      </c>
      <c r="T36" s="78" t="str">
        <f>VLOOKUP(CONCATENATE(A36,"_W"),A36:S$318,19,FALSE)</f>
        <v>EG1R480-355-12W</v>
      </c>
      <c r="U36" s="78" t="s">
        <v>289</v>
      </c>
    </row>
    <row r="37" spans="1:21" x14ac:dyDescent="0.3">
      <c r="A37" s="73" t="str">
        <f t="shared" si="1"/>
        <v>355_460_3</v>
      </c>
      <c r="B37" s="68">
        <v>42583</v>
      </c>
      <c r="C37" s="69" t="s">
        <v>248</v>
      </c>
      <c r="D37" s="74">
        <v>355</v>
      </c>
      <c r="E37" s="74">
        <v>460</v>
      </c>
      <c r="F37" s="74">
        <v>3</v>
      </c>
      <c r="G37" s="75">
        <f t="shared" si="0"/>
        <v>4.0230600000000001</v>
      </c>
      <c r="H37" s="74">
        <v>1</v>
      </c>
      <c r="I37" s="74" t="s">
        <v>249</v>
      </c>
      <c r="J37" s="76" t="s">
        <v>290</v>
      </c>
      <c r="K37" s="77" t="s">
        <v>287</v>
      </c>
      <c r="L37" s="78" t="s">
        <v>256</v>
      </c>
      <c r="M37" s="79" t="s">
        <v>288</v>
      </c>
      <c r="N37" s="80">
        <v>61</v>
      </c>
      <c r="O37" s="80">
        <v>2.2599999999999998</v>
      </c>
      <c r="P37" s="80">
        <v>2600</v>
      </c>
      <c r="Q37" s="80">
        <v>0.94</v>
      </c>
      <c r="R37" s="80">
        <v>87.5</v>
      </c>
      <c r="S37" s="73" t="str">
        <f t="shared" si="2"/>
        <v>EG1R-480-355-32</v>
      </c>
      <c r="T37" s="78" t="str">
        <f>VLOOKUP(CONCATENATE(A37,"_W"),A37:S$318,19,FALSE)</f>
        <v>EG1R480-355-12W</v>
      </c>
      <c r="U37" s="78" t="s">
        <v>289</v>
      </c>
    </row>
    <row r="38" spans="1:21" x14ac:dyDescent="0.3">
      <c r="A38" s="73" t="str">
        <f t="shared" si="1"/>
        <v>355_208_3</v>
      </c>
      <c r="B38" s="68">
        <v>42583</v>
      </c>
      <c r="C38" s="69" t="s">
        <v>248</v>
      </c>
      <c r="D38" s="74">
        <v>355</v>
      </c>
      <c r="E38" s="74">
        <v>208</v>
      </c>
      <c r="F38" s="74">
        <v>3</v>
      </c>
      <c r="G38" s="75">
        <f t="shared" si="0"/>
        <v>4.0230600000000001</v>
      </c>
      <c r="H38" s="74">
        <v>0</v>
      </c>
      <c r="I38" s="74" t="s">
        <v>249</v>
      </c>
      <c r="J38" s="76" t="s">
        <v>291</v>
      </c>
      <c r="K38" s="78" t="s">
        <v>292</v>
      </c>
      <c r="L38" s="78" t="s">
        <v>252</v>
      </c>
      <c r="M38" s="79" t="s">
        <v>293</v>
      </c>
      <c r="N38" s="80">
        <v>61</v>
      </c>
      <c r="O38" s="80">
        <v>5</v>
      </c>
      <c r="P38" s="80">
        <v>2600</v>
      </c>
      <c r="Q38" s="80">
        <v>0.94</v>
      </c>
      <c r="R38" s="80">
        <v>87</v>
      </c>
      <c r="S38" s="73" t="str">
        <f t="shared" si="2"/>
        <v>EG1R-240-355-32</v>
      </c>
      <c r="T38" s="78" t="str">
        <f>VLOOKUP(CONCATENATE(A38,"_W"),A38:S$318,19,FALSE)</f>
        <v>EG1R240-355-12W</v>
      </c>
      <c r="U38" s="78" t="s">
        <v>294</v>
      </c>
    </row>
    <row r="39" spans="1:21" x14ac:dyDescent="0.3">
      <c r="A39" s="73" t="str">
        <f t="shared" si="1"/>
        <v>355_208_3</v>
      </c>
      <c r="B39" s="68">
        <v>42583</v>
      </c>
      <c r="C39" s="69" t="s">
        <v>248</v>
      </c>
      <c r="D39" s="74">
        <v>355</v>
      </c>
      <c r="E39" s="74">
        <v>208</v>
      </c>
      <c r="F39" s="74">
        <v>3</v>
      </c>
      <c r="G39" s="75">
        <f t="shared" si="0"/>
        <v>4.0230600000000001</v>
      </c>
      <c r="H39" s="74">
        <v>1</v>
      </c>
      <c r="I39" s="74" t="s">
        <v>249</v>
      </c>
      <c r="J39" s="76" t="s">
        <v>295</v>
      </c>
      <c r="K39" s="78" t="s">
        <v>292</v>
      </c>
      <c r="L39" s="78" t="s">
        <v>256</v>
      </c>
      <c r="M39" s="79" t="s">
        <v>293</v>
      </c>
      <c r="N39" s="80">
        <v>61</v>
      </c>
      <c r="O39" s="80">
        <v>5</v>
      </c>
      <c r="P39" s="80">
        <v>2600</v>
      </c>
      <c r="Q39" s="80">
        <v>0.94</v>
      </c>
      <c r="R39" s="80">
        <v>87</v>
      </c>
      <c r="S39" s="73" t="str">
        <f t="shared" si="2"/>
        <v>EG1R-240-355-32</v>
      </c>
      <c r="T39" s="78" t="str">
        <f>VLOOKUP(CONCATENATE(A39,"_W"),A39:S$318,19,FALSE)</f>
        <v>EG1R240-355-12W</v>
      </c>
      <c r="U39" s="78" t="s">
        <v>294</v>
      </c>
    </row>
    <row r="40" spans="1:21" x14ac:dyDescent="0.3">
      <c r="A40" s="73" t="str">
        <f t="shared" si="1"/>
        <v>355_230_3</v>
      </c>
      <c r="B40" s="68">
        <v>42583</v>
      </c>
      <c r="C40" s="69" t="s">
        <v>248</v>
      </c>
      <c r="D40" s="74">
        <v>355</v>
      </c>
      <c r="E40" s="74">
        <v>230</v>
      </c>
      <c r="F40" s="74">
        <v>3</v>
      </c>
      <c r="G40" s="75">
        <f t="shared" si="0"/>
        <v>4.0230600000000001</v>
      </c>
      <c r="H40" s="74">
        <v>0</v>
      </c>
      <c r="I40" s="74" t="s">
        <v>249</v>
      </c>
      <c r="J40" s="76" t="s">
        <v>291</v>
      </c>
      <c r="K40" s="78" t="s">
        <v>292</v>
      </c>
      <c r="L40" s="78" t="s">
        <v>252</v>
      </c>
      <c r="M40" s="79" t="s">
        <v>293</v>
      </c>
      <c r="N40" s="80">
        <v>61</v>
      </c>
      <c r="O40" s="80">
        <v>4.5199999999999996</v>
      </c>
      <c r="P40" s="80">
        <v>2600</v>
      </c>
      <c r="Q40" s="80">
        <v>0.94</v>
      </c>
      <c r="R40" s="80">
        <v>87</v>
      </c>
      <c r="S40" s="73" t="str">
        <f t="shared" si="2"/>
        <v>EG1R-240-355-32</v>
      </c>
      <c r="T40" s="78" t="str">
        <f>VLOOKUP(CONCATENATE(A40,"_W"),A40:S$318,19,FALSE)</f>
        <v>EG1R240-355-12W</v>
      </c>
      <c r="U40" s="78" t="s">
        <v>296</v>
      </c>
    </row>
    <row r="41" spans="1:21" x14ac:dyDescent="0.3">
      <c r="A41" s="73" t="str">
        <f t="shared" si="1"/>
        <v>355_230_3</v>
      </c>
      <c r="B41" s="68">
        <v>42583</v>
      </c>
      <c r="C41" s="69" t="s">
        <v>248</v>
      </c>
      <c r="D41" s="74">
        <v>355</v>
      </c>
      <c r="E41" s="74">
        <v>230</v>
      </c>
      <c r="F41" s="74">
        <v>3</v>
      </c>
      <c r="G41" s="75">
        <f t="shared" si="0"/>
        <v>4.0230600000000001</v>
      </c>
      <c r="H41" s="74">
        <v>1</v>
      </c>
      <c r="I41" s="74" t="s">
        <v>249</v>
      </c>
      <c r="J41" s="76" t="s">
        <v>295</v>
      </c>
      <c r="K41" s="78" t="s">
        <v>292</v>
      </c>
      <c r="L41" s="78" t="s">
        <v>256</v>
      </c>
      <c r="M41" s="79" t="s">
        <v>293</v>
      </c>
      <c r="N41" s="80">
        <v>61</v>
      </c>
      <c r="O41" s="80">
        <v>4.5199999999999996</v>
      </c>
      <c r="P41" s="80">
        <v>2600</v>
      </c>
      <c r="Q41" s="80">
        <v>0.94</v>
      </c>
      <c r="R41" s="80">
        <v>87</v>
      </c>
      <c r="S41" s="73" t="str">
        <f t="shared" si="2"/>
        <v>EG1R-240-355-32</v>
      </c>
      <c r="T41" s="78" t="str">
        <f>VLOOKUP(CONCATENATE(A41,"_W"),A41:S$318,19,FALSE)</f>
        <v>EG1R240-355-12W</v>
      </c>
      <c r="U41" s="78" t="s">
        <v>296</v>
      </c>
    </row>
    <row r="42" spans="1:21" x14ac:dyDescent="0.3">
      <c r="A42" s="44" t="str">
        <f>CONCATENATE(D42,"_",E42,"_",F42)</f>
        <v>35_0_0</v>
      </c>
      <c r="B42" s="45">
        <v>42583</v>
      </c>
      <c r="C42" s="46" t="s">
        <v>248</v>
      </c>
      <c r="D42" s="47">
        <v>35</v>
      </c>
      <c r="E42" s="47">
        <v>0</v>
      </c>
      <c r="F42" s="47">
        <v>0</v>
      </c>
      <c r="G42" s="48">
        <f>F42*1.34102</f>
        <v>0</v>
      </c>
      <c r="H42" s="47" t="s">
        <v>263</v>
      </c>
      <c r="I42" s="47" t="s">
        <v>263</v>
      </c>
      <c r="J42" s="49" t="s">
        <v>263</v>
      </c>
      <c r="K42" s="50" t="s">
        <v>263</v>
      </c>
      <c r="L42" s="51" t="s">
        <v>263</v>
      </c>
      <c r="M42" s="52" t="s">
        <v>263</v>
      </c>
      <c r="N42" s="50" t="s">
        <v>263</v>
      </c>
      <c r="O42" s="50" t="s">
        <v>263</v>
      </c>
      <c r="P42" s="50" t="s">
        <v>263</v>
      </c>
      <c r="Q42" s="50" t="s">
        <v>263</v>
      </c>
      <c r="R42" s="50" t="s">
        <v>263</v>
      </c>
      <c r="S42" s="44" t="s">
        <v>210</v>
      </c>
      <c r="T42" s="51" t="s">
        <v>263</v>
      </c>
      <c r="U42" s="51" t="s">
        <v>263</v>
      </c>
    </row>
    <row r="43" spans="1:21" x14ac:dyDescent="0.3">
      <c r="A43" s="73" t="str">
        <f t="shared" si="1"/>
        <v>400_460_3</v>
      </c>
      <c r="B43" s="68">
        <v>42583</v>
      </c>
      <c r="C43" s="69" t="s">
        <v>248</v>
      </c>
      <c r="D43" s="74">
        <v>400</v>
      </c>
      <c r="E43" s="74">
        <v>460</v>
      </c>
      <c r="F43" s="74">
        <v>3</v>
      </c>
      <c r="G43" s="75">
        <f t="shared" si="0"/>
        <v>4.0230600000000001</v>
      </c>
      <c r="H43" s="74">
        <v>0</v>
      </c>
      <c r="I43" s="74" t="s">
        <v>249</v>
      </c>
      <c r="J43" s="76" t="s">
        <v>297</v>
      </c>
      <c r="K43" s="77" t="s">
        <v>298</v>
      </c>
      <c r="L43" s="78" t="s">
        <v>252</v>
      </c>
      <c r="M43" s="79" t="s">
        <v>299</v>
      </c>
      <c r="N43" s="80">
        <v>87</v>
      </c>
      <c r="O43" s="80">
        <v>4</v>
      </c>
      <c r="P43" s="80">
        <v>2550</v>
      </c>
      <c r="Q43" s="80">
        <v>0.94</v>
      </c>
      <c r="R43" s="80">
        <v>88.3</v>
      </c>
      <c r="S43" s="73" t="str">
        <f t="shared" si="2"/>
        <v>EG1R-480-400-48</v>
      </c>
      <c r="T43" s="78" t="str">
        <f>VLOOKUP(CONCATENATE(A43,"_W"),A43:S$318,19,FALSE)</f>
        <v>EG1R480-400-13W</v>
      </c>
      <c r="U43" s="78" t="s">
        <v>300</v>
      </c>
    </row>
    <row r="44" spans="1:21" x14ac:dyDescent="0.3">
      <c r="A44" s="73" t="str">
        <f t="shared" si="1"/>
        <v>400_460_3</v>
      </c>
      <c r="B44" s="68">
        <v>42583</v>
      </c>
      <c r="C44" s="69" t="s">
        <v>248</v>
      </c>
      <c r="D44" s="74">
        <v>400</v>
      </c>
      <c r="E44" s="74">
        <v>460</v>
      </c>
      <c r="F44" s="74">
        <v>3</v>
      </c>
      <c r="G44" s="75">
        <f t="shared" si="0"/>
        <v>4.0230600000000001</v>
      </c>
      <c r="H44" s="74">
        <v>1</v>
      </c>
      <c r="I44" s="74" t="s">
        <v>249</v>
      </c>
      <c r="J44" s="76" t="s">
        <v>301</v>
      </c>
      <c r="K44" s="77" t="s">
        <v>298</v>
      </c>
      <c r="L44" s="78" t="s">
        <v>256</v>
      </c>
      <c r="M44" s="79" t="s">
        <v>299</v>
      </c>
      <c r="N44" s="80">
        <v>87</v>
      </c>
      <c r="O44" s="80">
        <v>4</v>
      </c>
      <c r="P44" s="80">
        <v>2550</v>
      </c>
      <c r="Q44" s="80">
        <v>0.94</v>
      </c>
      <c r="R44" s="80">
        <v>88.3</v>
      </c>
      <c r="S44" s="73" t="str">
        <f t="shared" si="2"/>
        <v>EG1R-480-400-48</v>
      </c>
      <c r="T44" s="78" t="str">
        <f>VLOOKUP(CONCATENATE(A44,"_W"),A44:S$318,19,FALSE)</f>
        <v>EG1R480-400-13W</v>
      </c>
      <c r="U44" s="78" t="s">
        <v>300</v>
      </c>
    </row>
    <row r="45" spans="1:21" x14ac:dyDescent="0.3">
      <c r="A45" s="73" t="str">
        <f t="shared" si="1"/>
        <v>400_208_3</v>
      </c>
      <c r="B45" s="68">
        <v>42583</v>
      </c>
      <c r="C45" s="69" t="s">
        <v>248</v>
      </c>
      <c r="D45" s="74">
        <v>400</v>
      </c>
      <c r="E45" s="74">
        <v>208</v>
      </c>
      <c r="F45" s="74">
        <v>3</v>
      </c>
      <c r="G45" s="75">
        <f t="shared" si="0"/>
        <v>4.0230600000000001</v>
      </c>
      <c r="H45" s="74">
        <v>0</v>
      </c>
      <c r="I45" s="74" t="s">
        <v>249</v>
      </c>
      <c r="J45" s="76" t="s">
        <v>302</v>
      </c>
      <c r="K45" s="78" t="s">
        <v>303</v>
      </c>
      <c r="L45" s="78" t="s">
        <v>252</v>
      </c>
      <c r="M45" s="79" t="s">
        <v>304</v>
      </c>
      <c r="N45" s="80">
        <v>87</v>
      </c>
      <c r="O45" s="80">
        <v>9.33</v>
      </c>
      <c r="P45" s="80">
        <v>2550</v>
      </c>
      <c r="Q45" s="80">
        <v>0.93</v>
      </c>
      <c r="R45" s="80">
        <v>86.2</v>
      </c>
      <c r="S45" s="73" t="str">
        <f t="shared" si="2"/>
        <v>EG1R-240-400-48</v>
      </c>
      <c r="T45" s="78" t="str">
        <f>VLOOKUP(CONCATENATE(A45,"_W"),A45:S$318,19,FALSE)</f>
        <v>EG1R240-400-13W</v>
      </c>
      <c r="U45" s="78" t="s">
        <v>305</v>
      </c>
    </row>
    <row r="46" spans="1:21" x14ac:dyDescent="0.3">
      <c r="A46" s="73" t="str">
        <f t="shared" si="1"/>
        <v>400_208_3</v>
      </c>
      <c r="B46" s="68">
        <v>42583</v>
      </c>
      <c r="C46" s="69" t="s">
        <v>248</v>
      </c>
      <c r="D46" s="74">
        <v>400</v>
      </c>
      <c r="E46" s="74">
        <v>208</v>
      </c>
      <c r="F46" s="74">
        <v>3</v>
      </c>
      <c r="G46" s="75">
        <f t="shared" si="0"/>
        <v>4.0230600000000001</v>
      </c>
      <c r="H46" s="74">
        <v>1</v>
      </c>
      <c r="I46" s="74" t="s">
        <v>249</v>
      </c>
      <c r="J46" s="76" t="s">
        <v>306</v>
      </c>
      <c r="K46" s="78" t="s">
        <v>303</v>
      </c>
      <c r="L46" s="78" t="s">
        <v>256</v>
      </c>
      <c r="M46" s="79" t="s">
        <v>304</v>
      </c>
      <c r="N46" s="80">
        <v>87</v>
      </c>
      <c r="O46" s="80">
        <v>9.33</v>
      </c>
      <c r="P46" s="80">
        <v>2550</v>
      </c>
      <c r="Q46" s="80">
        <v>0.93</v>
      </c>
      <c r="R46" s="80">
        <v>86.2</v>
      </c>
      <c r="S46" s="73" t="str">
        <f t="shared" si="2"/>
        <v>EG1R-240-400-48</v>
      </c>
      <c r="T46" s="78" t="str">
        <f>VLOOKUP(CONCATENATE(A46,"_W"),A46:S$318,19,FALSE)</f>
        <v>EG1R240-400-13W</v>
      </c>
      <c r="U46" s="78" t="s">
        <v>305</v>
      </c>
    </row>
    <row r="47" spans="1:21" x14ac:dyDescent="0.3">
      <c r="A47" s="73" t="str">
        <f t="shared" si="1"/>
        <v>400_230_3</v>
      </c>
      <c r="B47" s="68">
        <v>42583</v>
      </c>
      <c r="C47" s="69" t="s">
        <v>248</v>
      </c>
      <c r="D47" s="74">
        <v>400</v>
      </c>
      <c r="E47" s="74">
        <v>230</v>
      </c>
      <c r="F47" s="74">
        <v>3</v>
      </c>
      <c r="G47" s="75">
        <f t="shared" si="0"/>
        <v>4.0230600000000001</v>
      </c>
      <c r="H47" s="74">
        <v>0</v>
      </c>
      <c r="I47" s="74" t="s">
        <v>249</v>
      </c>
      <c r="J47" s="76" t="s">
        <v>302</v>
      </c>
      <c r="K47" s="78" t="s">
        <v>303</v>
      </c>
      <c r="L47" s="78" t="s">
        <v>252</v>
      </c>
      <c r="M47" s="79" t="s">
        <v>304</v>
      </c>
      <c r="N47" s="80">
        <v>87</v>
      </c>
      <c r="O47" s="80">
        <v>8.43</v>
      </c>
      <c r="P47" s="80">
        <v>2550</v>
      </c>
      <c r="Q47" s="80">
        <v>0.93</v>
      </c>
      <c r="R47" s="80">
        <v>86.2</v>
      </c>
      <c r="S47" s="73" t="str">
        <f t="shared" si="2"/>
        <v>EG1R-240-400-48</v>
      </c>
      <c r="T47" s="78" t="str">
        <f>VLOOKUP(CONCATENATE(A47,"_W"),A47:S$318,19,FALSE)</f>
        <v>EG1R240-400-13W</v>
      </c>
      <c r="U47" s="78" t="s">
        <v>307</v>
      </c>
    </row>
    <row r="48" spans="1:21" x14ac:dyDescent="0.3">
      <c r="A48" s="73" t="str">
        <f t="shared" si="1"/>
        <v>400_230_3</v>
      </c>
      <c r="B48" s="68">
        <v>42583</v>
      </c>
      <c r="C48" s="69" t="s">
        <v>248</v>
      </c>
      <c r="D48" s="74">
        <v>400</v>
      </c>
      <c r="E48" s="74">
        <v>230</v>
      </c>
      <c r="F48" s="74">
        <v>3</v>
      </c>
      <c r="G48" s="75">
        <f t="shared" si="0"/>
        <v>4.0230600000000001</v>
      </c>
      <c r="H48" s="74">
        <v>1</v>
      </c>
      <c r="I48" s="74" t="s">
        <v>249</v>
      </c>
      <c r="J48" s="76" t="s">
        <v>306</v>
      </c>
      <c r="K48" s="78" t="s">
        <v>303</v>
      </c>
      <c r="L48" s="78" t="s">
        <v>256</v>
      </c>
      <c r="M48" s="79" t="s">
        <v>304</v>
      </c>
      <c r="N48" s="80">
        <v>87</v>
      </c>
      <c r="O48" s="80">
        <v>8.43</v>
      </c>
      <c r="P48" s="80">
        <v>2550</v>
      </c>
      <c r="Q48" s="80">
        <v>0.93</v>
      </c>
      <c r="R48" s="80">
        <v>86.2</v>
      </c>
      <c r="S48" s="73" t="str">
        <f t="shared" si="2"/>
        <v>EG1R-240-400-48</v>
      </c>
      <c r="T48" s="78" t="str">
        <f>VLOOKUP(CONCATENATE(A48,"_W"),A48:S$318,19,FALSE)</f>
        <v>EG1R240-400-13W</v>
      </c>
      <c r="U48" s="78" t="s">
        <v>307</v>
      </c>
    </row>
    <row r="49" spans="1:21" x14ac:dyDescent="0.3">
      <c r="A49" s="44" t="str">
        <f>CONCATENATE(D49,"_",E49,"_",F49)</f>
        <v>40_0_0</v>
      </c>
      <c r="B49" s="45">
        <v>42583</v>
      </c>
      <c r="C49" s="46" t="s">
        <v>248</v>
      </c>
      <c r="D49" s="47">
        <v>40</v>
      </c>
      <c r="E49" s="47">
        <v>0</v>
      </c>
      <c r="F49" s="47">
        <v>0</v>
      </c>
      <c r="G49" s="48">
        <f>F49*1.34102</f>
        <v>0</v>
      </c>
      <c r="H49" s="47" t="s">
        <v>263</v>
      </c>
      <c r="I49" s="47" t="s">
        <v>263</v>
      </c>
      <c r="J49" s="49" t="s">
        <v>263</v>
      </c>
      <c r="K49" s="50" t="s">
        <v>263</v>
      </c>
      <c r="L49" s="51" t="s">
        <v>263</v>
      </c>
      <c r="M49" s="52" t="s">
        <v>263</v>
      </c>
      <c r="N49" s="50" t="s">
        <v>263</v>
      </c>
      <c r="O49" s="50" t="s">
        <v>263</v>
      </c>
      <c r="P49" s="50" t="s">
        <v>263</v>
      </c>
      <c r="Q49" s="50" t="s">
        <v>263</v>
      </c>
      <c r="R49" s="50" t="s">
        <v>263</v>
      </c>
      <c r="S49" s="44" t="s">
        <v>212</v>
      </c>
      <c r="T49" s="51" t="s">
        <v>263</v>
      </c>
      <c r="U49" s="51" t="s">
        <v>263</v>
      </c>
    </row>
    <row r="50" spans="1:21" x14ac:dyDescent="0.3">
      <c r="A50" s="73" t="str">
        <f t="shared" si="1"/>
        <v>450_460_3</v>
      </c>
      <c r="B50" s="68">
        <v>42583</v>
      </c>
      <c r="C50" s="69" t="s">
        <v>248</v>
      </c>
      <c r="D50" s="74">
        <v>450</v>
      </c>
      <c r="E50" s="74">
        <v>460</v>
      </c>
      <c r="F50" s="74">
        <v>3</v>
      </c>
      <c r="G50" s="75">
        <f t="shared" si="0"/>
        <v>4.0230600000000001</v>
      </c>
      <c r="H50" s="74">
        <v>0</v>
      </c>
      <c r="I50" s="74" t="s">
        <v>249</v>
      </c>
      <c r="J50" s="76" t="s">
        <v>308</v>
      </c>
      <c r="K50" s="77" t="s">
        <v>309</v>
      </c>
      <c r="L50" s="78" t="s">
        <v>252</v>
      </c>
      <c r="M50" s="79" t="s">
        <v>310</v>
      </c>
      <c r="N50" s="80">
        <v>96</v>
      </c>
      <c r="O50" s="80">
        <v>3.65</v>
      </c>
      <c r="P50" s="80">
        <v>2040</v>
      </c>
      <c r="Q50" s="80">
        <v>0.94</v>
      </c>
      <c r="R50" s="80">
        <v>88.8</v>
      </c>
      <c r="S50" s="73" t="str">
        <f t="shared" si="2"/>
        <v>EG1R-480-450-48</v>
      </c>
      <c r="T50" s="78" t="str">
        <f>VLOOKUP(CONCATENATE(A50,"_W"),A50:S$318,19,FALSE)</f>
        <v>EG1R480-450-13W</v>
      </c>
      <c r="U50" s="78" t="s">
        <v>311</v>
      </c>
    </row>
    <row r="51" spans="1:21" x14ac:dyDescent="0.3">
      <c r="A51" s="73" t="str">
        <f t="shared" si="1"/>
        <v>450_460_6</v>
      </c>
      <c r="B51" s="68">
        <v>42583</v>
      </c>
      <c r="C51" s="69" t="s">
        <v>248</v>
      </c>
      <c r="D51" s="74">
        <v>450</v>
      </c>
      <c r="E51" s="74">
        <v>460</v>
      </c>
      <c r="F51" s="74">
        <v>6</v>
      </c>
      <c r="G51" s="75">
        <f t="shared" si="0"/>
        <v>8.0461200000000002</v>
      </c>
      <c r="H51" s="74">
        <v>0</v>
      </c>
      <c r="I51" s="74" t="s">
        <v>249</v>
      </c>
      <c r="J51" s="76" t="s">
        <v>312</v>
      </c>
      <c r="K51" s="77" t="s">
        <v>313</v>
      </c>
      <c r="L51" s="78" t="s">
        <v>252</v>
      </c>
      <c r="M51" s="79" t="s">
        <v>314</v>
      </c>
      <c r="N51" s="80">
        <v>128</v>
      </c>
      <c r="O51" s="80">
        <v>7.22</v>
      </c>
      <c r="P51" s="80">
        <v>2750</v>
      </c>
      <c r="Q51" s="80">
        <v>0.94</v>
      </c>
      <c r="R51" s="80">
        <v>88.8</v>
      </c>
      <c r="S51" s="73" t="str">
        <f t="shared" si="2"/>
        <v>EG1R-480-450-68</v>
      </c>
      <c r="T51" s="78" t="str">
        <f>VLOOKUP(CONCATENATE(A51,"_W"),A51:S$318,19,FALSE)</f>
        <v>EG1R480-450-16W</v>
      </c>
      <c r="U51" s="78" t="s">
        <v>315</v>
      </c>
    </row>
    <row r="52" spans="1:21" x14ac:dyDescent="0.3">
      <c r="A52" s="73" t="str">
        <f t="shared" si="1"/>
        <v>450_460_3</v>
      </c>
      <c r="B52" s="68">
        <v>42583</v>
      </c>
      <c r="C52" s="69" t="s">
        <v>248</v>
      </c>
      <c r="D52" s="74">
        <v>450</v>
      </c>
      <c r="E52" s="74">
        <v>460</v>
      </c>
      <c r="F52" s="74">
        <v>3</v>
      </c>
      <c r="G52" s="75">
        <f t="shared" si="0"/>
        <v>4.0230600000000001</v>
      </c>
      <c r="H52" s="74">
        <v>1</v>
      </c>
      <c r="I52" s="74" t="s">
        <v>249</v>
      </c>
      <c r="J52" s="76" t="s">
        <v>316</v>
      </c>
      <c r="K52" s="77" t="s">
        <v>309</v>
      </c>
      <c r="L52" s="78" t="s">
        <v>256</v>
      </c>
      <c r="M52" s="79" t="s">
        <v>310</v>
      </c>
      <c r="N52" s="80">
        <v>96</v>
      </c>
      <c r="O52" s="80">
        <v>3.65</v>
      </c>
      <c r="P52" s="80">
        <v>2040</v>
      </c>
      <c r="Q52" s="80">
        <v>0.94</v>
      </c>
      <c r="R52" s="80">
        <v>88.8</v>
      </c>
      <c r="S52" s="73" t="str">
        <f t="shared" si="2"/>
        <v>EG1R-480-450-48</v>
      </c>
      <c r="T52" s="78" t="str">
        <f>VLOOKUP(CONCATENATE(A52,"_W"),A52:S$318,19,FALSE)</f>
        <v>EG1R480-450-13W</v>
      </c>
      <c r="U52" s="78" t="s">
        <v>311</v>
      </c>
    </row>
    <row r="53" spans="1:21" x14ac:dyDescent="0.3">
      <c r="A53" s="73" t="str">
        <f t="shared" si="1"/>
        <v>450_460_6</v>
      </c>
      <c r="B53" s="68">
        <v>42583</v>
      </c>
      <c r="C53" s="69" t="s">
        <v>248</v>
      </c>
      <c r="D53" s="74">
        <v>450</v>
      </c>
      <c r="E53" s="74">
        <v>460</v>
      </c>
      <c r="F53" s="74">
        <v>6</v>
      </c>
      <c r="G53" s="75">
        <f t="shared" si="0"/>
        <v>8.0461200000000002</v>
      </c>
      <c r="H53" s="74">
        <v>1</v>
      </c>
      <c r="I53" s="74" t="s">
        <v>249</v>
      </c>
      <c r="J53" s="76" t="s">
        <v>317</v>
      </c>
      <c r="K53" s="77" t="s">
        <v>313</v>
      </c>
      <c r="L53" s="78" t="s">
        <v>256</v>
      </c>
      <c r="M53" s="79" t="s">
        <v>314</v>
      </c>
      <c r="N53" s="80">
        <v>128</v>
      </c>
      <c r="O53" s="80">
        <v>7.22</v>
      </c>
      <c r="P53" s="80">
        <v>2750</v>
      </c>
      <c r="Q53" s="80">
        <v>0.94</v>
      </c>
      <c r="R53" s="80">
        <v>88.8</v>
      </c>
      <c r="S53" s="73" t="str">
        <f t="shared" si="2"/>
        <v>EG1R-480-450-68</v>
      </c>
      <c r="T53" s="78" t="str">
        <f>VLOOKUP(CONCATENATE(A53,"_W"),A53:S$318,19,FALSE)</f>
        <v>EG1R480-450-16W</v>
      </c>
      <c r="U53" s="78" t="s">
        <v>315</v>
      </c>
    </row>
    <row r="54" spans="1:21" x14ac:dyDescent="0.3">
      <c r="A54" s="73" t="str">
        <f t="shared" si="1"/>
        <v>450_208_3</v>
      </c>
      <c r="B54" s="68">
        <v>42583</v>
      </c>
      <c r="C54" s="69" t="s">
        <v>248</v>
      </c>
      <c r="D54" s="74">
        <v>450</v>
      </c>
      <c r="E54" s="74">
        <v>208</v>
      </c>
      <c r="F54" s="74">
        <v>3</v>
      </c>
      <c r="G54" s="75">
        <f t="shared" si="0"/>
        <v>4.0230600000000001</v>
      </c>
      <c r="H54" s="74">
        <v>0</v>
      </c>
      <c r="I54" s="74" t="s">
        <v>249</v>
      </c>
      <c r="J54" s="76" t="s">
        <v>318</v>
      </c>
      <c r="K54" s="78" t="s">
        <v>319</v>
      </c>
      <c r="L54" s="78" t="s">
        <v>252</v>
      </c>
      <c r="M54" s="79" t="s">
        <v>320</v>
      </c>
      <c r="N54" s="80">
        <v>96</v>
      </c>
      <c r="O54" s="80">
        <v>8.08</v>
      </c>
      <c r="P54" s="80">
        <v>2040</v>
      </c>
      <c r="Q54" s="80">
        <v>0.95</v>
      </c>
      <c r="R54" s="80">
        <v>87.2</v>
      </c>
      <c r="S54" s="73" t="str">
        <f t="shared" si="2"/>
        <v>EG1R-240-450-48</v>
      </c>
      <c r="T54" s="78" t="str">
        <f>VLOOKUP(CONCATENATE(A54,"_W"),A54:S$318,19,FALSE)</f>
        <v>EG1R240-450-13W</v>
      </c>
      <c r="U54" s="78" t="s">
        <v>321</v>
      </c>
    </row>
    <row r="55" spans="1:21" x14ac:dyDescent="0.3">
      <c r="A55" s="73" t="str">
        <f t="shared" si="1"/>
        <v>450_208_6</v>
      </c>
      <c r="B55" s="68">
        <v>42583</v>
      </c>
      <c r="C55" s="69" t="s">
        <v>248</v>
      </c>
      <c r="D55" s="74">
        <v>450</v>
      </c>
      <c r="E55" s="74">
        <v>208</v>
      </c>
      <c r="F55" s="74">
        <v>6</v>
      </c>
      <c r="G55" s="75">
        <f t="shared" si="0"/>
        <v>8.0461200000000002</v>
      </c>
      <c r="H55" s="74">
        <v>0</v>
      </c>
      <c r="I55" s="74" t="s">
        <v>249</v>
      </c>
      <c r="J55" s="76" t="s">
        <v>322</v>
      </c>
      <c r="K55" s="78" t="s">
        <v>323</v>
      </c>
      <c r="L55" s="78" t="s">
        <v>252</v>
      </c>
      <c r="M55" s="79" t="s">
        <v>324</v>
      </c>
      <c r="N55" s="80">
        <v>128</v>
      </c>
      <c r="O55" s="80">
        <v>16.350000000000001</v>
      </c>
      <c r="P55" s="80">
        <v>2750</v>
      </c>
      <c r="Q55" s="80">
        <v>0.95</v>
      </c>
      <c r="R55" s="80">
        <v>87</v>
      </c>
      <c r="S55" s="73" t="str">
        <f t="shared" si="2"/>
        <v>EG1R-240-450-68</v>
      </c>
      <c r="T55" s="78" t="str">
        <f>VLOOKUP(CONCATENATE(A55,"_W"),A55:S$318,19,FALSE)</f>
        <v>EG1R240-450-16W</v>
      </c>
      <c r="U55" s="78" t="s">
        <v>325</v>
      </c>
    </row>
    <row r="56" spans="1:21" x14ac:dyDescent="0.3">
      <c r="A56" s="73" t="str">
        <f t="shared" si="1"/>
        <v>450_208_3</v>
      </c>
      <c r="B56" s="68">
        <v>42583</v>
      </c>
      <c r="C56" s="69" t="s">
        <v>248</v>
      </c>
      <c r="D56" s="74">
        <v>450</v>
      </c>
      <c r="E56" s="74">
        <v>208</v>
      </c>
      <c r="F56" s="74">
        <v>3</v>
      </c>
      <c r="G56" s="75">
        <f t="shared" si="0"/>
        <v>4.0230600000000001</v>
      </c>
      <c r="H56" s="74">
        <v>1</v>
      </c>
      <c r="I56" s="74" t="s">
        <v>249</v>
      </c>
      <c r="J56" s="76" t="s">
        <v>326</v>
      </c>
      <c r="K56" s="78" t="s">
        <v>319</v>
      </c>
      <c r="L56" s="78" t="s">
        <v>256</v>
      </c>
      <c r="M56" s="79" t="s">
        <v>320</v>
      </c>
      <c r="N56" s="80">
        <v>96</v>
      </c>
      <c r="O56" s="80">
        <v>8.08</v>
      </c>
      <c r="P56" s="80">
        <v>2040</v>
      </c>
      <c r="Q56" s="80">
        <v>0.95</v>
      </c>
      <c r="R56" s="80">
        <v>87.2</v>
      </c>
      <c r="S56" s="73" t="str">
        <f t="shared" si="2"/>
        <v>EG1R-240-450-48</v>
      </c>
      <c r="T56" s="78" t="str">
        <f>VLOOKUP(CONCATENATE(A56,"_W"),A56:S$318,19,FALSE)</f>
        <v>EG1R240-450-13W</v>
      </c>
      <c r="U56" s="78" t="s">
        <v>321</v>
      </c>
    </row>
    <row r="57" spans="1:21" x14ac:dyDescent="0.3">
      <c r="A57" s="73" t="str">
        <f t="shared" si="1"/>
        <v>450_208_6</v>
      </c>
      <c r="B57" s="68">
        <v>42583</v>
      </c>
      <c r="C57" s="69" t="s">
        <v>248</v>
      </c>
      <c r="D57" s="74">
        <v>450</v>
      </c>
      <c r="E57" s="74">
        <v>208</v>
      </c>
      <c r="F57" s="74">
        <v>6</v>
      </c>
      <c r="G57" s="75">
        <f t="shared" si="0"/>
        <v>8.0461200000000002</v>
      </c>
      <c r="H57" s="74">
        <v>1</v>
      </c>
      <c r="I57" s="74" t="s">
        <v>249</v>
      </c>
      <c r="J57" s="76" t="s">
        <v>327</v>
      </c>
      <c r="K57" s="78" t="s">
        <v>323</v>
      </c>
      <c r="L57" s="78" t="s">
        <v>256</v>
      </c>
      <c r="M57" s="79" t="s">
        <v>324</v>
      </c>
      <c r="N57" s="80">
        <v>128</v>
      </c>
      <c r="O57" s="80">
        <v>16.350000000000001</v>
      </c>
      <c r="P57" s="80">
        <v>2750</v>
      </c>
      <c r="Q57" s="80">
        <v>0.95</v>
      </c>
      <c r="R57" s="80">
        <v>87</v>
      </c>
      <c r="S57" s="73" t="str">
        <f t="shared" si="2"/>
        <v>EG1R-240-450-68</v>
      </c>
      <c r="T57" s="78" t="str">
        <f>VLOOKUP(CONCATENATE(A57,"_W"),A57:S$318,19,FALSE)</f>
        <v>EG1R240-450-16W</v>
      </c>
      <c r="U57" s="78" t="s">
        <v>325</v>
      </c>
    </row>
    <row r="58" spans="1:21" x14ac:dyDescent="0.3">
      <c r="A58" s="73" t="str">
        <f t="shared" si="1"/>
        <v>450_230_3</v>
      </c>
      <c r="B58" s="68">
        <v>42583</v>
      </c>
      <c r="C58" s="69" t="s">
        <v>248</v>
      </c>
      <c r="D58" s="74">
        <v>450</v>
      </c>
      <c r="E58" s="74">
        <v>230</v>
      </c>
      <c r="F58" s="74">
        <v>3</v>
      </c>
      <c r="G58" s="75">
        <f t="shared" si="0"/>
        <v>4.0230600000000001</v>
      </c>
      <c r="H58" s="74">
        <v>0</v>
      </c>
      <c r="I58" s="74" t="s">
        <v>249</v>
      </c>
      <c r="J58" s="76" t="s">
        <v>318</v>
      </c>
      <c r="K58" s="78" t="s">
        <v>319</v>
      </c>
      <c r="L58" s="78" t="s">
        <v>252</v>
      </c>
      <c r="M58" s="79" t="s">
        <v>320</v>
      </c>
      <c r="N58" s="80">
        <v>96</v>
      </c>
      <c r="O58" s="80">
        <v>7.3</v>
      </c>
      <c r="P58" s="80">
        <v>2040</v>
      </c>
      <c r="Q58" s="80">
        <v>0.95</v>
      </c>
      <c r="R58" s="80">
        <v>87.2</v>
      </c>
      <c r="S58" s="73" t="str">
        <f t="shared" si="2"/>
        <v>EG1R-240-450-48</v>
      </c>
      <c r="T58" s="78" t="str">
        <f>VLOOKUP(CONCATENATE(A58,"_W"),A58:S$318,19,FALSE)</f>
        <v>EG1R240-450-13W</v>
      </c>
      <c r="U58" s="78" t="s">
        <v>328</v>
      </c>
    </row>
    <row r="59" spans="1:21" x14ac:dyDescent="0.3">
      <c r="A59" s="73" t="str">
        <f t="shared" si="1"/>
        <v>450_230_6</v>
      </c>
      <c r="B59" s="68">
        <v>42583</v>
      </c>
      <c r="C59" s="69" t="s">
        <v>248</v>
      </c>
      <c r="D59" s="74">
        <v>450</v>
      </c>
      <c r="E59" s="74">
        <v>230</v>
      </c>
      <c r="F59" s="74">
        <v>6</v>
      </c>
      <c r="G59" s="75">
        <f t="shared" si="0"/>
        <v>8.0461200000000002</v>
      </c>
      <c r="H59" s="74">
        <v>0</v>
      </c>
      <c r="I59" s="74" t="s">
        <v>249</v>
      </c>
      <c r="J59" s="76" t="s">
        <v>322</v>
      </c>
      <c r="K59" s="78" t="s">
        <v>323</v>
      </c>
      <c r="L59" s="78" t="s">
        <v>252</v>
      </c>
      <c r="M59" s="79" t="s">
        <v>324</v>
      </c>
      <c r="N59" s="80">
        <v>128</v>
      </c>
      <c r="O59" s="80">
        <v>14.78</v>
      </c>
      <c r="P59" s="80">
        <v>2750</v>
      </c>
      <c r="Q59" s="80">
        <v>0.95</v>
      </c>
      <c r="R59" s="80">
        <v>87</v>
      </c>
      <c r="S59" s="73" t="str">
        <f t="shared" si="2"/>
        <v>EG1R-240-450-68</v>
      </c>
      <c r="T59" s="78" t="str">
        <f>VLOOKUP(CONCATENATE(A59,"_W"),A59:S$318,19,FALSE)</f>
        <v>EG1R240-450-16W</v>
      </c>
      <c r="U59" s="78" t="s">
        <v>329</v>
      </c>
    </row>
    <row r="60" spans="1:21" x14ac:dyDescent="0.3">
      <c r="A60" s="73" t="str">
        <f t="shared" si="1"/>
        <v>450_230_3</v>
      </c>
      <c r="B60" s="68">
        <v>42583</v>
      </c>
      <c r="C60" s="69" t="s">
        <v>248</v>
      </c>
      <c r="D60" s="74">
        <v>450</v>
      </c>
      <c r="E60" s="74">
        <v>230</v>
      </c>
      <c r="F60" s="74">
        <v>3</v>
      </c>
      <c r="G60" s="75">
        <f t="shared" si="0"/>
        <v>4.0230600000000001</v>
      </c>
      <c r="H60" s="74">
        <v>1</v>
      </c>
      <c r="I60" s="74" t="s">
        <v>249</v>
      </c>
      <c r="J60" s="76" t="s">
        <v>326</v>
      </c>
      <c r="K60" s="78" t="s">
        <v>319</v>
      </c>
      <c r="L60" s="78" t="s">
        <v>256</v>
      </c>
      <c r="M60" s="79" t="s">
        <v>320</v>
      </c>
      <c r="N60" s="80">
        <v>96</v>
      </c>
      <c r="O60" s="80">
        <v>7.3</v>
      </c>
      <c r="P60" s="80">
        <v>2040</v>
      </c>
      <c r="Q60" s="80">
        <v>0.95</v>
      </c>
      <c r="R60" s="80">
        <v>87.2</v>
      </c>
      <c r="S60" s="73" t="str">
        <f t="shared" si="2"/>
        <v>EG1R-240-450-48</v>
      </c>
      <c r="T60" s="78" t="str">
        <f>VLOOKUP(CONCATENATE(A60,"_W"),A60:S$318,19,FALSE)</f>
        <v>EG1R240-450-13W</v>
      </c>
      <c r="U60" s="78" t="s">
        <v>328</v>
      </c>
    </row>
    <row r="61" spans="1:21" x14ac:dyDescent="0.3">
      <c r="A61" s="73" t="str">
        <f t="shared" si="1"/>
        <v>450_230_6</v>
      </c>
      <c r="B61" s="68">
        <v>42583</v>
      </c>
      <c r="C61" s="69" t="s">
        <v>248</v>
      </c>
      <c r="D61" s="74">
        <v>450</v>
      </c>
      <c r="E61" s="74">
        <v>230</v>
      </c>
      <c r="F61" s="74">
        <v>6</v>
      </c>
      <c r="G61" s="75">
        <f t="shared" si="0"/>
        <v>8.0461200000000002</v>
      </c>
      <c r="H61" s="74">
        <v>1</v>
      </c>
      <c r="I61" s="74" t="s">
        <v>249</v>
      </c>
      <c r="J61" s="76" t="s">
        <v>327</v>
      </c>
      <c r="K61" s="78" t="s">
        <v>323</v>
      </c>
      <c r="L61" s="78" t="s">
        <v>256</v>
      </c>
      <c r="M61" s="79" t="s">
        <v>324</v>
      </c>
      <c r="N61" s="80">
        <v>128</v>
      </c>
      <c r="O61" s="80">
        <v>14.78</v>
      </c>
      <c r="P61" s="80">
        <v>2750</v>
      </c>
      <c r="Q61" s="80">
        <v>0.95</v>
      </c>
      <c r="R61" s="80">
        <v>87</v>
      </c>
      <c r="S61" s="73" t="str">
        <f t="shared" si="2"/>
        <v>EG1R-240-450-68</v>
      </c>
      <c r="T61" s="78" t="str">
        <f>VLOOKUP(CONCATENATE(A61,"_W"),A61:S$318,19,FALSE)</f>
        <v>EG1R240-450-16W</v>
      </c>
      <c r="U61" s="78" t="s">
        <v>329</v>
      </c>
    </row>
    <row r="62" spans="1:21" x14ac:dyDescent="0.3">
      <c r="A62" s="44" t="str">
        <f>CONCATENATE(D62,"_",E62,"_",F62)</f>
        <v>45_0_0</v>
      </c>
      <c r="B62" s="45">
        <v>42583</v>
      </c>
      <c r="C62" s="46" t="s">
        <v>248</v>
      </c>
      <c r="D62" s="47">
        <v>45</v>
      </c>
      <c r="E62" s="47">
        <v>0</v>
      </c>
      <c r="F62" s="47">
        <v>0</v>
      </c>
      <c r="G62" s="48">
        <f>F62*1.34102</f>
        <v>0</v>
      </c>
      <c r="H62" s="47" t="s">
        <v>263</v>
      </c>
      <c r="I62" s="47" t="s">
        <v>263</v>
      </c>
      <c r="J62" s="49" t="s">
        <v>263</v>
      </c>
      <c r="K62" s="50" t="s">
        <v>263</v>
      </c>
      <c r="L62" s="51" t="s">
        <v>263</v>
      </c>
      <c r="M62" s="52" t="s">
        <v>263</v>
      </c>
      <c r="N62" s="50" t="s">
        <v>263</v>
      </c>
      <c r="O62" s="50" t="s">
        <v>263</v>
      </c>
      <c r="P62" s="50" t="s">
        <v>263</v>
      </c>
      <c r="Q62" s="50" t="s">
        <v>263</v>
      </c>
      <c r="R62" s="50" t="s">
        <v>263</v>
      </c>
      <c r="S62" s="44" t="s">
        <v>215</v>
      </c>
      <c r="T62" s="51" t="s">
        <v>263</v>
      </c>
      <c r="U62" s="51" t="s">
        <v>263</v>
      </c>
    </row>
    <row r="63" spans="1:21" x14ac:dyDescent="0.3">
      <c r="A63" s="73" t="str">
        <f t="shared" si="1"/>
        <v>500_460_3</v>
      </c>
      <c r="B63" s="68">
        <v>42583</v>
      </c>
      <c r="C63" s="69" t="s">
        <v>248</v>
      </c>
      <c r="D63" s="74">
        <v>500</v>
      </c>
      <c r="E63" s="74">
        <v>460</v>
      </c>
      <c r="F63" s="74">
        <v>3</v>
      </c>
      <c r="G63" s="75">
        <f t="shared" si="0"/>
        <v>4.0230600000000001</v>
      </c>
      <c r="H63" s="74">
        <v>0</v>
      </c>
      <c r="I63" s="74" t="s">
        <v>249</v>
      </c>
      <c r="J63" s="76" t="s">
        <v>330</v>
      </c>
      <c r="K63" s="77" t="s">
        <v>331</v>
      </c>
      <c r="L63" s="78" t="s">
        <v>252</v>
      </c>
      <c r="M63" s="79" t="s">
        <v>332</v>
      </c>
      <c r="N63" s="80">
        <v>100</v>
      </c>
      <c r="O63" s="80">
        <v>3.74</v>
      </c>
      <c r="P63" s="80">
        <v>1780</v>
      </c>
      <c r="Q63" s="80">
        <v>0.94</v>
      </c>
      <c r="R63" s="80">
        <v>88.7</v>
      </c>
      <c r="S63" s="73" t="str">
        <f t="shared" si="2"/>
        <v>EG1R-480-500-48</v>
      </c>
      <c r="T63" s="78" t="str">
        <f>VLOOKUP(CONCATENATE(A63,"_W"),A63:S$318,19,FALSE)</f>
        <v>EG1R480-500-13W</v>
      </c>
      <c r="U63" s="78" t="s">
        <v>333</v>
      </c>
    </row>
    <row r="64" spans="1:21" x14ac:dyDescent="0.3">
      <c r="A64" s="73" t="str">
        <f t="shared" si="1"/>
        <v>500_460_6</v>
      </c>
      <c r="B64" s="68">
        <v>42583</v>
      </c>
      <c r="C64" s="69" t="s">
        <v>248</v>
      </c>
      <c r="D64" s="74">
        <v>500</v>
      </c>
      <c r="E64" s="74">
        <v>460</v>
      </c>
      <c r="F64" s="74">
        <v>6</v>
      </c>
      <c r="G64" s="75">
        <f t="shared" si="0"/>
        <v>8.0461200000000002</v>
      </c>
      <c r="H64" s="74">
        <v>0</v>
      </c>
      <c r="I64" s="74" t="s">
        <v>249</v>
      </c>
      <c r="J64" s="76" t="s">
        <v>334</v>
      </c>
      <c r="K64" s="77" t="s">
        <v>335</v>
      </c>
      <c r="L64" s="78" t="s">
        <v>252</v>
      </c>
      <c r="M64" s="79" t="s">
        <v>336</v>
      </c>
      <c r="N64" s="80">
        <v>130</v>
      </c>
      <c r="O64" s="80">
        <v>7.3</v>
      </c>
      <c r="P64" s="80">
        <v>2200</v>
      </c>
      <c r="Q64" s="80">
        <v>0.95</v>
      </c>
      <c r="R64" s="80">
        <v>88.7</v>
      </c>
      <c r="S64" s="73" t="str">
        <f t="shared" si="2"/>
        <v>EG1R-480-500-58</v>
      </c>
      <c r="T64" s="78" t="str">
        <f>VLOOKUP(CONCATENATE(A64,"_W"),A64:S$318,19,FALSE)</f>
        <v>EG1R480-500-16W</v>
      </c>
      <c r="U64" s="78" t="s">
        <v>337</v>
      </c>
    </row>
    <row r="65" spans="1:21" x14ac:dyDescent="0.3">
      <c r="A65" s="73" t="str">
        <f t="shared" si="1"/>
        <v>500_460_3</v>
      </c>
      <c r="B65" s="68">
        <v>42583</v>
      </c>
      <c r="C65" s="69" t="s">
        <v>248</v>
      </c>
      <c r="D65" s="74">
        <v>500</v>
      </c>
      <c r="E65" s="74">
        <v>460</v>
      </c>
      <c r="F65" s="74">
        <v>3</v>
      </c>
      <c r="G65" s="75">
        <f t="shared" si="0"/>
        <v>4.0230600000000001</v>
      </c>
      <c r="H65" s="74">
        <v>1</v>
      </c>
      <c r="I65" s="74" t="s">
        <v>249</v>
      </c>
      <c r="J65" s="76" t="s">
        <v>338</v>
      </c>
      <c r="K65" s="77" t="s">
        <v>331</v>
      </c>
      <c r="L65" s="78" t="s">
        <v>256</v>
      </c>
      <c r="M65" s="79" t="s">
        <v>332</v>
      </c>
      <c r="N65" s="80">
        <v>100</v>
      </c>
      <c r="O65" s="80">
        <v>3.74</v>
      </c>
      <c r="P65" s="80">
        <v>1780</v>
      </c>
      <c r="Q65" s="80">
        <v>0.94</v>
      </c>
      <c r="R65" s="80">
        <v>88.7</v>
      </c>
      <c r="S65" s="73" t="str">
        <f t="shared" si="2"/>
        <v>EG1R-480-500-48</v>
      </c>
      <c r="T65" s="78" t="str">
        <f>VLOOKUP(CONCATENATE(A65,"_W"),A65:S$318,19,FALSE)</f>
        <v>EG1R480-500-13W</v>
      </c>
      <c r="U65" s="78" t="s">
        <v>333</v>
      </c>
    </row>
    <row r="66" spans="1:21" x14ac:dyDescent="0.3">
      <c r="A66" s="73" t="str">
        <f t="shared" si="1"/>
        <v>500_460_6</v>
      </c>
      <c r="B66" s="68">
        <v>42583</v>
      </c>
      <c r="C66" s="69" t="s">
        <v>248</v>
      </c>
      <c r="D66" s="74">
        <v>500</v>
      </c>
      <c r="E66" s="74">
        <v>460</v>
      </c>
      <c r="F66" s="74">
        <v>6</v>
      </c>
      <c r="G66" s="75">
        <f t="shared" si="0"/>
        <v>8.0461200000000002</v>
      </c>
      <c r="H66" s="74">
        <v>1</v>
      </c>
      <c r="I66" s="74" t="s">
        <v>249</v>
      </c>
      <c r="J66" s="76" t="s">
        <v>339</v>
      </c>
      <c r="K66" s="77" t="s">
        <v>335</v>
      </c>
      <c r="L66" s="78" t="s">
        <v>256</v>
      </c>
      <c r="M66" s="79" t="s">
        <v>336</v>
      </c>
      <c r="N66" s="80">
        <v>130</v>
      </c>
      <c r="O66" s="80">
        <v>7.3</v>
      </c>
      <c r="P66" s="80">
        <v>2200</v>
      </c>
      <c r="Q66" s="80">
        <v>0.95</v>
      </c>
      <c r="R66" s="80">
        <v>88.7</v>
      </c>
      <c r="S66" s="73" t="str">
        <f t="shared" si="2"/>
        <v>EG1R-480-500-58</v>
      </c>
      <c r="T66" s="78" t="str">
        <f>VLOOKUP(CONCATENATE(A66,"_W"),A66:S$318,19,FALSE)</f>
        <v>EG1R480-500-16W</v>
      </c>
      <c r="U66" s="78" t="s">
        <v>337</v>
      </c>
    </row>
    <row r="67" spans="1:21" x14ac:dyDescent="0.3">
      <c r="A67" s="73" t="str">
        <f t="shared" si="1"/>
        <v>500_208_3</v>
      </c>
      <c r="B67" s="68">
        <v>42583</v>
      </c>
      <c r="C67" s="69" t="s">
        <v>248</v>
      </c>
      <c r="D67" s="74">
        <v>500</v>
      </c>
      <c r="E67" s="74">
        <v>208</v>
      </c>
      <c r="F67" s="74">
        <v>3</v>
      </c>
      <c r="G67" s="75">
        <f t="shared" si="0"/>
        <v>4.0230600000000001</v>
      </c>
      <c r="H67" s="74">
        <v>0</v>
      </c>
      <c r="I67" s="74" t="s">
        <v>249</v>
      </c>
      <c r="J67" s="76" t="s">
        <v>340</v>
      </c>
      <c r="K67" s="78" t="s">
        <v>341</v>
      </c>
      <c r="L67" s="78" t="s">
        <v>252</v>
      </c>
      <c r="M67" s="79" t="s">
        <v>342</v>
      </c>
      <c r="N67" s="80">
        <v>100</v>
      </c>
      <c r="O67" s="80">
        <v>8.65</v>
      </c>
      <c r="P67" s="80">
        <v>1780</v>
      </c>
      <c r="Q67" s="80">
        <v>0.95</v>
      </c>
      <c r="R67" s="80">
        <v>86.9</v>
      </c>
      <c r="S67" s="73" t="str">
        <f t="shared" si="2"/>
        <v>EG1R-240-500-48</v>
      </c>
      <c r="T67" s="78" t="str">
        <f>VLOOKUP(CONCATENATE(A67,"_W"),A67:S$318,19,FALSE)</f>
        <v>EG1R240-500-13W</v>
      </c>
      <c r="U67" s="78" t="s">
        <v>343</v>
      </c>
    </row>
    <row r="68" spans="1:21" x14ac:dyDescent="0.3">
      <c r="A68" s="73" t="str">
        <f t="shared" si="1"/>
        <v>500_208_6</v>
      </c>
      <c r="B68" s="68">
        <v>42583</v>
      </c>
      <c r="C68" s="69" t="s">
        <v>248</v>
      </c>
      <c r="D68" s="74">
        <v>500</v>
      </c>
      <c r="E68" s="74">
        <v>208</v>
      </c>
      <c r="F68" s="74">
        <v>6</v>
      </c>
      <c r="G68" s="75">
        <f t="shared" si="0"/>
        <v>8.0461200000000002</v>
      </c>
      <c r="H68" s="74">
        <v>0</v>
      </c>
      <c r="I68" s="74" t="s">
        <v>249</v>
      </c>
      <c r="J68" s="76" t="s">
        <v>344</v>
      </c>
      <c r="K68" s="78" t="s">
        <v>345</v>
      </c>
      <c r="L68" s="78" t="s">
        <v>252</v>
      </c>
      <c r="M68" s="79" t="s">
        <v>346</v>
      </c>
      <c r="N68" s="80">
        <v>130</v>
      </c>
      <c r="O68" s="80">
        <v>15.38</v>
      </c>
      <c r="P68" s="80">
        <v>2200</v>
      </c>
      <c r="Q68" s="80">
        <v>0.95</v>
      </c>
      <c r="R68" s="80">
        <v>86</v>
      </c>
      <c r="S68" s="73" t="str">
        <f t="shared" si="2"/>
        <v>EG1R-240-500-58</v>
      </c>
      <c r="T68" s="78" t="str">
        <f>VLOOKUP(CONCATENATE(A68,"_W"),A68:S$318,19,FALSE)</f>
        <v>EG1R240-500-16W</v>
      </c>
      <c r="U68" s="78" t="s">
        <v>347</v>
      </c>
    </row>
    <row r="69" spans="1:21" x14ac:dyDescent="0.3">
      <c r="A69" s="73" t="str">
        <f t="shared" si="1"/>
        <v>500_208_3</v>
      </c>
      <c r="B69" s="68">
        <v>42583</v>
      </c>
      <c r="C69" s="69" t="s">
        <v>248</v>
      </c>
      <c r="D69" s="74">
        <v>500</v>
      </c>
      <c r="E69" s="74">
        <v>208</v>
      </c>
      <c r="F69" s="74">
        <v>3</v>
      </c>
      <c r="G69" s="75">
        <f t="shared" si="0"/>
        <v>4.0230600000000001</v>
      </c>
      <c r="H69" s="74">
        <v>1</v>
      </c>
      <c r="I69" s="74" t="s">
        <v>249</v>
      </c>
      <c r="J69" s="76" t="s">
        <v>348</v>
      </c>
      <c r="K69" s="78" t="s">
        <v>341</v>
      </c>
      <c r="L69" s="78" t="s">
        <v>256</v>
      </c>
      <c r="M69" s="79" t="s">
        <v>342</v>
      </c>
      <c r="N69" s="80">
        <v>100</v>
      </c>
      <c r="O69" s="80">
        <v>8.65</v>
      </c>
      <c r="P69" s="80">
        <v>1780</v>
      </c>
      <c r="Q69" s="80">
        <v>0.95</v>
      </c>
      <c r="R69" s="80">
        <v>86.9</v>
      </c>
      <c r="S69" s="73" t="str">
        <f t="shared" si="2"/>
        <v>EG1R-240-500-48</v>
      </c>
      <c r="T69" s="78" t="str">
        <f>VLOOKUP(CONCATENATE(A69,"_W"),A69:S$318,19,FALSE)</f>
        <v>EG1R240-500-13W</v>
      </c>
      <c r="U69" s="78" t="s">
        <v>343</v>
      </c>
    </row>
    <row r="70" spans="1:21" x14ac:dyDescent="0.3">
      <c r="A70" s="73" t="str">
        <f t="shared" si="1"/>
        <v>500_208_6</v>
      </c>
      <c r="B70" s="68">
        <v>42583</v>
      </c>
      <c r="C70" s="69" t="s">
        <v>248</v>
      </c>
      <c r="D70" s="74">
        <v>500</v>
      </c>
      <c r="E70" s="74">
        <v>208</v>
      </c>
      <c r="F70" s="74">
        <v>6</v>
      </c>
      <c r="G70" s="75">
        <f t="shared" si="0"/>
        <v>8.0461200000000002</v>
      </c>
      <c r="H70" s="74">
        <v>1</v>
      </c>
      <c r="I70" s="74" t="s">
        <v>249</v>
      </c>
      <c r="J70" s="76" t="s">
        <v>349</v>
      </c>
      <c r="K70" s="78" t="s">
        <v>345</v>
      </c>
      <c r="L70" s="78" t="s">
        <v>256</v>
      </c>
      <c r="M70" s="79" t="s">
        <v>346</v>
      </c>
      <c r="N70" s="80">
        <v>130</v>
      </c>
      <c r="O70" s="80">
        <v>15.38</v>
      </c>
      <c r="P70" s="80">
        <v>2200</v>
      </c>
      <c r="Q70" s="80">
        <v>0.95</v>
      </c>
      <c r="R70" s="80">
        <v>86</v>
      </c>
      <c r="S70" s="73" t="str">
        <f t="shared" si="2"/>
        <v>EG1R-240-500-58</v>
      </c>
      <c r="T70" s="78" t="str">
        <f>VLOOKUP(CONCATENATE(A70,"_W"),A70:S$318,19,FALSE)</f>
        <v>EG1R240-500-16W</v>
      </c>
      <c r="U70" s="78" t="s">
        <v>347</v>
      </c>
    </row>
    <row r="71" spans="1:21" x14ac:dyDescent="0.3">
      <c r="A71" s="73" t="str">
        <f t="shared" si="1"/>
        <v>500_230_3</v>
      </c>
      <c r="B71" s="68">
        <v>42583</v>
      </c>
      <c r="C71" s="69" t="s">
        <v>248</v>
      </c>
      <c r="D71" s="74">
        <v>500</v>
      </c>
      <c r="E71" s="74">
        <v>230</v>
      </c>
      <c r="F71" s="74">
        <v>3</v>
      </c>
      <c r="G71" s="75">
        <f t="shared" si="0"/>
        <v>4.0230600000000001</v>
      </c>
      <c r="H71" s="74">
        <v>0</v>
      </c>
      <c r="I71" s="74" t="s">
        <v>249</v>
      </c>
      <c r="J71" s="76" t="s">
        <v>340</v>
      </c>
      <c r="K71" s="78" t="s">
        <v>341</v>
      </c>
      <c r="L71" s="78" t="s">
        <v>252</v>
      </c>
      <c r="M71" s="79" t="s">
        <v>342</v>
      </c>
      <c r="N71" s="80">
        <v>100</v>
      </c>
      <c r="O71" s="80">
        <v>7.83</v>
      </c>
      <c r="P71" s="80">
        <v>1780</v>
      </c>
      <c r="Q71" s="80">
        <v>0.95</v>
      </c>
      <c r="R71" s="80">
        <v>86.9</v>
      </c>
      <c r="S71" s="73" t="str">
        <f t="shared" si="2"/>
        <v>EG1R-240-500-48</v>
      </c>
      <c r="T71" s="78" t="str">
        <f>VLOOKUP(CONCATENATE(A71,"_W"),A71:S$318,19,FALSE)</f>
        <v>EG1R240-500-13W</v>
      </c>
      <c r="U71" s="78" t="s">
        <v>350</v>
      </c>
    </row>
    <row r="72" spans="1:21" x14ac:dyDescent="0.3">
      <c r="A72" s="73" t="str">
        <f t="shared" si="1"/>
        <v>500_230_6</v>
      </c>
      <c r="B72" s="68">
        <v>42583</v>
      </c>
      <c r="C72" s="69" t="s">
        <v>248</v>
      </c>
      <c r="D72" s="74">
        <v>500</v>
      </c>
      <c r="E72" s="74">
        <v>230</v>
      </c>
      <c r="F72" s="74">
        <v>6</v>
      </c>
      <c r="G72" s="75">
        <f t="shared" si="0"/>
        <v>8.0461200000000002</v>
      </c>
      <c r="H72" s="74">
        <v>0</v>
      </c>
      <c r="I72" s="74" t="s">
        <v>249</v>
      </c>
      <c r="J72" s="76" t="s">
        <v>344</v>
      </c>
      <c r="K72" s="78" t="s">
        <v>345</v>
      </c>
      <c r="L72" s="78" t="s">
        <v>252</v>
      </c>
      <c r="M72" s="79" t="s">
        <v>346</v>
      </c>
      <c r="N72" s="80">
        <v>130</v>
      </c>
      <c r="O72" s="80">
        <v>13.91</v>
      </c>
      <c r="P72" s="80">
        <v>2200</v>
      </c>
      <c r="Q72" s="80">
        <v>0.95</v>
      </c>
      <c r="R72" s="80">
        <v>86</v>
      </c>
      <c r="S72" s="73" t="str">
        <f t="shared" si="2"/>
        <v>EG1R-240-500-58</v>
      </c>
      <c r="T72" s="78" t="str">
        <f>VLOOKUP(CONCATENATE(A72,"_W"),A72:S$318,19,FALSE)</f>
        <v>EG1R240-500-16W</v>
      </c>
      <c r="U72" s="78" t="s">
        <v>351</v>
      </c>
    </row>
    <row r="73" spans="1:21" x14ac:dyDescent="0.3">
      <c r="A73" s="73" t="str">
        <f t="shared" si="1"/>
        <v>500_230_3</v>
      </c>
      <c r="B73" s="68">
        <v>42583</v>
      </c>
      <c r="C73" s="69" t="s">
        <v>248</v>
      </c>
      <c r="D73" s="74">
        <v>500</v>
      </c>
      <c r="E73" s="74">
        <v>230</v>
      </c>
      <c r="F73" s="74">
        <v>3</v>
      </c>
      <c r="G73" s="75">
        <f t="shared" si="0"/>
        <v>4.0230600000000001</v>
      </c>
      <c r="H73" s="74">
        <v>1</v>
      </c>
      <c r="I73" s="74" t="s">
        <v>249</v>
      </c>
      <c r="J73" s="76" t="s">
        <v>348</v>
      </c>
      <c r="K73" s="78" t="s">
        <v>341</v>
      </c>
      <c r="L73" s="78" t="s">
        <v>256</v>
      </c>
      <c r="M73" s="79" t="s">
        <v>342</v>
      </c>
      <c r="N73" s="80">
        <v>100</v>
      </c>
      <c r="O73" s="80">
        <v>7.83</v>
      </c>
      <c r="P73" s="80">
        <v>1780</v>
      </c>
      <c r="Q73" s="80">
        <v>0.95</v>
      </c>
      <c r="R73" s="80">
        <v>86.9</v>
      </c>
      <c r="S73" s="73" t="str">
        <f t="shared" si="2"/>
        <v>EG1R-240-500-48</v>
      </c>
      <c r="T73" s="78" t="str">
        <f>VLOOKUP(CONCATENATE(A73,"_W"),A73:S$318,19,FALSE)</f>
        <v>EG1R240-500-13W</v>
      </c>
      <c r="U73" s="78" t="s">
        <v>350</v>
      </c>
    </row>
    <row r="74" spans="1:21" x14ac:dyDescent="0.3">
      <c r="A74" s="73" t="str">
        <f t="shared" si="1"/>
        <v>500_230_6</v>
      </c>
      <c r="B74" s="68">
        <v>42583</v>
      </c>
      <c r="C74" s="69" t="s">
        <v>248</v>
      </c>
      <c r="D74" s="74">
        <v>500</v>
      </c>
      <c r="E74" s="74">
        <v>230</v>
      </c>
      <c r="F74" s="74">
        <v>6</v>
      </c>
      <c r="G74" s="75">
        <f t="shared" si="0"/>
        <v>8.0461200000000002</v>
      </c>
      <c r="H74" s="74">
        <v>1</v>
      </c>
      <c r="I74" s="74" t="s">
        <v>249</v>
      </c>
      <c r="J74" s="76" t="s">
        <v>349</v>
      </c>
      <c r="K74" s="78" t="s">
        <v>345</v>
      </c>
      <c r="L74" s="78" t="s">
        <v>256</v>
      </c>
      <c r="M74" s="79" t="s">
        <v>346</v>
      </c>
      <c r="N74" s="80">
        <v>130</v>
      </c>
      <c r="O74" s="80">
        <v>13.91</v>
      </c>
      <c r="P74" s="80">
        <v>2200</v>
      </c>
      <c r="Q74" s="80">
        <v>0.95</v>
      </c>
      <c r="R74" s="80">
        <v>86</v>
      </c>
      <c r="S74" s="73" t="str">
        <f t="shared" si="2"/>
        <v>EG1R-240-500-58</v>
      </c>
      <c r="T74" s="78" t="str">
        <f>VLOOKUP(CONCATENATE(A74,"_W"),A74:S$318,19,FALSE)</f>
        <v>EG1R240-500-16W</v>
      </c>
      <c r="U74" s="78" t="s">
        <v>351</v>
      </c>
    </row>
    <row r="75" spans="1:21" x14ac:dyDescent="0.3">
      <c r="A75" s="44" t="str">
        <f>CONCATENATE(D75,"_",E75,"_",F75)</f>
        <v>50_0_0</v>
      </c>
      <c r="B75" s="45">
        <v>42583</v>
      </c>
      <c r="C75" s="46" t="s">
        <v>248</v>
      </c>
      <c r="D75" s="47">
        <v>50</v>
      </c>
      <c r="E75" s="47">
        <v>0</v>
      </c>
      <c r="F75" s="47">
        <v>0</v>
      </c>
      <c r="G75" s="48">
        <f>F75*1.34102</f>
        <v>0</v>
      </c>
      <c r="H75" s="47" t="s">
        <v>263</v>
      </c>
      <c r="I75" s="47" t="s">
        <v>263</v>
      </c>
      <c r="J75" s="49" t="s">
        <v>263</v>
      </c>
      <c r="K75" s="50" t="s">
        <v>263</v>
      </c>
      <c r="L75" s="51" t="s">
        <v>263</v>
      </c>
      <c r="M75" s="52" t="s">
        <v>263</v>
      </c>
      <c r="N75" s="50" t="s">
        <v>263</v>
      </c>
      <c r="O75" s="50" t="s">
        <v>263</v>
      </c>
      <c r="P75" s="50" t="s">
        <v>263</v>
      </c>
      <c r="Q75" s="50" t="s">
        <v>263</v>
      </c>
      <c r="R75" s="50" t="s">
        <v>263</v>
      </c>
      <c r="S75" s="44" t="s">
        <v>218</v>
      </c>
      <c r="T75" s="51" t="s">
        <v>263</v>
      </c>
      <c r="U75" s="51" t="s">
        <v>263</v>
      </c>
    </row>
    <row r="76" spans="1:21" x14ac:dyDescent="0.3">
      <c r="A76" s="73" t="str">
        <f t="shared" si="1"/>
        <v>560_460_3</v>
      </c>
      <c r="B76" s="68">
        <v>42583</v>
      </c>
      <c r="C76" s="69" t="s">
        <v>248</v>
      </c>
      <c r="D76" s="74">
        <v>560</v>
      </c>
      <c r="E76" s="74">
        <v>460</v>
      </c>
      <c r="F76" s="74">
        <v>3</v>
      </c>
      <c r="G76" s="75">
        <f t="shared" si="0"/>
        <v>4.0230600000000001</v>
      </c>
      <c r="H76" s="74">
        <v>0</v>
      </c>
      <c r="I76" s="74" t="s">
        <v>249</v>
      </c>
      <c r="J76" s="76" t="s">
        <v>352</v>
      </c>
      <c r="K76" s="77" t="s">
        <v>353</v>
      </c>
      <c r="L76" s="78" t="s">
        <v>252</v>
      </c>
      <c r="M76" s="79" t="s">
        <v>354</v>
      </c>
      <c r="N76" s="80">
        <v>130</v>
      </c>
      <c r="O76" s="80">
        <v>4</v>
      </c>
      <c r="P76" s="80">
        <v>1500</v>
      </c>
      <c r="Q76" s="80">
        <v>0.94</v>
      </c>
      <c r="R76" s="80">
        <v>90.1</v>
      </c>
      <c r="S76" s="73" t="str">
        <f t="shared" si="2"/>
        <v>EG1R-480-560-48</v>
      </c>
      <c r="T76" s="78" t="str">
        <f>VLOOKUP(CONCATENATE(A76,"_W"),A76:S$318,19,FALSE)</f>
        <v>EG1R480-560-13W</v>
      </c>
      <c r="U76" s="78" t="s">
        <v>355</v>
      </c>
    </row>
    <row r="77" spans="1:21" x14ac:dyDescent="0.3">
      <c r="A77" s="73" t="str">
        <f t="shared" si="1"/>
        <v>560_460_6</v>
      </c>
      <c r="B77" s="68">
        <v>42583</v>
      </c>
      <c r="C77" s="69" t="s">
        <v>248</v>
      </c>
      <c r="D77" s="74">
        <v>560</v>
      </c>
      <c r="E77" s="74">
        <v>460</v>
      </c>
      <c r="F77" s="74">
        <v>6</v>
      </c>
      <c r="G77" s="75">
        <f t="shared" si="0"/>
        <v>8.0461200000000002</v>
      </c>
      <c r="H77" s="74">
        <v>0</v>
      </c>
      <c r="I77" s="74" t="s">
        <v>249</v>
      </c>
      <c r="J77" s="76" t="s">
        <v>356</v>
      </c>
      <c r="K77" s="77" t="s">
        <v>357</v>
      </c>
      <c r="L77" s="78" t="s">
        <v>252</v>
      </c>
      <c r="M77" s="79" t="s">
        <v>358</v>
      </c>
      <c r="N77" s="80">
        <v>160</v>
      </c>
      <c r="O77" s="80">
        <v>6.35</v>
      </c>
      <c r="P77" s="80">
        <v>1750</v>
      </c>
      <c r="Q77" s="80">
        <v>0.94</v>
      </c>
      <c r="R77" s="80">
        <v>90.8</v>
      </c>
      <c r="S77" s="73" t="str">
        <f t="shared" si="2"/>
        <v>EG1R-480-560-68</v>
      </c>
      <c r="T77" s="78" t="str">
        <f>VLOOKUP(CONCATENATE(A77,"_W"),A77:S$318,19,FALSE)</f>
        <v>EG1R480-560-16W</v>
      </c>
      <c r="U77" s="78" t="s">
        <v>359</v>
      </c>
    </row>
    <row r="78" spans="1:21" x14ac:dyDescent="0.3">
      <c r="A78" s="73" t="str">
        <f t="shared" si="1"/>
        <v>560_460_3</v>
      </c>
      <c r="B78" s="68">
        <v>42583</v>
      </c>
      <c r="C78" s="69" t="s">
        <v>248</v>
      </c>
      <c r="D78" s="74">
        <v>560</v>
      </c>
      <c r="E78" s="74">
        <v>460</v>
      </c>
      <c r="F78" s="74">
        <v>3</v>
      </c>
      <c r="G78" s="75">
        <f t="shared" si="0"/>
        <v>4.0230600000000001</v>
      </c>
      <c r="H78" s="74">
        <v>1</v>
      </c>
      <c r="I78" s="74" t="s">
        <v>249</v>
      </c>
      <c r="J78" s="76" t="s">
        <v>360</v>
      </c>
      <c r="K78" s="77" t="s">
        <v>353</v>
      </c>
      <c r="L78" s="78" t="s">
        <v>256</v>
      </c>
      <c r="M78" s="79" t="s">
        <v>354</v>
      </c>
      <c r="N78" s="80">
        <v>130</v>
      </c>
      <c r="O78" s="80">
        <v>4</v>
      </c>
      <c r="P78" s="80">
        <v>1500</v>
      </c>
      <c r="Q78" s="80">
        <v>0.94</v>
      </c>
      <c r="R78" s="80">
        <v>90.1</v>
      </c>
      <c r="S78" s="73" t="str">
        <f t="shared" si="2"/>
        <v>EG1R-480-560-48</v>
      </c>
      <c r="T78" s="78" t="str">
        <f>VLOOKUP(CONCATENATE(A78,"_W"),A78:S$318,19,FALSE)</f>
        <v>EG1R480-560-13W</v>
      </c>
      <c r="U78" s="78" t="s">
        <v>355</v>
      </c>
    </row>
    <row r="79" spans="1:21" x14ac:dyDescent="0.3">
      <c r="A79" s="73" t="str">
        <f t="shared" si="1"/>
        <v>560_460_6</v>
      </c>
      <c r="B79" s="68">
        <v>42583</v>
      </c>
      <c r="C79" s="69" t="s">
        <v>248</v>
      </c>
      <c r="D79" s="74">
        <v>560</v>
      </c>
      <c r="E79" s="74">
        <v>460</v>
      </c>
      <c r="F79" s="74">
        <v>6</v>
      </c>
      <c r="G79" s="75">
        <f t="shared" si="0"/>
        <v>8.0461200000000002</v>
      </c>
      <c r="H79" s="74">
        <v>1</v>
      </c>
      <c r="I79" s="74" t="s">
        <v>249</v>
      </c>
      <c r="J79" s="76" t="s">
        <v>361</v>
      </c>
      <c r="K79" s="77" t="s">
        <v>357</v>
      </c>
      <c r="L79" s="78" t="s">
        <v>256</v>
      </c>
      <c r="M79" s="79" t="s">
        <v>358</v>
      </c>
      <c r="N79" s="80">
        <v>160</v>
      </c>
      <c r="O79" s="80">
        <v>6.35</v>
      </c>
      <c r="P79" s="80">
        <v>1750</v>
      </c>
      <c r="Q79" s="80">
        <v>0.94</v>
      </c>
      <c r="R79" s="80">
        <v>90.8</v>
      </c>
      <c r="S79" s="73" t="str">
        <f t="shared" si="2"/>
        <v>EG1R-480-560-68</v>
      </c>
      <c r="T79" s="78" t="str">
        <f>VLOOKUP(CONCATENATE(A79,"_W"),A79:S$318,19,FALSE)</f>
        <v>EG1R480-560-16W</v>
      </c>
      <c r="U79" s="78" t="s">
        <v>359</v>
      </c>
    </row>
    <row r="80" spans="1:21" x14ac:dyDescent="0.3">
      <c r="A80" s="73" t="str">
        <f t="shared" si="1"/>
        <v>560_208_3</v>
      </c>
      <c r="B80" s="68">
        <v>42583</v>
      </c>
      <c r="C80" s="69" t="s">
        <v>248</v>
      </c>
      <c r="D80" s="74">
        <v>560</v>
      </c>
      <c r="E80" s="74">
        <v>208</v>
      </c>
      <c r="F80" s="74">
        <v>3</v>
      </c>
      <c r="G80" s="75">
        <f t="shared" si="0"/>
        <v>4.0230600000000001</v>
      </c>
      <c r="H80" s="74">
        <v>0</v>
      </c>
      <c r="I80" s="74" t="s">
        <v>249</v>
      </c>
      <c r="J80" s="76" t="s">
        <v>362</v>
      </c>
      <c r="K80" s="78" t="s">
        <v>363</v>
      </c>
      <c r="L80" s="78" t="s">
        <v>252</v>
      </c>
      <c r="M80" s="79" t="s">
        <v>364</v>
      </c>
      <c r="N80" s="80">
        <v>130</v>
      </c>
      <c r="O80" s="80">
        <v>8.85</v>
      </c>
      <c r="P80" s="80">
        <v>1500</v>
      </c>
      <c r="Q80" s="80">
        <v>0.95</v>
      </c>
      <c r="R80" s="80">
        <v>87.8</v>
      </c>
      <c r="S80" s="73" t="str">
        <f t="shared" si="2"/>
        <v>EG1R-240-560-48</v>
      </c>
      <c r="T80" s="78" t="str">
        <f>VLOOKUP(CONCATENATE(A80,"_W"),A80:S$318,19,FALSE)</f>
        <v>EG1R240-560-13W</v>
      </c>
      <c r="U80" s="78" t="s">
        <v>365</v>
      </c>
    </row>
    <row r="81" spans="1:21" x14ac:dyDescent="0.3">
      <c r="A81" s="73" t="str">
        <f t="shared" si="1"/>
        <v>560_208_6</v>
      </c>
      <c r="B81" s="68">
        <v>42583</v>
      </c>
      <c r="C81" s="69" t="s">
        <v>248</v>
      </c>
      <c r="D81" s="74">
        <v>560</v>
      </c>
      <c r="E81" s="74">
        <v>208</v>
      </c>
      <c r="F81" s="74">
        <v>6</v>
      </c>
      <c r="G81" s="75">
        <f t="shared" si="0"/>
        <v>8.0461200000000002</v>
      </c>
      <c r="H81" s="74">
        <v>0</v>
      </c>
      <c r="I81" s="74" t="s">
        <v>249</v>
      </c>
      <c r="J81" s="76" t="s">
        <v>366</v>
      </c>
      <c r="K81" s="78" t="s">
        <v>367</v>
      </c>
      <c r="L81" s="78" t="s">
        <v>252</v>
      </c>
      <c r="M81" s="79" t="s">
        <v>368</v>
      </c>
      <c r="N81" s="80">
        <v>160</v>
      </c>
      <c r="O81" s="80">
        <v>13.46</v>
      </c>
      <c r="P81" s="80">
        <v>1750</v>
      </c>
      <c r="Q81" s="80">
        <v>0.93</v>
      </c>
      <c r="R81" s="80">
        <v>88.3</v>
      </c>
      <c r="S81" s="73" t="str">
        <f t="shared" si="2"/>
        <v>EG1R-240-560-68</v>
      </c>
      <c r="T81" s="78" t="str">
        <f>VLOOKUP(CONCATENATE(A81,"_W"),A81:S$318,19,FALSE)</f>
        <v>EG1R240-560-16W</v>
      </c>
      <c r="U81" s="78" t="s">
        <v>369</v>
      </c>
    </row>
    <row r="82" spans="1:21" x14ac:dyDescent="0.3">
      <c r="A82" s="73" t="str">
        <f t="shared" si="1"/>
        <v>560_208_3</v>
      </c>
      <c r="B82" s="68">
        <v>42583</v>
      </c>
      <c r="C82" s="69" t="s">
        <v>248</v>
      </c>
      <c r="D82" s="74">
        <v>560</v>
      </c>
      <c r="E82" s="74">
        <v>208</v>
      </c>
      <c r="F82" s="74">
        <v>3</v>
      </c>
      <c r="G82" s="75">
        <f t="shared" si="0"/>
        <v>4.0230600000000001</v>
      </c>
      <c r="H82" s="74">
        <v>1</v>
      </c>
      <c r="I82" s="74" t="s">
        <v>249</v>
      </c>
      <c r="J82" s="76" t="s">
        <v>370</v>
      </c>
      <c r="K82" s="78" t="s">
        <v>363</v>
      </c>
      <c r="L82" s="78" t="s">
        <v>256</v>
      </c>
      <c r="M82" s="79" t="s">
        <v>364</v>
      </c>
      <c r="N82" s="80">
        <v>130</v>
      </c>
      <c r="O82" s="80">
        <v>8.85</v>
      </c>
      <c r="P82" s="80">
        <v>1500</v>
      </c>
      <c r="Q82" s="80">
        <v>0.95</v>
      </c>
      <c r="R82" s="80">
        <v>87.8</v>
      </c>
      <c r="S82" s="73" t="str">
        <f t="shared" si="2"/>
        <v>EG1R-240-560-48</v>
      </c>
      <c r="T82" s="78" t="str">
        <f>VLOOKUP(CONCATENATE(A82,"_W"),A82:S$318,19,FALSE)</f>
        <v>EG1R240-560-13W</v>
      </c>
      <c r="U82" s="78" t="s">
        <v>365</v>
      </c>
    </row>
    <row r="83" spans="1:21" x14ac:dyDescent="0.3">
      <c r="A83" s="73" t="str">
        <f t="shared" si="1"/>
        <v>560_208_6</v>
      </c>
      <c r="B83" s="68">
        <v>42583</v>
      </c>
      <c r="C83" s="69" t="s">
        <v>248</v>
      </c>
      <c r="D83" s="74">
        <v>560</v>
      </c>
      <c r="E83" s="74">
        <v>208</v>
      </c>
      <c r="F83" s="74">
        <v>6</v>
      </c>
      <c r="G83" s="75">
        <f t="shared" si="0"/>
        <v>8.0461200000000002</v>
      </c>
      <c r="H83" s="74">
        <v>1</v>
      </c>
      <c r="I83" s="74" t="s">
        <v>249</v>
      </c>
      <c r="J83" s="76" t="s">
        <v>371</v>
      </c>
      <c r="K83" s="78" t="s">
        <v>367</v>
      </c>
      <c r="L83" s="78" t="s">
        <v>256</v>
      </c>
      <c r="M83" s="79" t="s">
        <v>368</v>
      </c>
      <c r="N83" s="80">
        <v>160</v>
      </c>
      <c r="O83" s="80">
        <v>13.46</v>
      </c>
      <c r="P83" s="80">
        <v>1750</v>
      </c>
      <c r="Q83" s="80">
        <v>0.93</v>
      </c>
      <c r="R83" s="80">
        <v>88.3</v>
      </c>
      <c r="S83" s="73" t="str">
        <f t="shared" si="2"/>
        <v>EG1R-240-560-68</v>
      </c>
      <c r="T83" s="78" t="str">
        <f>VLOOKUP(CONCATENATE(A83,"_W"),A83:S$318,19,FALSE)</f>
        <v>EG1R240-560-16W</v>
      </c>
      <c r="U83" s="78" t="s">
        <v>369</v>
      </c>
    </row>
    <row r="84" spans="1:21" x14ac:dyDescent="0.3">
      <c r="A84" s="73" t="str">
        <f t="shared" si="1"/>
        <v>560_230_3</v>
      </c>
      <c r="B84" s="68">
        <v>42583</v>
      </c>
      <c r="C84" s="69" t="s">
        <v>248</v>
      </c>
      <c r="D84" s="74">
        <v>560</v>
      </c>
      <c r="E84" s="74">
        <v>230</v>
      </c>
      <c r="F84" s="74">
        <v>3</v>
      </c>
      <c r="G84" s="75">
        <f t="shared" si="0"/>
        <v>4.0230600000000001</v>
      </c>
      <c r="H84" s="74">
        <v>0</v>
      </c>
      <c r="I84" s="74" t="s">
        <v>249</v>
      </c>
      <c r="J84" s="76" t="s">
        <v>362</v>
      </c>
      <c r="K84" s="78" t="s">
        <v>363</v>
      </c>
      <c r="L84" s="78" t="s">
        <v>252</v>
      </c>
      <c r="M84" s="79" t="s">
        <v>364</v>
      </c>
      <c r="N84" s="80">
        <v>130</v>
      </c>
      <c r="O84" s="80">
        <v>8</v>
      </c>
      <c r="P84" s="80">
        <v>1500</v>
      </c>
      <c r="Q84" s="80">
        <v>0.95</v>
      </c>
      <c r="R84" s="80">
        <v>87.8</v>
      </c>
      <c r="S84" s="73" t="str">
        <f t="shared" si="2"/>
        <v>EG1R-240-560-48</v>
      </c>
      <c r="T84" s="78" t="str">
        <f>VLOOKUP(CONCATENATE(A84,"_W"),A84:S$318,19,FALSE)</f>
        <v>EG1R240-560-13W</v>
      </c>
      <c r="U84" s="78" t="s">
        <v>372</v>
      </c>
    </row>
    <row r="85" spans="1:21" x14ac:dyDescent="0.3">
      <c r="A85" s="73" t="str">
        <f t="shared" si="1"/>
        <v>560_230_6</v>
      </c>
      <c r="B85" s="68">
        <v>42583</v>
      </c>
      <c r="C85" s="69" t="s">
        <v>248</v>
      </c>
      <c r="D85" s="74">
        <v>560</v>
      </c>
      <c r="E85" s="74">
        <v>230</v>
      </c>
      <c r="F85" s="74">
        <v>6</v>
      </c>
      <c r="G85" s="75">
        <f t="shared" si="0"/>
        <v>8.0461200000000002</v>
      </c>
      <c r="H85" s="74">
        <v>0</v>
      </c>
      <c r="I85" s="74" t="s">
        <v>249</v>
      </c>
      <c r="J85" s="76" t="s">
        <v>366</v>
      </c>
      <c r="K85" s="78" t="s">
        <v>367</v>
      </c>
      <c r="L85" s="78" t="s">
        <v>252</v>
      </c>
      <c r="M85" s="79" t="s">
        <v>368</v>
      </c>
      <c r="N85" s="80">
        <v>160</v>
      </c>
      <c r="O85" s="80">
        <v>12.17</v>
      </c>
      <c r="P85" s="80">
        <v>1750</v>
      </c>
      <c r="Q85" s="80">
        <v>0.93</v>
      </c>
      <c r="R85" s="80">
        <v>88.3</v>
      </c>
      <c r="S85" s="73" t="str">
        <f t="shared" si="2"/>
        <v>EG1R-240-560-68</v>
      </c>
      <c r="T85" s="78" t="str">
        <f>VLOOKUP(CONCATENATE(A85,"_W"),A85:S$318,19,FALSE)</f>
        <v>EG1R240-560-16W</v>
      </c>
      <c r="U85" s="78" t="s">
        <v>373</v>
      </c>
    </row>
    <row r="86" spans="1:21" x14ac:dyDescent="0.3">
      <c r="A86" s="73" t="str">
        <f t="shared" si="1"/>
        <v>560_230_3</v>
      </c>
      <c r="B86" s="68">
        <v>42583</v>
      </c>
      <c r="C86" s="69" t="s">
        <v>248</v>
      </c>
      <c r="D86" s="74">
        <v>560</v>
      </c>
      <c r="E86" s="74">
        <v>230</v>
      </c>
      <c r="F86" s="74">
        <v>3</v>
      </c>
      <c r="G86" s="75">
        <f t="shared" ref="G86:G149" si="3">F86*1.34102</f>
        <v>4.0230600000000001</v>
      </c>
      <c r="H86" s="74">
        <v>1</v>
      </c>
      <c r="I86" s="74" t="s">
        <v>249</v>
      </c>
      <c r="J86" s="76" t="s">
        <v>370</v>
      </c>
      <c r="K86" s="78" t="s">
        <v>363</v>
      </c>
      <c r="L86" s="78" t="s">
        <v>256</v>
      </c>
      <c r="M86" s="79" t="s">
        <v>364</v>
      </c>
      <c r="N86" s="80">
        <v>130</v>
      </c>
      <c r="O86" s="80">
        <v>8</v>
      </c>
      <c r="P86" s="80">
        <v>1500</v>
      </c>
      <c r="Q86" s="80">
        <v>0.95</v>
      </c>
      <c r="R86" s="80">
        <v>87.8</v>
      </c>
      <c r="S86" s="73" t="str">
        <f t="shared" si="2"/>
        <v>EG1R-240-560-48</v>
      </c>
      <c r="T86" s="78" t="str">
        <f>VLOOKUP(CONCATENATE(A86,"_W"),A86:S$318,19,FALSE)</f>
        <v>EG1R240-560-13W</v>
      </c>
      <c r="U86" s="78" t="s">
        <v>372</v>
      </c>
    </row>
    <row r="87" spans="1:21" x14ac:dyDescent="0.3">
      <c r="A87" s="73" t="str">
        <f t="shared" ref="A87:A150" si="4">CONCATENATE(D87,"_",E87,"_",F87)</f>
        <v>560_230_6</v>
      </c>
      <c r="B87" s="68">
        <v>42583</v>
      </c>
      <c r="C87" s="69" t="s">
        <v>248</v>
      </c>
      <c r="D87" s="74">
        <v>560</v>
      </c>
      <c r="E87" s="74">
        <v>230</v>
      </c>
      <c r="F87" s="74">
        <v>6</v>
      </c>
      <c r="G87" s="75">
        <f t="shared" si="3"/>
        <v>8.0461200000000002</v>
      </c>
      <c r="H87" s="74">
        <v>1</v>
      </c>
      <c r="I87" s="74" t="s">
        <v>249</v>
      </c>
      <c r="J87" s="76" t="s">
        <v>371</v>
      </c>
      <c r="K87" s="78" t="s">
        <v>367</v>
      </c>
      <c r="L87" s="78" t="s">
        <v>256</v>
      </c>
      <c r="M87" s="79" t="s">
        <v>368</v>
      </c>
      <c r="N87" s="80">
        <v>160</v>
      </c>
      <c r="O87" s="80">
        <v>12.17</v>
      </c>
      <c r="P87" s="80">
        <v>1750</v>
      </c>
      <c r="Q87" s="80">
        <v>0.93</v>
      </c>
      <c r="R87" s="80">
        <v>88.3</v>
      </c>
      <c r="S87" s="73" t="str">
        <f t="shared" ref="S87:S212" si="5">MID(M87,9,50)</f>
        <v>EG1R-240-560-68</v>
      </c>
      <c r="T87" s="78" t="str">
        <f>VLOOKUP(CONCATENATE(A87,"_W"),A87:S$318,19,FALSE)</f>
        <v>EG1R240-560-16W</v>
      </c>
      <c r="U87" s="78" t="s">
        <v>373</v>
      </c>
    </row>
    <row r="88" spans="1:21" x14ac:dyDescent="0.3">
      <c r="A88" s="44" t="str">
        <f>CONCATENATE(D88,"_",E88,"_",F88)</f>
        <v>56_0_0</v>
      </c>
      <c r="B88" s="45">
        <v>42583</v>
      </c>
      <c r="C88" s="46" t="s">
        <v>248</v>
      </c>
      <c r="D88" s="47">
        <v>56</v>
      </c>
      <c r="E88" s="47">
        <v>0</v>
      </c>
      <c r="F88" s="47">
        <v>0</v>
      </c>
      <c r="G88" s="48">
        <f>F88*1.34102</f>
        <v>0</v>
      </c>
      <c r="H88" s="47" t="s">
        <v>263</v>
      </c>
      <c r="I88" s="47" t="s">
        <v>263</v>
      </c>
      <c r="J88" s="49" t="s">
        <v>263</v>
      </c>
      <c r="K88" s="50" t="s">
        <v>263</v>
      </c>
      <c r="L88" s="51" t="s">
        <v>263</v>
      </c>
      <c r="M88" s="52" t="s">
        <v>263</v>
      </c>
      <c r="N88" s="50" t="s">
        <v>263</v>
      </c>
      <c r="O88" s="50" t="s">
        <v>263</v>
      </c>
      <c r="P88" s="50" t="s">
        <v>263</v>
      </c>
      <c r="Q88" s="50" t="s">
        <v>263</v>
      </c>
      <c r="R88" s="50" t="s">
        <v>263</v>
      </c>
      <c r="S88" s="44" t="s">
        <v>221</v>
      </c>
      <c r="T88" s="51" t="s">
        <v>263</v>
      </c>
      <c r="U88" s="51" t="s">
        <v>263</v>
      </c>
    </row>
    <row r="89" spans="1:21" x14ac:dyDescent="0.3">
      <c r="A89" s="73" t="str">
        <f t="shared" si="4"/>
        <v>630_460_3</v>
      </c>
      <c r="B89" s="68">
        <v>42583</v>
      </c>
      <c r="C89" s="69" t="s">
        <v>248</v>
      </c>
      <c r="D89" s="74">
        <v>630</v>
      </c>
      <c r="E89" s="74">
        <v>460</v>
      </c>
      <c r="F89" s="74">
        <v>3</v>
      </c>
      <c r="G89" s="75">
        <f t="shared" si="3"/>
        <v>4.0230600000000001</v>
      </c>
      <c r="H89" s="74">
        <v>0</v>
      </c>
      <c r="I89" s="74" t="s">
        <v>249</v>
      </c>
      <c r="J89" s="76" t="s">
        <v>374</v>
      </c>
      <c r="K89" s="78" t="s">
        <v>375</v>
      </c>
      <c r="L89" s="78" t="s">
        <v>252</v>
      </c>
      <c r="M89" s="79" t="s">
        <v>376</v>
      </c>
      <c r="N89" s="80">
        <v>145</v>
      </c>
      <c r="O89" s="80">
        <v>3.91</v>
      </c>
      <c r="P89" s="80">
        <v>1130</v>
      </c>
      <c r="Q89" s="80">
        <v>0.94</v>
      </c>
      <c r="R89" s="80">
        <v>90.7</v>
      </c>
      <c r="S89" s="73" t="str">
        <f t="shared" si="5"/>
        <v>EG1R-480-630-33</v>
      </c>
      <c r="T89" s="78" t="str">
        <f>VLOOKUP(CONCATENATE(A89,"_W"),A89:S$318,19,FALSE)</f>
        <v>EG1R480-630-13W</v>
      </c>
      <c r="U89" s="78" t="s">
        <v>377</v>
      </c>
    </row>
    <row r="90" spans="1:21" x14ac:dyDescent="0.3">
      <c r="A90" s="73" t="str">
        <f t="shared" si="4"/>
        <v>630_460_6</v>
      </c>
      <c r="B90" s="68">
        <v>42583</v>
      </c>
      <c r="C90" s="69" t="s">
        <v>248</v>
      </c>
      <c r="D90" s="74">
        <v>630</v>
      </c>
      <c r="E90" s="74">
        <v>460</v>
      </c>
      <c r="F90" s="74">
        <v>6</v>
      </c>
      <c r="G90" s="75">
        <f t="shared" si="3"/>
        <v>8.0461200000000002</v>
      </c>
      <c r="H90" s="74">
        <v>0</v>
      </c>
      <c r="I90" s="74" t="s">
        <v>249</v>
      </c>
      <c r="J90" s="76" t="s">
        <v>378</v>
      </c>
      <c r="K90" s="78" t="s">
        <v>379</v>
      </c>
      <c r="L90" s="78" t="s">
        <v>252</v>
      </c>
      <c r="M90" s="79" t="s">
        <v>380</v>
      </c>
      <c r="N90" s="80">
        <v>270</v>
      </c>
      <c r="O90" s="80">
        <v>8.61</v>
      </c>
      <c r="P90" s="80">
        <v>1450</v>
      </c>
      <c r="Q90" s="80">
        <v>0.94</v>
      </c>
      <c r="R90" s="80">
        <v>90.5</v>
      </c>
      <c r="S90" s="73" t="str">
        <f t="shared" si="5"/>
        <v>K3G630-AQ01-05</v>
      </c>
      <c r="T90" s="78" t="str">
        <f>VLOOKUP(CONCATENATE(A90,"_W"),A90:S$318,19,FALSE)</f>
        <v>K3G630-AQ01-05W</v>
      </c>
      <c r="U90" s="78" t="s">
        <v>381</v>
      </c>
    </row>
    <row r="91" spans="1:21" x14ac:dyDescent="0.3">
      <c r="A91" s="73" t="str">
        <f t="shared" si="4"/>
        <v>630_460_7.5</v>
      </c>
      <c r="B91" s="68">
        <v>42583</v>
      </c>
      <c r="C91" s="69" t="s">
        <v>248</v>
      </c>
      <c r="D91" s="74">
        <v>630</v>
      </c>
      <c r="E91" s="74">
        <v>460</v>
      </c>
      <c r="F91" s="74">
        <v>7.5</v>
      </c>
      <c r="G91" s="75">
        <f t="shared" si="3"/>
        <v>10.057650000000001</v>
      </c>
      <c r="H91" s="74">
        <v>0</v>
      </c>
      <c r="I91" s="74" t="s">
        <v>249</v>
      </c>
      <c r="J91" s="76" t="s">
        <v>382</v>
      </c>
      <c r="K91" s="78" t="s">
        <v>383</v>
      </c>
      <c r="L91" s="78" t="s">
        <v>252</v>
      </c>
      <c r="M91" s="79" t="s">
        <v>384</v>
      </c>
      <c r="N91" s="80">
        <v>275</v>
      </c>
      <c r="O91" s="80">
        <v>9</v>
      </c>
      <c r="P91" s="80">
        <v>1500</v>
      </c>
      <c r="Q91" s="80">
        <v>0.95</v>
      </c>
      <c r="R91" s="80">
        <v>89.1</v>
      </c>
      <c r="S91" s="73" t="str">
        <f t="shared" si="5"/>
        <v>K3G630-AR02-01</v>
      </c>
      <c r="T91" s="78" t="str">
        <f>VLOOKUP(CONCATENATE(A91,"_W"),A91:S$318,19,FALSE)</f>
        <v>K3G630-AR02-01W</v>
      </c>
      <c r="U91" s="78" t="s">
        <v>385</v>
      </c>
    </row>
    <row r="92" spans="1:21" x14ac:dyDescent="0.3">
      <c r="A92" s="73" t="str">
        <f t="shared" si="4"/>
        <v>630_460_12</v>
      </c>
      <c r="B92" s="68">
        <v>42583</v>
      </c>
      <c r="C92" s="69" t="s">
        <v>248</v>
      </c>
      <c r="D92" s="74">
        <v>630</v>
      </c>
      <c r="E92" s="74">
        <v>460</v>
      </c>
      <c r="F92" s="74">
        <v>12</v>
      </c>
      <c r="G92" s="75">
        <f t="shared" si="3"/>
        <v>16.09224</v>
      </c>
      <c r="H92" s="74">
        <v>0</v>
      </c>
      <c r="I92" s="74" t="s">
        <v>249</v>
      </c>
      <c r="J92" s="76" t="s">
        <v>386</v>
      </c>
      <c r="K92" s="78" t="s">
        <v>387</v>
      </c>
      <c r="L92" s="78" t="s">
        <v>252</v>
      </c>
      <c r="M92" s="79" t="s">
        <v>388</v>
      </c>
      <c r="N92" s="80">
        <v>352</v>
      </c>
      <c r="O92" s="80">
        <v>14.78</v>
      </c>
      <c r="P92" s="80">
        <v>1850</v>
      </c>
      <c r="Q92" s="80">
        <v>0.95</v>
      </c>
      <c r="R92" s="80">
        <v>88.9</v>
      </c>
      <c r="S92" s="73" t="str">
        <f t="shared" si="5"/>
        <v>K3G630-AS05-01</v>
      </c>
      <c r="T92" s="78" t="str">
        <f>VLOOKUP(CONCATENATE(A92,"_W"),A92:S$318,19,FALSE)</f>
        <v>K3G630-AS05-01W</v>
      </c>
      <c r="U92" s="78" t="s">
        <v>389</v>
      </c>
    </row>
    <row r="93" spans="1:21" x14ac:dyDescent="0.3">
      <c r="A93" s="73" t="str">
        <f t="shared" si="4"/>
        <v>630_460_13.5</v>
      </c>
      <c r="B93" s="68">
        <v>42583</v>
      </c>
      <c r="C93" s="69" t="s">
        <v>248</v>
      </c>
      <c r="D93" s="74">
        <v>630</v>
      </c>
      <c r="E93" s="74">
        <v>460</v>
      </c>
      <c r="F93" s="74">
        <v>13.5</v>
      </c>
      <c r="G93" s="75">
        <f t="shared" si="3"/>
        <v>18.103770000000001</v>
      </c>
      <c r="H93" s="74">
        <v>0</v>
      </c>
      <c r="I93" s="74" t="s">
        <v>249</v>
      </c>
      <c r="J93" s="76" t="s">
        <v>390</v>
      </c>
      <c r="K93" s="78" t="s">
        <v>391</v>
      </c>
      <c r="L93" s="78" t="s">
        <v>252</v>
      </c>
      <c r="M93" s="79" t="s">
        <v>392</v>
      </c>
      <c r="N93" s="80">
        <v>326</v>
      </c>
      <c r="O93" s="80">
        <v>18.260000000000002</v>
      </c>
      <c r="P93" s="80">
        <v>2200</v>
      </c>
      <c r="Q93" s="80">
        <v>0.94</v>
      </c>
      <c r="R93" s="80">
        <v>88.9</v>
      </c>
      <c r="S93" s="73" t="str">
        <f t="shared" si="5"/>
        <v>K3G630-AT09-01</v>
      </c>
      <c r="T93" s="78" t="str">
        <f>VLOOKUP(CONCATENATE(A93,"_W"),A93:S$318,19,FALSE)</f>
        <v>K3G630-AT09-01W</v>
      </c>
      <c r="U93" s="78" t="s">
        <v>393</v>
      </c>
    </row>
    <row r="94" spans="1:21" x14ac:dyDescent="0.3">
      <c r="A94" s="73" t="str">
        <f t="shared" si="4"/>
        <v>630_460_3</v>
      </c>
      <c r="B94" s="68">
        <v>42583</v>
      </c>
      <c r="C94" s="69" t="s">
        <v>248</v>
      </c>
      <c r="D94" s="74">
        <v>630</v>
      </c>
      <c r="E94" s="74">
        <v>460</v>
      </c>
      <c r="F94" s="74">
        <v>3</v>
      </c>
      <c r="G94" s="75">
        <f t="shared" si="3"/>
        <v>4.0230600000000001</v>
      </c>
      <c r="H94" s="74">
        <v>1</v>
      </c>
      <c r="I94" s="74" t="s">
        <v>249</v>
      </c>
      <c r="J94" s="76" t="s">
        <v>394</v>
      </c>
      <c r="K94" s="78" t="s">
        <v>375</v>
      </c>
      <c r="L94" s="78" t="s">
        <v>256</v>
      </c>
      <c r="M94" s="79" t="s">
        <v>376</v>
      </c>
      <c r="N94" s="80">
        <v>145</v>
      </c>
      <c r="O94" s="80">
        <v>3.91</v>
      </c>
      <c r="P94" s="80">
        <v>1130</v>
      </c>
      <c r="Q94" s="80">
        <v>0.94</v>
      </c>
      <c r="R94" s="80">
        <v>90.7</v>
      </c>
      <c r="S94" s="73" t="str">
        <f t="shared" si="5"/>
        <v>EG1R-480-630-33</v>
      </c>
      <c r="T94" s="78" t="str">
        <f>VLOOKUP(CONCATENATE(A94,"_W"),A94:S$318,19,FALSE)</f>
        <v>EG1R480-630-13W</v>
      </c>
      <c r="U94" s="78" t="s">
        <v>377</v>
      </c>
    </row>
    <row r="95" spans="1:21" x14ac:dyDescent="0.3">
      <c r="A95" s="73" t="str">
        <f t="shared" si="4"/>
        <v>630_460_6</v>
      </c>
      <c r="B95" s="68">
        <v>42583</v>
      </c>
      <c r="C95" s="69" t="s">
        <v>248</v>
      </c>
      <c r="D95" s="74">
        <v>630</v>
      </c>
      <c r="E95" s="74">
        <v>460</v>
      </c>
      <c r="F95" s="74">
        <v>6</v>
      </c>
      <c r="G95" s="75">
        <f t="shared" si="3"/>
        <v>8.0461200000000002</v>
      </c>
      <c r="H95" s="74">
        <v>1</v>
      </c>
      <c r="I95" s="74" t="s">
        <v>249</v>
      </c>
      <c r="J95" s="76" t="s">
        <v>395</v>
      </c>
      <c r="K95" s="78" t="s">
        <v>379</v>
      </c>
      <c r="L95" s="78" t="s">
        <v>256</v>
      </c>
      <c r="M95" s="79" t="s">
        <v>380</v>
      </c>
      <c r="N95" s="80">
        <v>270</v>
      </c>
      <c r="O95" s="80">
        <v>8.61</v>
      </c>
      <c r="P95" s="80">
        <v>1450</v>
      </c>
      <c r="Q95" s="80">
        <v>0.94</v>
      </c>
      <c r="R95" s="80">
        <v>90.5</v>
      </c>
      <c r="S95" s="73" t="str">
        <f t="shared" si="5"/>
        <v>K3G630-AQ01-05</v>
      </c>
      <c r="T95" s="78" t="str">
        <f>VLOOKUP(CONCATENATE(A95,"_W"),A95:S$318,19,FALSE)</f>
        <v>K3G630-AQ01-05W</v>
      </c>
      <c r="U95" s="78" t="s">
        <v>381</v>
      </c>
    </row>
    <row r="96" spans="1:21" x14ac:dyDescent="0.3">
      <c r="A96" s="73" t="str">
        <f t="shared" si="4"/>
        <v>630_460_7.5</v>
      </c>
      <c r="B96" s="68">
        <v>42583</v>
      </c>
      <c r="C96" s="69" t="s">
        <v>248</v>
      </c>
      <c r="D96" s="74">
        <v>630</v>
      </c>
      <c r="E96" s="74">
        <v>460</v>
      </c>
      <c r="F96" s="74">
        <v>7.5</v>
      </c>
      <c r="G96" s="75">
        <f t="shared" si="3"/>
        <v>10.057650000000001</v>
      </c>
      <c r="H96" s="74">
        <v>1</v>
      </c>
      <c r="I96" s="74" t="s">
        <v>249</v>
      </c>
      <c r="J96" s="76" t="s">
        <v>396</v>
      </c>
      <c r="K96" s="78" t="s">
        <v>383</v>
      </c>
      <c r="L96" s="78" t="s">
        <v>256</v>
      </c>
      <c r="M96" s="79" t="s">
        <v>384</v>
      </c>
      <c r="N96" s="80">
        <v>275</v>
      </c>
      <c r="O96" s="80">
        <v>9</v>
      </c>
      <c r="P96" s="80">
        <v>1500</v>
      </c>
      <c r="Q96" s="80">
        <v>0.95</v>
      </c>
      <c r="R96" s="80">
        <v>89.1</v>
      </c>
      <c r="S96" s="73" t="str">
        <f t="shared" si="5"/>
        <v>K3G630-AR02-01</v>
      </c>
      <c r="T96" s="78" t="str">
        <f>VLOOKUP(CONCATENATE(A96,"_W"),A96:S$318,19,FALSE)</f>
        <v>K3G630-AR02-01W</v>
      </c>
      <c r="U96" s="78" t="s">
        <v>385</v>
      </c>
    </row>
    <row r="97" spans="1:21" x14ac:dyDescent="0.3">
      <c r="A97" s="73" t="str">
        <f t="shared" si="4"/>
        <v>630_460_12</v>
      </c>
      <c r="B97" s="68">
        <v>42583</v>
      </c>
      <c r="C97" s="69" t="s">
        <v>248</v>
      </c>
      <c r="D97" s="74">
        <v>630</v>
      </c>
      <c r="E97" s="74">
        <v>460</v>
      </c>
      <c r="F97" s="74">
        <v>12</v>
      </c>
      <c r="G97" s="75">
        <f t="shared" si="3"/>
        <v>16.09224</v>
      </c>
      <c r="H97" s="74">
        <v>1</v>
      </c>
      <c r="I97" s="74" t="s">
        <v>249</v>
      </c>
      <c r="J97" s="76" t="s">
        <v>397</v>
      </c>
      <c r="K97" s="78" t="s">
        <v>387</v>
      </c>
      <c r="L97" s="78" t="s">
        <v>256</v>
      </c>
      <c r="M97" s="79" t="s">
        <v>388</v>
      </c>
      <c r="N97" s="80">
        <v>352</v>
      </c>
      <c r="O97" s="80">
        <v>14.78</v>
      </c>
      <c r="P97" s="80">
        <v>1850</v>
      </c>
      <c r="Q97" s="80">
        <v>0.95</v>
      </c>
      <c r="R97" s="80">
        <v>88.9</v>
      </c>
      <c r="S97" s="73" t="str">
        <f t="shared" si="5"/>
        <v>K3G630-AS05-01</v>
      </c>
      <c r="T97" s="78" t="str">
        <f>VLOOKUP(CONCATENATE(A97,"_W"),A97:S$318,19,FALSE)</f>
        <v>K3G630-AS05-01W</v>
      </c>
      <c r="U97" s="78" t="s">
        <v>389</v>
      </c>
    </row>
    <row r="98" spans="1:21" x14ac:dyDescent="0.3">
      <c r="A98" s="73" t="str">
        <f t="shared" si="4"/>
        <v>630_460_13.5</v>
      </c>
      <c r="B98" s="68">
        <v>42583</v>
      </c>
      <c r="C98" s="69" t="s">
        <v>248</v>
      </c>
      <c r="D98" s="74">
        <v>630</v>
      </c>
      <c r="E98" s="74">
        <v>460</v>
      </c>
      <c r="F98" s="74">
        <v>13.5</v>
      </c>
      <c r="G98" s="75">
        <f t="shared" si="3"/>
        <v>18.103770000000001</v>
      </c>
      <c r="H98" s="74">
        <v>1</v>
      </c>
      <c r="I98" s="74" t="s">
        <v>249</v>
      </c>
      <c r="J98" s="76" t="s">
        <v>398</v>
      </c>
      <c r="K98" s="78" t="s">
        <v>391</v>
      </c>
      <c r="L98" s="78" t="s">
        <v>256</v>
      </c>
      <c r="M98" s="79" t="s">
        <v>392</v>
      </c>
      <c r="N98" s="80">
        <v>326</v>
      </c>
      <c r="O98" s="80">
        <v>18.260000000000002</v>
      </c>
      <c r="P98" s="80">
        <v>2200</v>
      </c>
      <c r="Q98" s="80">
        <v>0.94</v>
      </c>
      <c r="R98" s="80">
        <v>88.9</v>
      </c>
      <c r="S98" s="73" t="str">
        <f t="shared" si="5"/>
        <v>K3G630-AT09-01</v>
      </c>
      <c r="T98" s="78" t="str">
        <f>VLOOKUP(CONCATENATE(A98,"_W"),A98:S$318,19,FALSE)</f>
        <v>K3G630-AT09-01W</v>
      </c>
      <c r="U98" s="78" t="s">
        <v>393</v>
      </c>
    </row>
    <row r="99" spans="1:21" x14ac:dyDescent="0.3">
      <c r="A99" s="73" t="str">
        <f t="shared" si="4"/>
        <v>630_208_6</v>
      </c>
      <c r="B99" s="68">
        <v>42583</v>
      </c>
      <c r="C99" s="69" t="s">
        <v>248</v>
      </c>
      <c r="D99" s="74">
        <v>630</v>
      </c>
      <c r="E99" s="74">
        <v>208</v>
      </c>
      <c r="F99" s="74">
        <v>6</v>
      </c>
      <c r="G99" s="75">
        <f t="shared" si="3"/>
        <v>8.0461200000000002</v>
      </c>
      <c r="H99" s="74">
        <v>0</v>
      </c>
      <c r="I99" s="74" t="s">
        <v>249</v>
      </c>
      <c r="J99" s="76" t="s">
        <v>399</v>
      </c>
      <c r="K99" s="78" t="s">
        <v>400</v>
      </c>
      <c r="L99" s="78" t="s">
        <v>252</v>
      </c>
      <c r="M99" s="79" t="s">
        <v>401</v>
      </c>
      <c r="N99" s="80">
        <v>270</v>
      </c>
      <c r="O99" s="80">
        <v>16.829999999999998</v>
      </c>
      <c r="P99" s="80">
        <v>1450</v>
      </c>
      <c r="Q99" s="80">
        <v>0.95</v>
      </c>
      <c r="R99" s="80">
        <v>89.5</v>
      </c>
      <c r="S99" s="73" t="str">
        <f t="shared" si="5"/>
        <v>K3G630-AQ03-19</v>
      </c>
      <c r="T99" s="78" t="str">
        <f>VLOOKUP(CONCATENATE(A99,"_W"),A99:S$318,19,FALSE)</f>
        <v>K3G630-AQ03-19W</v>
      </c>
      <c r="U99" s="78" t="s">
        <v>402</v>
      </c>
    </row>
    <row r="100" spans="1:21" x14ac:dyDescent="0.3">
      <c r="A100" s="73" t="str">
        <f t="shared" si="4"/>
        <v>630_208_6</v>
      </c>
      <c r="B100" s="68">
        <v>42583</v>
      </c>
      <c r="C100" s="69" t="s">
        <v>248</v>
      </c>
      <c r="D100" s="74">
        <v>630</v>
      </c>
      <c r="E100" s="74">
        <v>208</v>
      </c>
      <c r="F100" s="74">
        <v>6</v>
      </c>
      <c r="G100" s="75">
        <f t="shared" si="3"/>
        <v>8.0461200000000002</v>
      </c>
      <c r="H100" s="74">
        <v>1</v>
      </c>
      <c r="I100" s="74" t="s">
        <v>249</v>
      </c>
      <c r="J100" s="76" t="s">
        <v>403</v>
      </c>
      <c r="K100" s="78" t="s">
        <v>400</v>
      </c>
      <c r="L100" s="78" t="s">
        <v>256</v>
      </c>
      <c r="M100" s="79" t="s">
        <v>401</v>
      </c>
      <c r="N100" s="80">
        <v>270</v>
      </c>
      <c r="O100" s="80">
        <v>16.829999999999998</v>
      </c>
      <c r="P100" s="80">
        <v>1450</v>
      </c>
      <c r="Q100" s="80">
        <v>0.95</v>
      </c>
      <c r="R100" s="80">
        <v>89.5</v>
      </c>
      <c r="S100" s="73" t="str">
        <f t="shared" si="5"/>
        <v>K3G630-AQ03-19</v>
      </c>
      <c r="T100" s="78" t="str">
        <f>VLOOKUP(CONCATENATE(A100,"_W"),A100:S$318,19,FALSE)</f>
        <v>K3G630-AQ03-19W</v>
      </c>
      <c r="U100" s="78" t="s">
        <v>402</v>
      </c>
    </row>
    <row r="101" spans="1:21" x14ac:dyDescent="0.3">
      <c r="A101" s="73" t="str">
        <f t="shared" si="4"/>
        <v>630_230_6</v>
      </c>
      <c r="B101" s="68">
        <v>42583</v>
      </c>
      <c r="C101" s="69" t="s">
        <v>248</v>
      </c>
      <c r="D101" s="74">
        <v>630</v>
      </c>
      <c r="E101" s="74">
        <v>230</v>
      </c>
      <c r="F101" s="74">
        <v>6</v>
      </c>
      <c r="G101" s="75">
        <f t="shared" si="3"/>
        <v>8.0461200000000002</v>
      </c>
      <c r="H101" s="74">
        <v>0</v>
      </c>
      <c r="I101" s="74" t="s">
        <v>249</v>
      </c>
      <c r="J101" s="76" t="s">
        <v>399</v>
      </c>
      <c r="K101" s="78" t="s">
        <v>400</v>
      </c>
      <c r="L101" s="78" t="s">
        <v>252</v>
      </c>
      <c r="M101" s="79" t="s">
        <v>401</v>
      </c>
      <c r="N101" s="80">
        <v>270</v>
      </c>
      <c r="O101" s="80">
        <v>15.22</v>
      </c>
      <c r="P101" s="80">
        <v>1450</v>
      </c>
      <c r="Q101" s="80">
        <v>0.95</v>
      </c>
      <c r="R101" s="80">
        <v>89.5</v>
      </c>
      <c r="S101" s="73" t="str">
        <f t="shared" si="5"/>
        <v>K3G630-AQ03-19</v>
      </c>
      <c r="T101" s="78" t="str">
        <f>VLOOKUP(CONCATENATE(A101,"_W"),A101:S$318,19,FALSE)</f>
        <v>K3G630-AQ03-19W</v>
      </c>
      <c r="U101" s="78" t="s">
        <v>404</v>
      </c>
    </row>
    <row r="102" spans="1:21" x14ac:dyDescent="0.3">
      <c r="A102" s="73" t="str">
        <f t="shared" si="4"/>
        <v>630_230_6</v>
      </c>
      <c r="B102" s="68">
        <v>42583</v>
      </c>
      <c r="C102" s="69" t="s">
        <v>248</v>
      </c>
      <c r="D102" s="74">
        <v>630</v>
      </c>
      <c r="E102" s="74">
        <v>230</v>
      </c>
      <c r="F102" s="74">
        <v>6</v>
      </c>
      <c r="G102" s="75">
        <f t="shared" si="3"/>
        <v>8.0461200000000002</v>
      </c>
      <c r="H102" s="74">
        <v>1</v>
      </c>
      <c r="I102" s="74" t="s">
        <v>249</v>
      </c>
      <c r="J102" s="76" t="s">
        <v>403</v>
      </c>
      <c r="K102" s="78" t="s">
        <v>400</v>
      </c>
      <c r="L102" s="78" t="s">
        <v>256</v>
      </c>
      <c r="M102" s="79" t="s">
        <v>401</v>
      </c>
      <c r="N102" s="80">
        <v>270</v>
      </c>
      <c r="O102" s="80">
        <v>15.22</v>
      </c>
      <c r="P102" s="80">
        <v>1450</v>
      </c>
      <c r="Q102" s="80">
        <v>0.95</v>
      </c>
      <c r="R102" s="80">
        <v>89.5</v>
      </c>
      <c r="S102" s="73" t="str">
        <f t="shared" si="5"/>
        <v>K3G630-AQ03-19</v>
      </c>
      <c r="T102" s="78" t="str">
        <f>VLOOKUP(CONCATENATE(A102,"_W"),A102:S$318,19,FALSE)</f>
        <v>K3G630-AQ03-19W</v>
      </c>
      <c r="U102" s="78" t="s">
        <v>404</v>
      </c>
    </row>
    <row r="103" spans="1:21" x14ac:dyDescent="0.3">
      <c r="A103" s="44" t="str">
        <f>CONCATENATE(D103,"_",E103,"_",F103)</f>
        <v>63_0_0</v>
      </c>
      <c r="B103" s="45">
        <v>42583</v>
      </c>
      <c r="C103" s="46" t="s">
        <v>248</v>
      </c>
      <c r="D103" s="47">
        <v>63</v>
      </c>
      <c r="E103" s="47">
        <v>0</v>
      </c>
      <c r="F103" s="47">
        <v>0</v>
      </c>
      <c r="G103" s="48">
        <f>F103*1.34102</f>
        <v>0</v>
      </c>
      <c r="H103" s="47" t="s">
        <v>263</v>
      </c>
      <c r="I103" s="47" t="s">
        <v>263</v>
      </c>
      <c r="J103" s="49" t="s">
        <v>263</v>
      </c>
      <c r="K103" s="50" t="s">
        <v>263</v>
      </c>
      <c r="L103" s="51" t="s">
        <v>263</v>
      </c>
      <c r="M103" s="52" t="s">
        <v>263</v>
      </c>
      <c r="N103" s="50" t="s">
        <v>263</v>
      </c>
      <c r="O103" s="50" t="s">
        <v>263</v>
      </c>
      <c r="P103" s="50" t="s">
        <v>263</v>
      </c>
      <c r="Q103" s="50" t="s">
        <v>263</v>
      </c>
      <c r="R103" s="50" t="s">
        <v>263</v>
      </c>
      <c r="S103" s="44" t="s">
        <v>222</v>
      </c>
      <c r="T103" s="51" t="s">
        <v>263</v>
      </c>
      <c r="U103" s="51" t="s">
        <v>263</v>
      </c>
    </row>
    <row r="104" spans="1:21" x14ac:dyDescent="0.3">
      <c r="A104" s="73" t="str">
        <f t="shared" si="4"/>
        <v>710_460_3</v>
      </c>
      <c r="B104" s="68">
        <v>42583</v>
      </c>
      <c r="C104" s="69" t="s">
        <v>248</v>
      </c>
      <c r="D104" s="74">
        <v>710</v>
      </c>
      <c r="E104" s="74">
        <v>460</v>
      </c>
      <c r="F104" s="74">
        <v>3</v>
      </c>
      <c r="G104" s="75">
        <f t="shared" si="3"/>
        <v>4.0230600000000001</v>
      </c>
      <c r="H104" s="74">
        <v>0</v>
      </c>
      <c r="I104" s="74" t="s">
        <v>249</v>
      </c>
      <c r="J104" s="76" t="s">
        <v>405</v>
      </c>
      <c r="K104" s="78" t="s">
        <v>406</v>
      </c>
      <c r="L104" s="78" t="s">
        <v>252</v>
      </c>
      <c r="M104" s="79" t="s">
        <v>407</v>
      </c>
      <c r="N104" s="80">
        <v>297</v>
      </c>
      <c r="O104" s="80">
        <v>3.74</v>
      </c>
      <c r="P104" s="80">
        <v>920</v>
      </c>
      <c r="Q104" s="80">
        <v>0.94</v>
      </c>
      <c r="R104" s="80">
        <v>89.3</v>
      </c>
      <c r="S104" s="73" t="str">
        <f t="shared" si="5"/>
        <v>EG1R-480-710-02</v>
      </c>
      <c r="T104" s="78" t="str">
        <f>VLOOKUP(CONCATENATE(A104,"_W"),A104:S$318,19,FALSE)</f>
        <v>EG1R480-710-13W</v>
      </c>
      <c r="U104" s="78" t="s">
        <v>408</v>
      </c>
    </row>
    <row r="105" spans="1:21" x14ac:dyDescent="0.3">
      <c r="A105" s="73" t="str">
        <f t="shared" si="4"/>
        <v>710_460_6</v>
      </c>
      <c r="B105" s="68">
        <v>42583</v>
      </c>
      <c r="C105" s="69" t="s">
        <v>248</v>
      </c>
      <c r="D105" s="74">
        <v>710</v>
      </c>
      <c r="E105" s="74">
        <v>460</v>
      </c>
      <c r="F105" s="74">
        <v>6</v>
      </c>
      <c r="G105" s="75">
        <f t="shared" si="3"/>
        <v>8.0461200000000002</v>
      </c>
      <c r="H105" s="74">
        <v>0</v>
      </c>
      <c r="I105" s="74" t="s">
        <v>249</v>
      </c>
      <c r="J105" s="76" t="s">
        <v>409</v>
      </c>
      <c r="K105" s="78" t="s">
        <v>410</v>
      </c>
      <c r="L105" s="78" t="s">
        <v>252</v>
      </c>
      <c r="M105" s="79" t="s">
        <v>411</v>
      </c>
      <c r="N105" s="80">
        <v>354</v>
      </c>
      <c r="O105" s="80">
        <v>8.17</v>
      </c>
      <c r="P105" s="80">
        <v>1200</v>
      </c>
      <c r="Q105" s="80">
        <v>0.95</v>
      </c>
      <c r="R105" s="80">
        <v>89</v>
      </c>
      <c r="S105" s="73" t="str">
        <f t="shared" si="5"/>
        <v>K3G710-AQ01-09</v>
      </c>
      <c r="T105" s="78" t="str">
        <f>VLOOKUP(CONCATENATE(A105,"_W"),A105:S$318,19,FALSE)</f>
        <v>K3G710-AQ01-09W</v>
      </c>
      <c r="U105" s="78" t="s">
        <v>412</v>
      </c>
    </row>
    <row r="106" spans="1:21" x14ac:dyDescent="0.3">
      <c r="A106" s="73" t="str">
        <f t="shared" si="4"/>
        <v>710_460_7.5</v>
      </c>
      <c r="B106" s="68">
        <v>42583</v>
      </c>
      <c r="C106" s="69" t="s">
        <v>248</v>
      </c>
      <c r="D106" s="74">
        <v>710</v>
      </c>
      <c r="E106" s="74">
        <v>460</v>
      </c>
      <c r="F106" s="74">
        <v>7.5</v>
      </c>
      <c r="G106" s="75">
        <f t="shared" si="3"/>
        <v>10.057650000000001</v>
      </c>
      <c r="H106" s="74">
        <v>0</v>
      </c>
      <c r="I106" s="74" t="s">
        <v>249</v>
      </c>
      <c r="J106" s="76" t="s">
        <v>413</v>
      </c>
      <c r="K106" s="78" t="s">
        <v>414</v>
      </c>
      <c r="L106" s="78" t="s">
        <v>252</v>
      </c>
      <c r="M106" s="79" t="s">
        <v>415</v>
      </c>
      <c r="N106" s="80">
        <v>359</v>
      </c>
      <c r="O106" s="80">
        <v>10.26</v>
      </c>
      <c r="P106" s="80">
        <v>1300</v>
      </c>
      <c r="Q106" s="80">
        <v>0.95</v>
      </c>
      <c r="R106" s="80">
        <v>89.2</v>
      </c>
      <c r="S106" s="73" t="str">
        <f t="shared" si="5"/>
        <v>K3G710-AR03-01</v>
      </c>
      <c r="T106" s="78" t="str">
        <f>VLOOKUP(CONCATENATE(A106,"_W"),A106:S$318,19,FALSE)</f>
        <v>K3G710-AR03-01W</v>
      </c>
      <c r="U106" s="78" t="s">
        <v>416</v>
      </c>
    </row>
    <row r="107" spans="1:21" x14ac:dyDescent="0.3">
      <c r="A107" s="73" t="str">
        <f t="shared" si="4"/>
        <v>710_460_12</v>
      </c>
      <c r="B107" s="68">
        <v>42583</v>
      </c>
      <c r="C107" s="69" t="s">
        <v>248</v>
      </c>
      <c r="D107" s="74">
        <v>710</v>
      </c>
      <c r="E107" s="74">
        <v>460</v>
      </c>
      <c r="F107" s="74">
        <v>12</v>
      </c>
      <c r="G107" s="75">
        <f t="shared" si="3"/>
        <v>16.09224</v>
      </c>
      <c r="H107" s="74">
        <v>0</v>
      </c>
      <c r="I107" s="74" t="s">
        <v>249</v>
      </c>
      <c r="J107" s="76" t="s">
        <v>417</v>
      </c>
      <c r="K107" s="78" t="s">
        <v>418</v>
      </c>
      <c r="L107" s="78" t="s">
        <v>252</v>
      </c>
      <c r="M107" s="79" t="s">
        <v>419</v>
      </c>
      <c r="N107" s="80">
        <v>423</v>
      </c>
      <c r="O107" s="80">
        <v>16.170000000000002</v>
      </c>
      <c r="P107" s="80">
        <v>1550</v>
      </c>
      <c r="Q107" s="80">
        <v>0.94</v>
      </c>
      <c r="R107" s="80">
        <v>89.4</v>
      </c>
      <c r="S107" s="73" t="str">
        <f t="shared" si="5"/>
        <v>K3G710-AS06-01</v>
      </c>
      <c r="T107" s="78" t="str">
        <f>VLOOKUP(CONCATENATE(A107,"_W"),A107:S$318,19,FALSE)</f>
        <v>K3G710-AS06-01W</v>
      </c>
      <c r="U107" s="78" t="s">
        <v>420</v>
      </c>
    </row>
    <row r="108" spans="1:21" x14ac:dyDescent="0.3">
      <c r="A108" s="73" t="str">
        <f t="shared" si="4"/>
        <v>710_460_3</v>
      </c>
      <c r="B108" s="68">
        <v>42583</v>
      </c>
      <c r="C108" s="69" t="s">
        <v>248</v>
      </c>
      <c r="D108" s="74">
        <v>710</v>
      </c>
      <c r="E108" s="74">
        <v>460</v>
      </c>
      <c r="F108" s="74">
        <v>3</v>
      </c>
      <c r="G108" s="75">
        <f t="shared" si="3"/>
        <v>4.0230600000000001</v>
      </c>
      <c r="H108" s="74">
        <v>1</v>
      </c>
      <c r="I108" s="74" t="s">
        <v>249</v>
      </c>
      <c r="J108" s="76" t="s">
        <v>421</v>
      </c>
      <c r="K108" s="78" t="s">
        <v>406</v>
      </c>
      <c r="L108" s="78" t="s">
        <v>256</v>
      </c>
      <c r="M108" s="79" t="s">
        <v>407</v>
      </c>
      <c r="N108" s="80">
        <v>297</v>
      </c>
      <c r="O108" s="80">
        <v>3.74</v>
      </c>
      <c r="P108" s="80">
        <v>920</v>
      </c>
      <c r="Q108" s="80">
        <v>0.94</v>
      </c>
      <c r="R108" s="80">
        <v>89.3</v>
      </c>
      <c r="S108" s="73" t="str">
        <f t="shared" si="5"/>
        <v>EG1R-480-710-02</v>
      </c>
      <c r="T108" s="78" t="str">
        <f>VLOOKUP(CONCATENATE(A108,"_W"),A108:S$318,19,FALSE)</f>
        <v>EG1R480-710-13W</v>
      </c>
      <c r="U108" s="78" t="s">
        <v>408</v>
      </c>
    </row>
    <row r="109" spans="1:21" x14ac:dyDescent="0.3">
      <c r="A109" s="73" t="str">
        <f t="shared" si="4"/>
        <v>710_460_6</v>
      </c>
      <c r="B109" s="68">
        <v>42583</v>
      </c>
      <c r="C109" s="69" t="s">
        <v>248</v>
      </c>
      <c r="D109" s="74">
        <v>710</v>
      </c>
      <c r="E109" s="74">
        <v>460</v>
      </c>
      <c r="F109" s="74">
        <v>6</v>
      </c>
      <c r="G109" s="75">
        <f t="shared" si="3"/>
        <v>8.0461200000000002</v>
      </c>
      <c r="H109" s="74">
        <v>1</v>
      </c>
      <c r="I109" s="74" t="s">
        <v>249</v>
      </c>
      <c r="J109" s="76" t="s">
        <v>422</v>
      </c>
      <c r="K109" s="78" t="s">
        <v>410</v>
      </c>
      <c r="L109" s="78" t="s">
        <v>256</v>
      </c>
      <c r="M109" s="79" t="s">
        <v>411</v>
      </c>
      <c r="N109" s="80">
        <v>354</v>
      </c>
      <c r="O109" s="80">
        <v>8.17</v>
      </c>
      <c r="P109" s="80">
        <v>1200</v>
      </c>
      <c r="Q109" s="80">
        <v>0.95</v>
      </c>
      <c r="R109" s="80">
        <v>89</v>
      </c>
      <c r="S109" s="73" t="str">
        <f t="shared" si="5"/>
        <v>K3G710-AQ01-09</v>
      </c>
      <c r="T109" s="78" t="str">
        <f>VLOOKUP(CONCATENATE(A109,"_W"),A109:S$318,19,FALSE)</f>
        <v>K3G710-AQ01-09W</v>
      </c>
      <c r="U109" s="78" t="s">
        <v>412</v>
      </c>
    </row>
    <row r="110" spans="1:21" x14ac:dyDescent="0.3">
      <c r="A110" s="73" t="str">
        <f t="shared" si="4"/>
        <v>710_460_7.5</v>
      </c>
      <c r="B110" s="68">
        <v>42583</v>
      </c>
      <c r="C110" s="69" t="s">
        <v>248</v>
      </c>
      <c r="D110" s="74">
        <v>710</v>
      </c>
      <c r="E110" s="74">
        <v>460</v>
      </c>
      <c r="F110" s="74">
        <v>7.5</v>
      </c>
      <c r="G110" s="75">
        <f t="shared" si="3"/>
        <v>10.057650000000001</v>
      </c>
      <c r="H110" s="74">
        <v>1</v>
      </c>
      <c r="I110" s="74" t="s">
        <v>249</v>
      </c>
      <c r="J110" s="76" t="s">
        <v>423</v>
      </c>
      <c r="K110" s="78" t="s">
        <v>414</v>
      </c>
      <c r="L110" s="78" t="s">
        <v>256</v>
      </c>
      <c r="M110" s="79" t="s">
        <v>415</v>
      </c>
      <c r="N110" s="80">
        <v>359</v>
      </c>
      <c r="O110" s="80">
        <v>10.26</v>
      </c>
      <c r="P110" s="80">
        <v>1300</v>
      </c>
      <c r="Q110" s="80">
        <v>0.95</v>
      </c>
      <c r="R110" s="80">
        <v>89.2</v>
      </c>
      <c r="S110" s="73" t="str">
        <f t="shared" si="5"/>
        <v>K3G710-AR03-01</v>
      </c>
      <c r="T110" s="78" t="str">
        <f>VLOOKUP(CONCATENATE(A110,"_W"),A110:S$318,19,FALSE)</f>
        <v>K3G710-AR03-01W</v>
      </c>
      <c r="U110" s="78" t="s">
        <v>416</v>
      </c>
    </row>
    <row r="111" spans="1:21" x14ac:dyDescent="0.3">
      <c r="A111" s="73" t="str">
        <f t="shared" si="4"/>
        <v>710_460_12</v>
      </c>
      <c r="B111" s="68">
        <v>42583</v>
      </c>
      <c r="C111" s="69" t="s">
        <v>248</v>
      </c>
      <c r="D111" s="74">
        <v>710</v>
      </c>
      <c r="E111" s="74">
        <v>460</v>
      </c>
      <c r="F111" s="74">
        <v>12</v>
      </c>
      <c r="G111" s="75">
        <f t="shared" si="3"/>
        <v>16.09224</v>
      </c>
      <c r="H111" s="74">
        <v>1</v>
      </c>
      <c r="I111" s="74" t="s">
        <v>249</v>
      </c>
      <c r="J111" s="76" t="s">
        <v>424</v>
      </c>
      <c r="K111" s="78" t="s">
        <v>418</v>
      </c>
      <c r="L111" s="78" t="s">
        <v>256</v>
      </c>
      <c r="M111" s="79" t="s">
        <v>419</v>
      </c>
      <c r="N111" s="80">
        <v>423</v>
      </c>
      <c r="O111" s="80">
        <v>16.170000000000002</v>
      </c>
      <c r="P111" s="80">
        <v>1550</v>
      </c>
      <c r="Q111" s="80">
        <v>0.94</v>
      </c>
      <c r="R111" s="80">
        <v>89.4</v>
      </c>
      <c r="S111" s="73" t="str">
        <f t="shared" si="5"/>
        <v>K3G710-AS06-01</v>
      </c>
      <c r="T111" s="78" t="str">
        <f>VLOOKUP(CONCATENATE(A111,"_W"),A111:S$318,19,FALSE)</f>
        <v>K3G710-AS06-01W</v>
      </c>
      <c r="U111" s="78" t="s">
        <v>420</v>
      </c>
    </row>
    <row r="112" spans="1:21" x14ac:dyDescent="0.3">
      <c r="A112" s="73" t="str">
        <f t="shared" si="4"/>
        <v>710_208_6</v>
      </c>
      <c r="B112" s="68">
        <v>42583</v>
      </c>
      <c r="C112" s="69" t="s">
        <v>248</v>
      </c>
      <c r="D112" s="74">
        <v>710</v>
      </c>
      <c r="E112" s="74">
        <v>208</v>
      </c>
      <c r="F112" s="74">
        <v>6</v>
      </c>
      <c r="G112" s="75">
        <f t="shared" si="3"/>
        <v>8.0461200000000002</v>
      </c>
      <c r="H112" s="74">
        <v>0</v>
      </c>
      <c r="I112" s="74" t="s">
        <v>249</v>
      </c>
      <c r="J112" s="76" t="s">
        <v>425</v>
      </c>
      <c r="K112" s="78" t="s">
        <v>426</v>
      </c>
      <c r="L112" s="78" t="s">
        <v>252</v>
      </c>
      <c r="M112" s="79" t="s">
        <v>427</v>
      </c>
      <c r="N112" s="80">
        <v>354</v>
      </c>
      <c r="O112" s="80">
        <v>17.79</v>
      </c>
      <c r="P112" s="80">
        <v>1180</v>
      </c>
      <c r="Q112" s="80">
        <v>0.95</v>
      </c>
      <c r="R112" s="80">
        <v>88.8</v>
      </c>
      <c r="S112" s="73" t="str">
        <f t="shared" si="5"/>
        <v>K3G710-AQ04-19</v>
      </c>
      <c r="T112" s="78" t="str">
        <f>VLOOKUP(CONCATENATE(A112,"_W"),A112:S$318,19,FALSE)</f>
        <v>K3G710-AQ04-19W</v>
      </c>
      <c r="U112" s="78" t="s">
        <v>428</v>
      </c>
    </row>
    <row r="113" spans="1:21" x14ac:dyDescent="0.3">
      <c r="A113" s="73" t="str">
        <f t="shared" si="4"/>
        <v>710_208_6</v>
      </c>
      <c r="B113" s="68">
        <v>42583</v>
      </c>
      <c r="C113" s="69" t="s">
        <v>248</v>
      </c>
      <c r="D113" s="74">
        <v>710</v>
      </c>
      <c r="E113" s="74">
        <v>208</v>
      </c>
      <c r="F113" s="74">
        <v>6</v>
      </c>
      <c r="G113" s="75">
        <f t="shared" si="3"/>
        <v>8.0461200000000002</v>
      </c>
      <c r="H113" s="74">
        <v>1</v>
      </c>
      <c r="I113" s="74" t="s">
        <v>249</v>
      </c>
      <c r="J113" s="76" t="s">
        <v>429</v>
      </c>
      <c r="K113" s="78" t="s">
        <v>426</v>
      </c>
      <c r="L113" s="78" t="s">
        <v>256</v>
      </c>
      <c r="M113" s="79" t="s">
        <v>427</v>
      </c>
      <c r="N113" s="80">
        <v>354</v>
      </c>
      <c r="O113" s="80">
        <v>17.79</v>
      </c>
      <c r="P113" s="80">
        <v>1180</v>
      </c>
      <c r="Q113" s="80">
        <v>0.95</v>
      </c>
      <c r="R113" s="80">
        <v>88.8</v>
      </c>
      <c r="S113" s="73" t="str">
        <f t="shared" si="5"/>
        <v>K3G710-AQ04-19</v>
      </c>
      <c r="T113" s="78" t="str">
        <f>VLOOKUP(CONCATENATE(A113,"_W"),A113:S$318,19,FALSE)</f>
        <v>K3G710-AQ04-19W</v>
      </c>
      <c r="U113" s="78" t="s">
        <v>428</v>
      </c>
    </row>
    <row r="114" spans="1:21" x14ac:dyDescent="0.3">
      <c r="A114" s="73" t="str">
        <f t="shared" si="4"/>
        <v>710_230_6</v>
      </c>
      <c r="B114" s="68">
        <v>42583</v>
      </c>
      <c r="C114" s="69" t="s">
        <v>248</v>
      </c>
      <c r="D114" s="74">
        <v>710</v>
      </c>
      <c r="E114" s="74">
        <v>230</v>
      </c>
      <c r="F114" s="74">
        <v>6</v>
      </c>
      <c r="G114" s="75">
        <f t="shared" si="3"/>
        <v>8.0461200000000002</v>
      </c>
      <c r="H114" s="74">
        <v>0</v>
      </c>
      <c r="I114" s="74" t="s">
        <v>249</v>
      </c>
      <c r="J114" s="76" t="s">
        <v>425</v>
      </c>
      <c r="K114" s="78" t="s">
        <v>426</v>
      </c>
      <c r="L114" s="78" t="s">
        <v>252</v>
      </c>
      <c r="M114" s="79" t="s">
        <v>427</v>
      </c>
      <c r="N114" s="80">
        <v>354</v>
      </c>
      <c r="O114" s="80">
        <v>16.09</v>
      </c>
      <c r="P114" s="80">
        <v>1180</v>
      </c>
      <c r="Q114" s="80">
        <v>0.95</v>
      </c>
      <c r="R114" s="80">
        <v>88.8</v>
      </c>
      <c r="S114" s="73" t="str">
        <f t="shared" si="5"/>
        <v>K3G710-AQ04-19</v>
      </c>
      <c r="T114" s="78" t="str">
        <f>VLOOKUP(CONCATENATE(A114,"_W"),A114:S$318,19,FALSE)</f>
        <v>K3G710-AQ04-19W</v>
      </c>
      <c r="U114" s="78" t="s">
        <v>430</v>
      </c>
    </row>
    <row r="115" spans="1:21" x14ac:dyDescent="0.3">
      <c r="A115" s="73" t="str">
        <f t="shared" si="4"/>
        <v>710_230_6</v>
      </c>
      <c r="B115" s="68">
        <v>42583</v>
      </c>
      <c r="C115" s="69" t="s">
        <v>248</v>
      </c>
      <c r="D115" s="74">
        <v>710</v>
      </c>
      <c r="E115" s="74">
        <v>230</v>
      </c>
      <c r="F115" s="74">
        <v>6</v>
      </c>
      <c r="G115" s="75">
        <f t="shared" si="3"/>
        <v>8.0461200000000002</v>
      </c>
      <c r="H115" s="74">
        <v>1</v>
      </c>
      <c r="I115" s="74" t="s">
        <v>249</v>
      </c>
      <c r="J115" s="76" t="s">
        <v>429</v>
      </c>
      <c r="K115" s="78" t="s">
        <v>426</v>
      </c>
      <c r="L115" s="78" t="s">
        <v>256</v>
      </c>
      <c r="M115" s="79" t="s">
        <v>427</v>
      </c>
      <c r="N115" s="80">
        <v>354</v>
      </c>
      <c r="O115" s="80">
        <v>16.09</v>
      </c>
      <c r="P115" s="80">
        <v>1180</v>
      </c>
      <c r="Q115" s="80">
        <v>0.95</v>
      </c>
      <c r="R115" s="80">
        <v>88.8</v>
      </c>
      <c r="S115" s="73" t="str">
        <f t="shared" si="5"/>
        <v>K3G710-AQ04-19</v>
      </c>
      <c r="T115" s="78" t="str">
        <f>VLOOKUP(CONCATENATE(A115,"_W"),A115:S$318,19,FALSE)</f>
        <v>K3G710-AQ04-19W</v>
      </c>
      <c r="U115" s="78" t="s">
        <v>430</v>
      </c>
    </row>
    <row r="116" spans="1:21" x14ac:dyDescent="0.3">
      <c r="A116" s="73" t="str">
        <f t="shared" si="4"/>
        <v>800_460_6</v>
      </c>
      <c r="B116" s="68">
        <v>42583</v>
      </c>
      <c r="C116" s="69" t="s">
        <v>248</v>
      </c>
      <c r="D116" s="74">
        <v>800</v>
      </c>
      <c r="E116" s="74">
        <v>460</v>
      </c>
      <c r="F116" s="74">
        <v>6</v>
      </c>
      <c r="G116" s="75">
        <f t="shared" si="3"/>
        <v>8.0461200000000002</v>
      </c>
      <c r="H116" s="74">
        <v>0</v>
      </c>
      <c r="I116" s="74" t="s">
        <v>249</v>
      </c>
      <c r="J116" s="76" t="s">
        <v>431</v>
      </c>
      <c r="K116" s="78" t="s">
        <v>432</v>
      </c>
      <c r="L116" s="78" t="s">
        <v>252</v>
      </c>
      <c r="M116" s="79" t="s">
        <v>433</v>
      </c>
      <c r="N116" s="80">
        <v>416</v>
      </c>
      <c r="O116" s="80">
        <v>8.17</v>
      </c>
      <c r="P116" s="80">
        <v>960</v>
      </c>
      <c r="Q116" s="80">
        <v>0.94</v>
      </c>
      <c r="R116" s="80">
        <v>90.8</v>
      </c>
      <c r="S116" s="73" t="str">
        <f t="shared" si="5"/>
        <v>K3G800-AQ03-09</v>
      </c>
      <c r="T116" s="78" t="str">
        <f>VLOOKUP(CONCATENATE(A116,"_W"),A116:S$318,19,FALSE)</f>
        <v>K3G800-AQ03-09W</v>
      </c>
      <c r="U116" s="78" t="s">
        <v>434</v>
      </c>
    </row>
    <row r="117" spans="1:21" x14ac:dyDescent="0.3">
      <c r="A117" s="73" t="str">
        <f t="shared" si="4"/>
        <v>800_460_7.5</v>
      </c>
      <c r="B117" s="68">
        <v>42583</v>
      </c>
      <c r="C117" s="69" t="s">
        <v>248</v>
      </c>
      <c r="D117" s="74">
        <v>800</v>
      </c>
      <c r="E117" s="74">
        <v>460</v>
      </c>
      <c r="F117" s="74">
        <v>7.5</v>
      </c>
      <c r="G117" s="75">
        <f t="shared" si="3"/>
        <v>10.057650000000001</v>
      </c>
      <c r="H117" s="74">
        <v>0</v>
      </c>
      <c r="I117" s="74" t="s">
        <v>249</v>
      </c>
      <c r="J117" s="76" t="s">
        <v>435</v>
      </c>
      <c r="K117" s="78" t="s">
        <v>436</v>
      </c>
      <c r="L117" s="78" t="s">
        <v>252</v>
      </c>
      <c r="M117" s="79" t="s">
        <v>437</v>
      </c>
      <c r="N117" s="80">
        <v>416</v>
      </c>
      <c r="O117" s="80">
        <v>10.09</v>
      </c>
      <c r="P117" s="80">
        <v>1050</v>
      </c>
      <c r="Q117" s="80">
        <v>0.95</v>
      </c>
      <c r="R117" s="80">
        <v>90.1</v>
      </c>
      <c r="S117" s="73" t="str">
        <f t="shared" si="5"/>
        <v>K3G800-AR08-01</v>
      </c>
      <c r="T117" s="78" t="str">
        <f>VLOOKUP(CONCATENATE(A117,"_W"),A117:S$318,19,FALSE)</f>
        <v>K3G800-AR08-01W</v>
      </c>
      <c r="U117" s="78" t="s">
        <v>438</v>
      </c>
    </row>
    <row r="118" spans="1:21" x14ac:dyDescent="0.3">
      <c r="A118" s="73" t="str">
        <f t="shared" si="4"/>
        <v>800_460_12</v>
      </c>
      <c r="B118" s="68">
        <v>42583</v>
      </c>
      <c r="C118" s="69" t="s">
        <v>248</v>
      </c>
      <c r="D118" s="74">
        <v>800</v>
      </c>
      <c r="E118" s="74">
        <v>460</v>
      </c>
      <c r="F118" s="74">
        <v>12</v>
      </c>
      <c r="G118" s="75">
        <f t="shared" si="3"/>
        <v>16.09224</v>
      </c>
      <c r="H118" s="74">
        <v>0</v>
      </c>
      <c r="I118" s="74" t="s">
        <v>249</v>
      </c>
      <c r="J118" s="76" t="s">
        <v>439</v>
      </c>
      <c r="K118" s="78" t="s">
        <v>440</v>
      </c>
      <c r="L118" s="78" t="s">
        <v>252</v>
      </c>
      <c r="M118" s="79" t="s">
        <v>441</v>
      </c>
      <c r="N118" s="80">
        <v>431</v>
      </c>
      <c r="O118" s="80">
        <v>15.48</v>
      </c>
      <c r="P118" s="80">
        <v>1370</v>
      </c>
      <c r="Q118" s="80">
        <v>0.94</v>
      </c>
      <c r="R118" s="80">
        <v>90.5</v>
      </c>
      <c r="S118" s="73" t="str">
        <f t="shared" si="5"/>
        <v>K3G800-AS07-01</v>
      </c>
      <c r="T118" s="78" t="str">
        <f>VLOOKUP(CONCATENATE(A118,"_W"),A118:S$318,19,FALSE)</f>
        <v>K3G800-AS07-01W</v>
      </c>
      <c r="U118" s="78" t="s">
        <v>442</v>
      </c>
    </row>
    <row r="119" spans="1:21" x14ac:dyDescent="0.3">
      <c r="A119" s="73" t="str">
        <f t="shared" si="4"/>
        <v>800_460_6</v>
      </c>
      <c r="B119" s="68">
        <v>42583</v>
      </c>
      <c r="C119" s="69" t="s">
        <v>248</v>
      </c>
      <c r="D119" s="74">
        <v>800</v>
      </c>
      <c r="E119" s="74">
        <v>460</v>
      </c>
      <c r="F119" s="74">
        <v>6</v>
      </c>
      <c r="G119" s="75">
        <f t="shared" si="3"/>
        <v>8.0461200000000002</v>
      </c>
      <c r="H119" s="74">
        <v>1</v>
      </c>
      <c r="I119" s="74" t="s">
        <v>249</v>
      </c>
      <c r="J119" s="76" t="s">
        <v>443</v>
      </c>
      <c r="K119" s="78" t="s">
        <v>432</v>
      </c>
      <c r="L119" s="78" t="s">
        <v>256</v>
      </c>
      <c r="M119" s="79" t="s">
        <v>433</v>
      </c>
      <c r="N119" s="80">
        <v>416</v>
      </c>
      <c r="O119" s="80">
        <v>8.17</v>
      </c>
      <c r="P119" s="80">
        <v>960</v>
      </c>
      <c r="Q119" s="80">
        <v>0.94</v>
      </c>
      <c r="R119" s="80">
        <v>90.8</v>
      </c>
      <c r="S119" s="73" t="str">
        <f t="shared" si="5"/>
        <v>K3G800-AQ03-09</v>
      </c>
      <c r="T119" s="78" t="str">
        <f>VLOOKUP(CONCATENATE(A119,"_W"),A119:S$318,19,FALSE)</f>
        <v>K3G800-AQ03-09W</v>
      </c>
      <c r="U119" s="78" t="s">
        <v>434</v>
      </c>
    </row>
    <row r="120" spans="1:21" x14ac:dyDescent="0.3">
      <c r="A120" s="73" t="str">
        <f t="shared" si="4"/>
        <v>800_460_7.5</v>
      </c>
      <c r="B120" s="68">
        <v>42583</v>
      </c>
      <c r="C120" s="69" t="s">
        <v>248</v>
      </c>
      <c r="D120" s="74">
        <v>800</v>
      </c>
      <c r="E120" s="74">
        <v>460</v>
      </c>
      <c r="F120" s="74">
        <v>7.5</v>
      </c>
      <c r="G120" s="75">
        <f t="shared" si="3"/>
        <v>10.057650000000001</v>
      </c>
      <c r="H120" s="74">
        <v>1</v>
      </c>
      <c r="I120" s="74" t="s">
        <v>249</v>
      </c>
      <c r="J120" s="76" t="s">
        <v>444</v>
      </c>
      <c r="K120" s="78" t="s">
        <v>436</v>
      </c>
      <c r="L120" s="78" t="s">
        <v>256</v>
      </c>
      <c r="M120" s="79" t="s">
        <v>437</v>
      </c>
      <c r="N120" s="80">
        <v>416</v>
      </c>
      <c r="O120" s="80">
        <v>10.09</v>
      </c>
      <c r="P120" s="80">
        <v>1050</v>
      </c>
      <c r="Q120" s="80">
        <v>0.95</v>
      </c>
      <c r="R120" s="80">
        <v>90.1</v>
      </c>
      <c r="S120" s="73" t="str">
        <f t="shared" si="5"/>
        <v>K3G800-AR08-01</v>
      </c>
      <c r="T120" s="78" t="str">
        <f>VLOOKUP(CONCATENATE(A120,"_W"),A120:S$318,19,FALSE)</f>
        <v>K3G800-AR08-01W</v>
      </c>
      <c r="U120" s="78" t="s">
        <v>438</v>
      </c>
    </row>
    <row r="121" spans="1:21" x14ac:dyDescent="0.3">
      <c r="A121" s="73" t="str">
        <f t="shared" si="4"/>
        <v>800_460_12</v>
      </c>
      <c r="B121" s="68">
        <v>42583</v>
      </c>
      <c r="C121" s="69" t="s">
        <v>248</v>
      </c>
      <c r="D121" s="74">
        <v>800</v>
      </c>
      <c r="E121" s="74">
        <v>460</v>
      </c>
      <c r="F121" s="74">
        <v>12</v>
      </c>
      <c r="G121" s="75">
        <f t="shared" si="3"/>
        <v>16.09224</v>
      </c>
      <c r="H121" s="74">
        <v>1</v>
      </c>
      <c r="I121" s="74" t="s">
        <v>249</v>
      </c>
      <c r="J121" s="76" t="s">
        <v>445</v>
      </c>
      <c r="K121" s="78" t="s">
        <v>440</v>
      </c>
      <c r="L121" s="78" t="s">
        <v>256</v>
      </c>
      <c r="M121" s="79" t="s">
        <v>441</v>
      </c>
      <c r="N121" s="80">
        <v>431</v>
      </c>
      <c r="O121" s="80">
        <v>15.48</v>
      </c>
      <c r="P121" s="80">
        <v>1370</v>
      </c>
      <c r="Q121" s="80">
        <v>0.94</v>
      </c>
      <c r="R121" s="80">
        <v>90.5</v>
      </c>
      <c r="S121" s="73" t="str">
        <f t="shared" si="5"/>
        <v>K3G800-AS07-01</v>
      </c>
      <c r="T121" s="78" t="str">
        <f>VLOOKUP(CONCATENATE(A121,"_W"),A121:S$318,19,FALSE)</f>
        <v>K3G800-AS07-01W</v>
      </c>
      <c r="U121" s="78" t="s">
        <v>442</v>
      </c>
    </row>
    <row r="122" spans="1:21" x14ac:dyDescent="0.3">
      <c r="A122" s="73" t="str">
        <f t="shared" si="4"/>
        <v>800_208_6</v>
      </c>
      <c r="B122" s="68">
        <v>42583</v>
      </c>
      <c r="C122" s="69" t="s">
        <v>248</v>
      </c>
      <c r="D122" s="74">
        <v>800</v>
      </c>
      <c r="E122" s="74">
        <v>208</v>
      </c>
      <c r="F122" s="74">
        <v>6</v>
      </c>
      <c r="G122" s="75">
        <f t="shared" si="3"/>
        <v>8.0461200000000002</v>
      </c>
      <c r="H122" s="74">
        <v>0</v>
      </c>
      <c r="I122" s="74" t="s">
        <v>249</v>
      </c>
      <c r="J122" s="76" t="s">
        <v>446</v>
      </c>
      <c r="K122" s="78" t="s">
        <v>447</v>
      </c>
      <c r="L122" s="78" t="s">
        <v>252</v>
      </c>
      <c r="M122" s="79" t="s">
        <v>448</v>
      </c>
      <c r="N122" s="80">
        <v>416</v>
      </c>
      <c r="O122" s="80">
        <v>16.73</v>
      </c>
      <c r="P122" s="80">
        <v>940</v>
      </c>
      <c r="Q122" s="80">
        <v>0.95</v>
      </c>
      <c r="R122" s="80">
        <v>89.9</v>
      </c>
      <c r="S122" s="73" t="str">
        <f t="shared" si="5"/>
        <v>K3G800-AQ06-19</v>
      </c>
      <c r="T122" s="78" t="str">
        <f>VLOOKUP(CONCATENATE(A122,"_W"),A122:S$318,19,FALSE)</f>
        <v>K3G800-AQ06-19W</v>
      </c>
      <c r="U122" s="78" t="s">
        <v>449</v>
      </c>
    </row>
    <row r="123" spans="1:21" x14ac:dyDescent="0.3">
      <c r="A123" s="73" t="str">
        <f t="shared" si="4"/>
        <v>800_208_6</v>
      </c>
      <c r="B123" s="68">
        <v>42583</v>
      </c>
      <c r="C123" s="69" t="s">
        <v>248</v>
      </c>
      <c r="D123" s="74">
        <v>800</v>
      </c>
      <c r="E123" s="74">
        <v>208</v>
      </c>
      <c r="F123" s="74">
        <v>6</v>
      </c>
      <c r="G123" s="75">
        <f t="shared" si="3"/>
        <v>8.0461200000000002</v>
      </c>
      <c r="H123" s="74">
        <v>1</v>
      </c>
      <c r="I123" s="74" t="s">
        <v>249</v>
      </c>
      <c r="J123" s="76" t="s">
        <v>450</v>
      </c>
      <c r="K123" s="78" t="s">
        <v>447</v>
      </c>
      <c r="L123" s="78" t="s">
        <v>256</v>
      </c>
      <c r="M123" s="79" t="s">
        <v>448</v>
      </c>
      <c r="N123" s="80">
        <v>416</v>
      </c>
      <c r="O123" s="80">
        <v>16.73</v>
      </c>
      <c r="P123" s="80">
        <v>940</v>
      </c>
      <c r="Q123" s="80">
        <v>0.95</v>
      </c>
      <c r="R123" s="80">
        <v>89.9</v>
      </c>
      <c r="S123" s="73" t="str">
        <f t="shared" si="5"/>
        <v>K3G800-AQ06-19</v>
      </c>
      <c r="T123" s="78" t="str">
        <f>VLOOKUP(CONCATENATE(A123,"_W"),A123:S$318,19,FALSE)</f>
        <v>K3G800-AQ06-19W</v>
      </c>
      <c r="U123" s="78" t="s">
        <v>449</v>
      </c>
    </row>
    <row r="124" spans="1:21" x14ac:dyDescent="0.3">
      <c r="A124" s="73" t="str">
        <f t="shared" si="4"/>
        <v>800_230_6</v>
      </c>
      <c r="B124" s="68">
        <v>42583</v>
      </c>
      <c r="C124" s="69" t="s">
        <v>248</v>
      </c>
      <c r="D124" s="74">
        <v>800</v>
      </c>
      <c r="E124" s="74">
        <v>230</v>
      </c>
      <c r="F124" s="74">
        <v>6</v>
      </c>
      <c r="G124" s="75">
        <f t="shared" si="3"/>
        <v>8.0461200000000002</v>
      </c>
      <c r="H124" s="74">
        <v>0</v>
      </c>
      <c r="I124" s="74" t="s">
        <v>249</v>
      </c>
      <c r="J124" s="76" t="s">
        <v>446</v>
      </c>
      <c r="K124" s="78" t="s">
        <v>447</v>
      </c>
      <c r="L124" s="78" t="s">
        <v>252</v>
      </c>
      <c r="M124" s="79" t="s">
        <v>448</v>
      </c>
      <c r="N124" s="80">
        <v>416</v>
      </c>
      <c r="O124" s="80">
        <v>15.13</v>
      </c>
      <c r="P124" s="80">
        <v>940</v>
      </c>
      <c r="Q124" s="80">
        <v>0.95</v>
      </c>
      <c r="R124" s="80">
        <v>89.9</v>
      </c>
      <c r="S124" s="73" t="str">
        <f t="shared" si="5"/>
        <v>K3G800-AQ06-19</v>
      </c>
      <c r="T124" s="78" t="str">
        <f>VLOOKUP(CONCATENATE(A124,"_W"),A124:S$318,19,FALSE)</f>
        <v>K3G800-AQ06-19W</v>
      </c>
      <c r="U124" s="78" t="s">
        <v>451</v>
      </c>
    </row>
    <row r="125" spans="1:21" x14ac:dyDescent="0.3">
      <c r="A125" s="73" t="str">
        <f t="shared" si="4"/>
        <v>800_230_6</v>
      </c>
      <c r="B125" s="68">
        <v>42583</v>
      </c>
      <c r="C125" s="69" t="s">
        <v>248</v>
      </c>
      <c r="D125" s="74">
        <v>800</v>
      </c>
      <c r="E125" s="74">
        <v>230</v>
      </c>
      <c r="F125" s="74">
        <v>6</v>
      </c>
      <c r="G125" s="75">
        <f t="shared" si="3"/>
        <v>8.0461200000000002</v>
      </c>
      <c r="H125" s="74">
        <v>1</v>
      </c>
      <c r="I125" s="74" t="s">
        <v>249</v>
      </c>
      <c r="J125" s="76" t="s">
        <v>450</v>
      </c>
      <c r="K125" s="78" t="s">
        <v>447</v>
      </c>
      <c r="L125" s="78" t="s">
        <v>256</v>
      </c>
      <c r="M125" s="79" t="s">
        <v>448</v>
      </c>
      <c r="N125" s="80">
        <v>416</v>
      </c>
      <c r="O125" s="80">
        <v>15.13</v>
      </c>
      <c r="P125" s="80">
        <v>940</v>
      </c>
      <c r="Q125" s="80">
        <v>0.95</v>
      </c>
      <c r="R125" s="80">
        <v>89.9</v>
      </c>
      <c r="S125" s="73" t="str">
        <f t="shared" si="5"/>
        <v>K3G800-AQ06-19</v>
      </c>
      <c r="T125" s="78" t="str">
        <f>VLOOKUP(CONCATENATE(A125,"_W"),A125:S$318,19,FALSE)</f>
        <v>K3G800-AQ06-19W</v>
      </c>
      <c r="U125" s="78" t="s">
        <v>451</v>
      </c>
    </row>
    <row r="126" spans="1:21" x14ac:dyDescent="0.3">
      <c r="A126" s="73" t="str">
        <f t="shared" si="4"/>
        <v>900_460_6</v>
      </c>
      <c r="B126" s="68">
        <v>42583</v>
      </c>
      <c r="C126" s="69" t="s">
        <v>248</v>
      </c>
      <c r="D126" s="74">
        <v>900</v>
      </c>
      <c r="E126" s="74">
        <v>460</v>
      </c>
      <c r="F126" s="74">
        <v>6</v>
      </c>
      <c r="G126" s="75">
        <f t="shared" si="3"/>
        <v>8.0461200000000002</v>
      </c>
      <c r="H126" s="74">
        <v>0</v>
      </c>
      <c r="I126" s="74" t="s">
        <v>249</v>
      </c>
      <c r="J126" s="76" t="s">
        <v>452</v>
      </c>
      <c r="K126" s="78" t="s">
        <v>453</v>
      </c>
      <c r="L126" s="78" t="s">
        <v>252</v>
      </c>
      <c r="M126" s="79" t="s">
        <v>454</v>
      </c>
      <c r="N126" s="80">
        <v>473</v>
      </c>
      <c r="O126" s="80">
        <v>7.39</v>
      </c>
      <c r="P126" s="80">
        <v>800</v>
      </c>
      <c r="Q126" s="80">
        <v>0.94</v>
      </c>
      <c r="R126" s="80">
        <v>91.2</v>
      </c>
      <c r="S126" s="73" t="str">
        <f t="shared" si="5"/>
        <v>K3G900-AQ01-09</v>
      </c>
      <c r="T126" s="78" t="str">
        <f>VLOOKUP(CONCATENATE(A126,"_W"),A126:S$318,19,FALSE)</f>
        <v>K3G900-AQ01-09W</v>
      </c>
      <c r="U126" s="78" t="s">
        <v>455</v>
      </c>
    </row>
    <row r="127" spans="1:21" x14ac:dyDescent="0.3">
      <c r="A127" s="73" t="str">
        <f t="shared" si="4"/>
        <v>900_460_12</v>
      </c>
      <c r="B127" s="68">
        <v>42583</v>
      </c>
      <c r="C127" s="69" t="s">
        <v>248</v>
      </c>
      <c r="D127" s="74">
        <v>900</v>
      </c>
      <c r="E127" s="74">
        <v>460</v>
      </c>
      <c r="F127" s="74">
        <v>12</v>
      </c>
      <c r="G127" s="75">
        <f t="shared" si="3"/>
        <v>16.09224</v>
      </c>
      <c r="H127" s="74">
        <v>0</v>
      </c>
      <c r="I127" s="74" t="s">
        <v>249</v>
      </c>
      <c r="J127" s="76" t="s">
        <v>456</v>
      </c>
      <c r="K127" s="78" t="s">
        <v>457</v>
      </c>
      <c r="L127" s="78" t="s">
        <v>252</v>
      </c>
      <c r="M127" s="79" t="s">
        <v>458</v>
      </c>
      <c r="N127" s="80">
        <v>484</v>
      </c>
      <c r="O127" s="80">
        <v>11.74</v>
      </c>
      <c r="P127" s="80">
        <v>1050</v>
      </c>
      <c r="Q127" s="80">
        <v>0.93</v>
      </c>
      <c r="R127" s="80">
        <v>90.7</v>
      </c>
      <c r="S127" s="73" t="str">
        <f t="shared" si="5"/>
        <v>K3G900-AS08-01</v>
      </c>
      <c r="T127" s="78" t="str">
        <f>VLOOKUP(CONCATENATE(A127,"_W"),A127:S$318,19,FALSE)</f>
        <v>K3G900-AS08-01W</v>
      </c>
      <c r="U127" s="78" t="s">
        <v>459</v>
      </c>
    </row>
    <row r="128" spans="1:21" x14ac:dyDescent="0.3">
      <c r="A128" s="73" t="str">
        <f t="shared" si="4"/>
        <v>900_460_6</v>
      </c>
      <c r="B128" s="68">
        <v>42583</v>
      </c>
      <c r="C128" s="69" t="s">
        <v>248</v>
      </c>
      <c r="D128" s="74">
        <v>900</v>
      </c>
      <c r="E128" s="74">
        <v>460</v>
      </c>
      <c r="F128" s="74">
        <v>6</v>
      </c>
      <c r="G128" s="75">
        <f t="shared" si="3"/>
        <v>8.0461200000000002</v>
      </c>
      <c r="H128" s="74">
        <v>1</v>
      </c>
      <c r="I128" s="74" t="s">
        <v>249</v>
      </c>
      <c r="J128" s="76" t="s">
        <v>460</v>
      </c>
      <c r="K128" s="78" t="s">
        <v>453</v>
      </c>
      <c r="L128" s="78" t="s">
        <v>256</v>
      </c>
      <c r="M128" s="79" t="s">
        <v>454</v>
      </c>
      <c r="N128" s="80">
        <v>473</v>
      </c>
      <c r="O128" s="80">
        <v>7.39</v>
      </c>
      <c r="P128" s="80">
        <v>800</v>
      </c>
      <c r="Q128" s="80">
        <v>0.94</v>
      </c>
      <c r="R128" s="80">
        <v>91.2</v>
      </c>
      <c r="S128" s="73" t="str">
        <f t="shared" si="5"/>
        <v>K3G900-AQ01-09</v>
      </c>
      <c r="T128" s="78" t="str">
        <f>VLOOKUP(CONCATENATE(A128,"_W"),A128:S$318,19,FALSE)</f>
        <v>K3G900-AQ01-09W</v>
      </c>
      <c r="U128" s="78" t="s">
        <v>455</v>
      </c>
    </row>
    <row r="129" spans="1:21" x14ac:dyDescent="0.3">
      <c r="A129" s="73" t="str">
        <f t="shared" si="4"/>
        <v>900_460_12</v>
      </c>
      <c r="B129" s="68">
        <v>42583</v>
      </c>
      <c r="C129" s="69" t="s">
        <v>248</v>
      </c>
      <c r="D129" s="74">
        <v>900</v>
      </c>
      <c r="E129" s="74">
        <v>460</v>
      </c>
      <c r="F129" s="74">
        <v>12</v>
      </c>
      <c r="G129" s="75">
        <f t="shared" si="3"/>
        <v>16.09224</v>
      </c>
      <c r="H129" s="74">
        <v>1</v>
      </c>
      <c r="I129" s="74" t="s">
        <v>249</v>
      </c>
      <c r="J129" s="76" t="s">
        <v>461</v>
      </c>
      <c r="K129" s="78" t="s">
        <v>457</v>
      </c>
      <c r="L129" s="78" t="s">
        <v>256</v>
      </c>
      <c r="M129" s="79" t="s">
        <v>458</v>
      </c>
      <c r="N129" s="80">
        <v>484</v>
      </c>
      <c r="O129" s="80">
        <v>11.74</v>
      </c>
      <c r="P129" s="80">
        <v>1050</v>
      </c>
      <c r="Q129" s="80">
        <v>0.93</v>
      </c>
      <c r="R129" s="80">
        <v>90.7</v>
      </c>
      <c r="S129" s="73" t="str">
        <f t="shared" si="5"/>
        <v>K3G900-AS08-01</v>
      </c>
      <c r="T129" s="78" t="str">
        <f>VLOOKUP(CONCATENATE(A129,"_W"),A129:S$318,19,FALSE)</f>
        <v>K3G900-AS08-01W</v>
      </c>
      <c r="U129" s="78" t="s">
        <v>459</v>
      </c>
    </row>
    <row r="130" spans="1:21" x14ac:dyDescent="0.3">
      <c r="A130" s="73" t="str">
        <f t="shared" si="4"/>
        <v>900_208_6</v>
      </c>
      <c r="B130" s="68">
        <v>42583</v>
      </c>
      <c r="C130" s="69" t="s">
        <v>248</v>
      </c>
      <c r="D130" s="74">
        <v>900</v>
      </c>
      <c r="E130" s="74">
        <v>208</v>
      </c>
      <c r="F130" s="74">
        <v>6</v>
      </c>
      <c r="G130" s="75">
        <f t="shared" si="3"/>
        <v>8.0461200000000002</v>
      </c>
      <c r="H130" s="74">
        <v>0</v>
      </c>
      <c r="I130" s="74" t="s">
        <v>249</v>
      </c>
      <c r="J130" s="76" t="s">
        <v>462</v>
      </c>
      <c r="K130" s="78" t="s">
        <v>463</v>
      </c>
      <c r="L130" s="78" t="s">
        <v>252</v>
      </c>
      <c r="M130" s="79" t="s">
        <v>464</v>
      </c>
      <c r="N130" s="80">
        <v>473</v>
      </c>
      <c r="O130" s="80">
        <v>16.25</v>
      </c>
      <c r="P130" s="80">
        <v>780</v>
      </c>
      <c r="Q130" s="80">
        <v>0.95</v>
      </c>
      <c r="R130" s="80">
        <v>90.2</v>
      </c>
      <c r="S130" s="73" t="str">
        <f t="shared" si="5"/>
        <v>K3G900-AQ07-19</v>
      </c>
      <c r="T130" s="78" t="str">
        <f>VLOOKUP(CONCATENATE(A130,"_W"),A130:S$318,19,FALSE)</f>
        <v>K3G900-AQ07-19W</v>
      </c>
      <c r="U130" s="78" t="s">
        <v>465</v>
      </c>
    </row>
    <row r="131" spans="1:21" x14ac:dyDescent="0.3">
      <c r="A131" s="73" t="str">
        <f t="shared" si="4"/>
        <v>900_208_6</v>
      </c>
      <c r="B131" s="68">
        <v>42583</v>
      </c>
      <c r="C131" s="69" t="s">
        <v>248</v>
      </c>
      <c r="D131" s="74">
        <v>900</v>
      </c>
      <c r="E131" s="74">
        <v>208</v>
      </c>
      <c r="F131" s="74">
        <v>6</v>
      </c>
      <c r="G131" s="75">
        <f t="shared" si="3"/>
        <v>8.0461200000000002</v>
      </c>
      <c r="H131" s="74">
        <v>1</v>
      </c>
      <c r="I131" s="74" t="s">
        <v>249</v>
      </c>
      <c r="J131" s="76" t="s">
        <v>466</v>
      </c>
      <c r="K131" s="78" t="s">
        <v>463</v>
      </c>
      <c r="L131" s="78" t="s">
        <v>256</v>
      </c>
      <c r="M131" s="79" t="s">
        <v>464</v>
      </c>
      <c r="N131" s="80">
        <v>473</v>
      </c>
      <c r="O131" s="80">
        <v>16.25</v>
      </c>
      <c r="P131" s="80">
        <v>780</v>
      </c>
      <c r="Q131" s="80">
        <v>0.95</v>
      </c>
      <c r="R131" s="80">
        <v>90.2</v>
      </c>
      <c r="S131" s="73" t="str">
        <f t="shared" si="5"/>
        <v>K3G900-AQ07-19</v>
      </c>
      <c r="T131" s="78" t="str">
        <f>VLOOKUP(CONCATENATE(A131,"_W"),A131:S$318,19,FALSE)</f>
        <v>K3G900-AQ07-19W</v>
      </c>
      <c r="U131" s="78" t="s">
        <v>465</v>
      </c>
    </row>
    <row r="132" spans="1:21" x14ac:dyDescent="0.3">
      <c r="A132" s="73" t="str">
        <f t="shared" si="4"/>
        <v>900_230_6</v>
      </c>
      <c r="B132" s="68">
        <v>42583</v>
      </c>
      <c r="C132" s="69" t="s">
        <v>248</v>
      </c>
      <c r="D132" s="74">
        <v>900</v>
      </c>
      <c r="E132" s="74">
        <v>230</v>
      </c>
      <c r="F132" s="74">
        <v>6</v>
      </c>
      <c r="G132" s="75">
        <f t="shared" si="3"/>
        <v>8.0461200000000002</v>
      </c>
      <c r="H132" s="74">
        <v>0</v>
      </c>
      <c r="I132" s="74" t="s">
        <v>249</v>
      </c>
      <c r="J132" s="76" t="s">
        <v>462</v>
      </c>
      <c r="K132" s="78" t="s">
        <v>463</v>
      </c>
      <c r="L132" s="78" t="s">
        <v>252</v>
      </c>
      <c r="M132" s="79" t="s">
        <v>464</v>
      </c>
      <c r="N132" s="80">
        <v>473</v>
      </c>
      <c r="O132" s="80">
        <v>14.7</v>
      </c>
      <c r="P132" s="80">
        <v>780</v>
      </c>
      <c r="Q132" s="80">
        <v>0.95</v>
      </c>
      <c r="R132" s="80">
        <v>90.2</v>
      </c>
      <c r="S132" s="73" t="str">
        <f t="shared" si="5"/>
        <v>K3G900-AQ07-19</v>
      </c>
      <c r="T132" s="78" t="str">
        <f>VLOOKUP(CONCATENATE(A132,"_W"),A132:S$318,19,FALSE)</f>
        <v>K3G900-AQ07-19W</v>
      </c>
      <c r="U132" s="78" t="s">
        <v>467</v>
      </c>
    </row>
    <row r="133" spans="1:21" ht="14.4" thickBot="1" x14ac:dyDescent="0.35">
      <c r="A133" s="256" t="str">
        <f t="shared" si="4"/>
        <v>900_230_6</v>
      </c>
      <c r="B133" s="257">
        <v>42583</v>
      </c>
      <c r="C133" s="258" t="s">
        <v>248</v>
      </c>
      <c r="D133" s="259">
        <v>900</v>
      </c>
      <c r="E133" s="259">
        <v>230</v>
      </c>
      <c r="F133" s="259">
        <v>6</v>
      </c>
      <c r="G133" s="260">
        <f t="shared" si="3"/>
        <v>8.0461200000000002</v>
      </c>
      <c r="H133" s="259">
        <v>1</v>
      </c>
      <c r="I133" s="259" t="s">
        <v>249</v>
      </c>
      <c r="J133" s="261" t="s">
        <v>466</v>
      </c>
      <c r="K133" s="262" t="s">
        <v>463</v>
      </c>
      <c r="L133" s="262" t="s">
        <v>256</v>
      </c>
      <c r="M133" s="263" t="s">
        <v>464</v>
      </c>
      <c r="N133" s="264">
        <v>473</v>
      </c>
      <c r="O133" s="264">
        <v>14.7</v>
      </c>
      <c r="P133" s="264">
        <v>780</v>
      </c>
      <c r="Q133" s="264">
        <v>0.95</v>
      </c>
      <c r="R133" s="264">
        <v>90.2</v>
      </c>
      <c r="S133" s="256" t="str">
        <f t="shared" si="5"/>
        <v>K3G900-AQ07-19</v>
      </c>
      <c r="T133" s="262" t="str">
        <f>VLOOKUP(CONCATENATE(A133,"_W"),A133:S$318,19,FALSE)</f>
        <v>K3G900-AQ07-19W</v>
      </c>
      <c r="U133" s="262" t="s">
        <v>467</v>
      </c>
    </row>
    <row r="134" spans="1:21" x14ac:dyDescent="0.3">
      <c r="A134" s="295" t="str">
        <f t="shared" si="4"/>
        <v>310_208_4.5</v>
      </c>
      <c r="B134" s="275">
        <v>44575</v>
      </c>
      <c r="C134" s="276" t="s">
        <v>248</v>
      </c>
      <c r="D134" s="277">
        <v>310</v>
      </c>
      <c r="E134" s="277">
        <v>208</v>
      </c>
      <c r="F134" s="277">
        <v>4.5</v>
      </c>
      <c r="G134" s="282">
        <f t="shared" si="3"/>
        <v>6.0345900000000006</v>
      </c>
      <c r="H134" s="277">
        <v>0</v>
      </c>
      <c r="I134" s="277" t="s">
        <v>249</v>
      </c>
      <c r="J134" s="297" t="s">
        <v>1339</v>
      </c>
      <c r="K134" s="287" t="s">
        <v>1318</v>
      </c>
      <c r="L134" s="287" t="s">
        <v>252</v>
      </c>
      <c r="M134" s="285" t="s">
        <v>1277</v>
      </c>
      <c r="N134" s="288">
        <v>61</v>
      </c>
      <c r="O134" s="288">
        <v>9.07</v>
      </c>
      <c r="P134" s="288">
        <v>3955</v>
      </c>
      <c r="Q134" s="288">
        <v>0.94</v>
      </c>
      <c r="R134" s="288">
        <v>57.3</v>
      </c>
      <c r="S134" s="290" t="str">
        <f t="shared" si="5"/>
        <v>EG1R-240-310-A26</v>
      </c>
      <c r="T134" s="287"/>
      <c r="U134" s="291"/>
    </row>
    <row r="135" spans="1:21" x14ac:dyDescent="0.3">
      <c r="A135" s="296" t="str">
        <f t="shared" si="4"/>
        <v>310_230_4.5</v>
      </c>
      <c r="B135" s="68">
        <v>44575</v>
      </c>
      <c r="C135" s="69" t="s">
        <v>248</v>
      </c>
      <c r="D135" s="74">
        <v>310</v>
      </c>
      <c r="E135" s="74">
        <v>230</v>
      </c>
      <c r="F135" s="74">
        <v>4.5</v>
      </c>
      <c r="G135" s="75">
        <f t="shared" si="3"/>
        <v>6.0345900000000006</v>
      </c>
      <c r="H135" s="74">
        <v>0</v>
      </c>
      <c r="I135" s="74" t="s">
        <v>249</v>
      </c>
      <c r="J135" s="76" t="s">
        <v>1341</v>
      </c>
      <c r="K135" s="78" t="s">
        <v>1318</v>
      </c>
      <c r="L135" s="78" t="s">
        <v>252</v>
      </c>
      <c r="M135" s="79" t="s">
        <v>1277</v>
      </c>
      <c r="N135" s="80">
        <v>61</v>
      </c>
      <c r="O135" s="80">
        <v>8.4</v>
      </c>
      <c r="P135" s="80">
        <v>3955</v>
      </c>
      <c r="Q135" s="80">
        <v>0.94</v>
      </c>
      <c r="R135" s="80">
        <v>57.3</v>
      </c>
      <c r="S135" s="73" t="str">
        <f t="shared" si="5"/>
        <v>EG1R-240-310-A26</v>
      </c>
      <c r="T135" s="78"/>
      <c r="U135" s="292"/>
    </row>
    <row r="136" spans="1:21" x14ac:dyDescent="0.3">
      <c r="A136" s="296" t="str">
        <f t="shared" si="4"/>
        <v>310_208_4.5</v>
      </c>
      <c r="B136" s="68">
        <v>44575</v>
      </c>
      <c r="C136" s="69" t="s">
        <v>248</v>
      </c>
      <c r="D136" s="74">
        <v>310</v>
      </c>
      <c r="E136" s="74">
        <v>208</v>
      </c>
      <c r="F136" s="74">
        <v>4.5</v>
      </c>
      <c r="G136" s="75">
        <f t="shared" si="3"/>
        <v>6.0345900000000006</v>
      </c>
      <c r="H136" s="74">
        <v>1</v>
      </c>
      <c r="I136" s="74" t="s">
        <v>249</v>
      </c>
      <c r="J136" s="76" t="s">
        <v>1340</v>
      </c>
      <c r="K136" s="78" t="s">
        <v>1318</v>
      </c>
      <c r="L136" s="78" t="s">
        <v>256</v>
      </c>
      <c r="M136" s="79" t="s">
        <v>1278</v>
      </c>
      <c r="N136" s="80">
        <v>61</v>
      </c>
      <c r="O136" s="80">
        <v>9.07</v>
      </c>
      <c r="P136" s="80">
        <v>3955</v>
      </c>
      <c r="Q136" s="80">
        <v>0.94</v>
      </c>
      <c r="R136" s="80">
        <v>57.3</v>
      </c>
      <c r="S136" s="73" t="str">
        <f t="shared" si="5"/>
        <v>EG1R-240-310-A29</v>
      </c>
      <c r="T136" s="78"/>
      <c r="U136" s="292"/>
    </row>
    <row r="137" spans="1:21" x14ac:dyDescent="0.3">
      <c r="A137" s="296" t="str">
        <f t="shared" si="4"/>
        <v>310_230_4.5</v>
      </c>
      <c r="B137" s="68">
        <v>44575</v>
      </c>
      <c r="C137" s="69" t="s">
        <v>248</v>
      </c>
      <c r="D137" s="74">
        <v>310</v>
      </c>
      <c r="E137" s="74">
        <v>230</v>
      </c>
      <c r="F137" s="74">
        <v>4.5</v>
      </c>
      <c r="G137" s="75">
        <f t="shared" si="3"/>
        <v>6.0345900000000006</v>
      </c>
      <c r="H137" s="74">
        <v>1</v>
      </c>
      <c r="I137" s="74" t="s">
        <v>249</v>
      </c>
      <c r="J137" s="76" t="s">
        <v>1342</v>
      </c>
      <c r="K137" s="78" t="s">
        <v>1318</v>
      </c>
      <c r="L137" s="78" t="s">
        <v>256</v>
      </c>
      <c r="M137" s="79" t="s">
        <v>1279</v>
      </c>
      <c r="N137" s="80">
        <v>61</v>
      </c>
      <c r="O137" s="80">
        <v>8.4</v>
      </c>
      <c r="P137" s="80">
        <v>3955</v>
      </c>
      <c r="Q137" s="80">
        <v>0.94</v>
      </c>
      <c r="R137" s="80">
        <v>57.3</v>
      </c>
      <c r="S137" s="73" t="str">
        <f t="shared" si="5"/>
        <v>EG1R-240 310-A29</v>
      </c>
      <c r="T137" s="78"/>
      <c r="U137" s="292"/>
    </row>
    <row r="138" spans="1:21" x14ac:dyDescent="0.3">
      <c r="A138" s="296" t="str">
        <f t="shared" si="4"/>
        <v>355_208_4.5</v>
      </c>
      <c r="B138" s="68">
        <v>44575</v>
      </c>
      <c r="C138" s="69" t="s">
        <v>248</v>
      </c>
      <c r="D138" s="74">
        <v>355</v>
      </c>
      <c r="E138" s="74">
        <v>208</v>
      </c>
      <c r="F138" s="74">
        <v>4.5</v>
      </c>
      <c r="G138" s="75">
        <f t="shared" si="3"/>
        <v>6.0345900000000006</v>
      </c>
      <c r="H138" s="74">
        <v>0</v>
      </c>
      <c r="I138" s="74" t="s">
        <v>249</v>
      </c>
      <c r="J138" s="76" t="s">
        <v>1343</v>
      </c>
      <c r="K138" s="78" t="s">
        <v>1319</v>
      </c>
      <c r="L138" s="78" t="s">
        <v>252</v>
      </c>
      <c r="M138" s="79" t="s">
        <v>1280</v>
      </c>
      <c r="N138" s="80">
        <v>61.2</v>
      </c>
      <c r="O138" s="80">
        <v>8.64</v>
      </c>
      <c r="P138" s="80">
        <v>3230</v>
      </c>
      <c r="Q138" s="80">
        <v>0.94</v>
      </c>
      <c r="R138" s="80">
        <v>60.3</v>
      </c>
      <c r="S138" s="73" t="str">
        <f t="shared" si="5"/>
        <v>EG1R-240-355-A26</v>
      </c>
      <c r="T138" s="78"/>
      <c r="U138" s="292"/>
    </row>
    <row r="139" spans="1:21" x14ac:dyDescent="0.3">
      <c r="A139" s="296" t="str">
        <f t="shared" si="4"/>
        <v>355_230_4.5</v>
      </c>
      <c r="B139" s="68">
        <v>44575</v>
      </c>
      <c r="C139" s="69" t="s">
        <v>248</v>
      </c>
      <c r="D139" s="74">
        <v>355</v>
      </c>
      <c r="E139" s="74">
        <v>230</v>
      </c>
      <c r="F139" s="74">
        <v>4.5</v>
      </c>
      <c r="G139" s="75">
        <f t="shared" si="3"/>
        <v>6.0345900000000006</v>
      </c>
      <c r="H139" s="74">
        <v>0</v>
      </c>
      <c r="I139" s="74" t="s">
        <v>249</v>
      </c>
      <c r="J139" s="76" t="s">
        <v>1344</v>
      </c>
      <c r="K139" s="78" t="s">
        <v>1319</v>
      </c>
      <c r="L139" s="78" t="s">
        <v>252</v>
      </c>
      <c r="M139" s="79" t="s">
        <v>1280</v>
      </c>
      <c r="N139" s="80">
        <v>61.2</v>
      </c>
      <c r="O139" s="80">
        <v>8</v>
      </c>
      <c r="P139" s="80">
        <v>3230</v>
      </c>
      <c r="Q139" s="80">
        <v>0.94</v>
      </c>
      <c r="R139" s="80">
        <v>60.3</v>
      </c>
      <c r="S139" s="73" t="str">
        <f t="shared" si="5"/>
        <v>EG1R-240-355-A26</v>
      </c>
      <c r="T139" s="78"/>
      <c r="U139" s="292"/>
    </row>
    <row r="140" spans="1:21" x14ac:dyDescent="0.3">
      <c r="A140" s="296" t="str">
        <f t="shared" si="4"/>
        <v>355_208_4.5</v>
      </c>
      <c r="B140" s="68">
        <v>44575</v>
      </c>
      <c r="C140" s="69" t="s">
        <v>248</v>
      </c>
      <c r="D140" s="74">
        <v>355</v>
      </c>
      <c r="E140" s="74">
        <v>208</v>
      </c>
      <c r="F140" s="74">
        <v>4.5</v>
      </c>
      <c r="G140" s="75">
        <f t="shared" si="3"/>
        <v>6.0345900000000006</v>
      </c>
      <c r="H140" s="74">
        <v>1</v>
      </c>
      <c r="I140" s="74" t="s">
        <v>249</v>
      </c>
      <c r="J140" s="76" t="s">
        <v>1346</v>
      </c>
      <c r="K140" s="78" t="s">
        <v>1319</v>
      </c>
      <c r="L140" s="78" t="s">
        <v>256</v>
      </c>
      <c r="M140" s="79" t="s">
        <v>1281</v>
      </c>
      <c r="N140" s="80">
        <v>61.2</v>
      </c>
      <c r="O140" s="80">
        <v>8.64</v>
      </c>
      <c r="P140" s="80">
        <v>3230</v>
      </c>
      <c r="Q140" s="80">
        <v>0.94</v>
      </c>
      <c r="R140" s="80">
        <v>60.3</v>
      </c>
      <c r="S140" s="73" t="str">
        <f t="shared" si="5"/>
        <v>EG1R-240-355-A29</v>
      </c>
      <c r="T140" s="78"/>
      <c r="U140" s="292"/>
    </row>
    <row r="141" spans="1:21" x14ac:dyDescent="0.3">
      <c r="A141" s="296" t="str">
        <f t="shared" si="4"/>
        <v>355_230_4.5</v>
      </c>
      <c r="B141" s="68">
        <v>44575</v>
      </c>
      <c r="C141" s="69" t="s">
        <v>248</v>
      </c>
      <c r="D141" s="74">
        <v>355</v>
      </c>
      <c r="E141" s="74">
        <v>230</v>
      </c>
      <c r="F141" s="74">
        <v>4.5</v>
      </c>
      <c r="G141" s="75">
        <f t="shared" si="3"/>
        <v>6.0345900000000006</v>
      </c>
      <c r="H141" s="74">
        <v>1</v>
      </c>
      <c r="I141" s="74" t="s">
        <v>249</v>
      </c>
      <c r="J141" s="76" t="s">
        <v>1345</v>
      </c>
      <c r="K141" s="78" t="s">
        <v>1319</v>
      </c>
      <c r="L141" s="78" t="s">
        <v>256</v>
      </c>
      <c r="M141" s="79" t="s">
        <v>1281</v>
      </c>
      <c r="N141" s="80">
        <v>61.2</v>
      </c>
      <c r="O141" s="80">
        <v>8</v>
      </c>
      <c r="P141" s="80">
        <v>3230</v>
      </c>
      <c r="Q141" s="80">
        <v>0.94</v>
      </c>
      <c r="R141" s="80">
        <v>60.3</v>
      </c>
      <c r="S141" s="73" t="str">
        <f t="shared" si="5"/>
        <v>EG1R-240-355-A29</v>
      </c>
      <c r="T141" s="78"/>
      <c r="U141" s="292"/>
    </row>
    <row r="142" spans="1:21" x14ac:dyDescent="0.3">
      <c r="A142" s="296" t="str">
        <f t="shared" si="4"/>
        <v>400_208_4.5</v>
      </c>
      <c r="B142" s="68">
        <v>44575</v>
      </c>
      <c r="C142" s="69" t="s">
        <v>248</v>
      </c>
      <c r="D142" s="74">
        <v>400</v>
      </c>
      <c r="E142" s="74">
        <v>208</v>
      </c>
      <c r="F142" s="74">
        <v>4.5</v>
      </c>
      <c r="G142" s="75">
        <f t="shared" si="3"/>
        <v>6.0345900000000006</v>
      </c>
      <c r="H142" s="74">
        <v>0</v>
      </c>
      <c r="I142" s="74" t="s">
        <v>249</v>
      </c>
      <c r="J142" s="76" t="s">
        <v>1347</v>
      </c>
      <c r="K142" s="78" t="s">
        <v>1320</v>
      </c>
      <c r="L142" s="78" t="s">
        <v>252</v>
      </c>
      <c r="M142" s="79" t="s">
        <v>1282</v>
      </c>
      <c r="N142" s="80">
        <v>77.400000000000006</v>
      </c>
      <c r="O142" s="80">
        <v>11.12</v>
      </c>
      <c r="P142" s="80">
        <v>2800</v>
      </c>
      <c r="Q142" s="80">
        <v>0.95</v>
      </c>
      <c r="R142" s="80">
        <v>61.3</v>
      </c>
      <c r="S142" s="73" t="str">
        <f t="shared" si="5"/>
        <v>EG1R-240-400-A26</v>
      </c>
      <c r="T142" s="78"/>
      <c r="U142" s="292"/>
    </row>
    <row r="143" spans="1:21" x14ac:dyDescent="0.3">
      <c r="A143" s="296" t="str">
        <f t="shared" si="4"/>
        <v>400_230_4.5</v>
      </c>
      <c r="B143" s="68">
        <v>44575</v>
      </c>
      <c r="C143" s="69" t="s">
        <v>248</v>
      </c>
      <c r="D143" s="74">
        <v>400</v>
      </c>
      <c r="E143" s="74">
        <v>230</v>
      </c>
      <c r="F143" s="74">
        <v>4.5</v>
      </c>
      <c r="G143" s="75">
        <f t="shared" si="3"/>
        <v>6.0345900000000006</v>
      </c>
      <c r="H143" s="74">
        <v>0</v>
      </c>
      <c r="I143" s="74" t="s">
        <v>249</v>
      </c>
      <c r="J143" s="76" t="s">
        <v>1348</v>
      </c>
      <c r="K143" s="78" t="s">
        <v>1320</v>
      </c>
      <c r="L143" s="78" t="s">
        <v>252</v>
      </c>
      <c r="M143" s="79" t="s">
        <v>1282</v>
      </c>
      <c r="N143" s="80">
        <v>77.400000000000006</v>
      </c>
      <c r="O143" s="80">
        <v>10.3</v>
      </c>
      <c r="P143" s="80">
        <v>2800</v>
      </c>
      <c r="Q143" s="80">
        <v>0.95</v>
      </c>
      <c r="R143" s="80">
        <v>61.3</v>
      </c>
      <c r="S143" s="73" t="str">
        <f t="shared" si="5"/>
        <v>EG1R-240-400-A26</v>
      </c>
      <c r="T143" s="78"/>
      <c r="U143" s="292"/>
    </row>
    <row r="144" spans="1:21" x14ac:dyDescent="0.3">
      <c r="A144" s="296" t="str">
        <f t="shared" si="4"/>
        <v>400_208_4.5</v>
      </c>
      <c r="B144" s="68">
        <v>44575</v>
      </c>
      <c r="C144" s="69" t="s">
        <v>248</v>
      </c>
      <c r="D144" s="74">
        <v>400</v>
      </c>
      <c r="E144" s="74">
        <v>208</v>
      </c>
      <c r="F144" s="74">
        <v>4.5</v>
      </c>
      <c r="G144" s="75">
        <f t="shared" si="3"/>
        <v>6.0345900000000006</v>
      </c>
      <c r="H144" s="74">
        <v>1</v>
      </c>
      <c r="I144" s="74" t="s">
        <v>249</v>
      </c>
      <c r="J144" s="76" t="s">
        <v>1349</v>
      </c>
      <c r="K144" s="78" t="s">
        <v>1320</v>
      </c>
      <c r="L144" s="78" t="s">
        <v>256</v>
      </c>
      <c r="M144" s="79" t="s">
        <v>1283</v>
      </c>
      <c r="N144" s="80">
        <v>77.400000000000006</v>
      </c>
      <c r="O144" s="80">
        <v>11.12</v>
      </c>
      <c r="P144" s="80">
        <v>2800</v>
      </c>
      <c r="Q144" s="80">
        <v>0.95</v>
      </c>
      <c r="R144" s="80">
        <v>61.3</v>
      </c>
      <c r="S144" s="73" t="str">
        <f t="shared" si="5"/>
        <v>EG1R-240-400-A29</v>
      </c>
      <c r="T144" s="78"/>
      <c r="U144" s="292"/>
    </row>
    <row r="145" spans="1:21" x14ac:dyDescent="0.3">
      <c r="A145" s="296" t="str">
        <f t="shared" si="4"/>
        <v>400_230_4.5</v>
      </c>
      <c r="B145" s="68">
        <v>44575</v>
      </c>
      <c r="C145" s="69" t="s">
        <v>248</v>
      </c>
      <c r="D145" s="74">
        <v>400</v>
      </c>
      <c r="E145" s="74">
        <v>230</v>
      </c>
      <c r="F145" s="74">
        <v>4.5</v>
      </c>
      <c r="G145" s="75">
        <f t="shared" si="3"/>
        <v>6.0345900000000006</v>
      </c>
      <c r="H145" s="74">
        <v>1</v>
      </c>
      <c r="I145" s="74" t="s">
        <v>249</v>
      </c>
      <c r="J145" s="76" t="s">
        <v>1350</v>
      </c>
      <c r="K145" s="78" t="s">
        <v>1320</v>
      </c>
      <c r="L145" s="78" t="s">
        <v>256</v>
      </c>
      <c r="M145" s="79" t="s">
        <v>1283</v>
      </c>
      <c r="N145" s="80">
        <v>77.400000000000006</v>
      </c>
      <c r="O145" s="80">
        <v>10.3</v>
      </c>
      <c r="P145" s="80">
        <v>2800</v>
      </c>
      <c r="Q145" s="80">
        <v>0.95</v>
      </c>
      <c r="R145" s="80">
        <v>61.3</v>
      </c>
      <c r="S145" s="73" t="str">
        <f t="shared" si="5"/>
        <v>EG1R-240-400-A29</v>
      </c>
      <c r="T145" s="78"/>
      <c r="U145" s="292"/>
    </row>
    <row r="146" spans="1:21" x14ac:dyDescent="0.3">
      <c r="A146" s="296" t="str">
        <f t="shared" si="4"/>
        <v>450_208_4.5</v>
      </c>
      <c r="B146" s="68">
        <v>44575</v>
      </c>
      <c r="C146" s="69" t="s">
        <v>248</v>
      </c>
      <c r="D146" s="74">
        <v>450</v>
      </c>
      <c r="E146" s="74">
        <v>208</v>
      </c>
      <c r="F146" s="74">
        <v>4.5</v>
      </c>
      <c r="G146" s="75">
        <f t="shared" si="3"/>
        <v>6.0345900000000006</v>
      </c>
      <c r="H146" s="74">
        <v>0</v>
      </c>
      <c r="I146" s="74" t="s">
        <v>249</v>
      </c>
      <c r="J146" s="76" t="s">
        <v>1351</v>
      </c>
      <c r="K146" s="78" t="s">
        <v>1321</v>
      </c>
      <c r="L146" s="78" t="s">
        <v>252</v>
      </c>
      <c r="M146" s="79" t="s">
        <v>1284</v>
      </c>
      <c r="N146" s="80">
        <v>99</v>
      </c>
      <c r="O146" s="80">
        <v>11.23</v>
      </c>
      <c r="P146" s="80">
        <v>2290</v>
      </c>
      <c r="Q146" s="80">
        <v>0.95</v>
      </c>
      <c r="R146" s="80">
        <v>64.099999999999994</v>
      </c>
      <c r="S146" s="73" t="str">
        <f t="shared" si="5"/>
        <v>EG1R-240-450-A26</v>
      </c>
      <c r="T146" s="78"/>
      <c r="U146" s="292"/>
    </row>
    <row r="147" spans="1:21" x14ac:dyDescent="0.3">
      <c r="A147" s="296" t="str">
        <f t="shared" si="4"/>
        <v>450_230_4.5</v>
      </c>
      <c r="B147" s="68">
        <v>44575</v>
      </c>
      <c r="C147" s="69" t="s">
        <v>248</v>
      </c>
      <c r="D147" s="74">
        <v>450</v>
      </c>
      <c r="E147" s="74">
        <v>230</v>
      </c>
      <c r="F147" s="74">
        <v>4.5</v>
      </c>
      <c r="G147" s="75">
        <f t="shared" si="3"/>
        <v>6.0345900000000006</v>
      </c>
      <c r="H147" s="74">
        <v>0</v>
      </c>
      <c r="I147" s="74" t="s">
        <v>249</v>
      </c>
      <c r="J147" s="76" t="s">
        <v>1352</v>
      </c>
      <c r="K147" s="78" t="s">
        <v>1321</v>
      </c>
      <c r="L147" s="78" t="s">
        <v>252</v>
      </c>
      <c r="M147" s="79" t="s">
        <v>1284</v>
      </c>
      <c r="N147" s="80">
        <v>99</v>
      </c>
      <c r="O147" s="80">
        <v>10.4</v>
      </c>
      <c r="P147" s="80">
        <v>2290</v>
      </c>
      <c r="Q147" s="80">
        <v>0.95</v>
      </c>
      <c r="R147" s="80">
        <v>64.099999999999994</v>
      </c>
      <c r="S147" s="73" t="str">
        <f t="shared" si="5"/>
        <v>EG1R-240-450-A26</v>
      </c>
      <c r="T147" s="78"/>
      <c r="U147" s="292"/>
    </row>
    <row r="148" spans="1:21" x14ac:dyDescent="0.3">
      <c r="A148" s="296" t="str">
        <f t="shared" si="4"/>
        <v>450_208_4.5</v>
      </c>
      <c r="B148" s="68">
        <v>44575</v>
      </c>
      <c r="C148" s="69" t="s">
        <v>248</v>
      </c>
      <c r="D148" s="74">
        <v>450</v>
      </c>
      <c r="E148" s="74">
        <v>208</v>
      </c>
      <c r="F148" s="74">
        <v>4.5</v>
      </c>
      <c r="G148" s="75">
        <f t="shared" si="3"/>
        <v>6.0345900000000006</v>
      </c>
      <c r="H148" s="74">
        <v>1</v>
      </c>
      <c r="I148" s="74" t="s">
        <v>249</v>
      </c>
      <c r="J148" s="76" t="s">
        <v>1355</v>
      </c>
      <c r="K148" s="78" t="s">
        <v>1321</v>
      </c>
      <c r="L148" s="78" t="s">
        <v>256</v>
      </c>
      <c r="M148" s="79" t="s">
        <v>1285</v>
      </c>
      <c r="N148" s="80">
        <v>99</v>
      </c>
      <c r="O148" s="80">
        <v>11.23</v>
      </c>
      <c r="P148" s="80">
        <v>2290</v>
      </c>
      <c r="Q148" s="80">
        <v>0.95</v>
      </c>
      <c r="R148" s="80">
        <v>64.099999999999994</v>
      </c>
      <c r="S148" s="73" t="str">
        <f t="shared" si="5"/>
        <v>EG1R-240-450-A29</v>
      </c>
      <c r="T148" s="78"/>
      <c r="U148" s="292"/>
    </row>
    <row r="149" spans="1:21" x14ac:dyDescent="0.3">
      <c r="A149" s="296" t="str">
        <f t="shared" si="4"/>
        <v>450_230_4.5</v>
      </c>
      <c r="B149" s="68">
        <v>44575</v>
      </c>
      <c r="C149" s="69" t="s">
        <v>248</v>
      </c>
      <c r="D149" s="74">
        <v>450</v>
      </c>
      <c r="E149" s="74">
        <v>230</v>
      </c>
      <c r="F149" s="74">
        <v>4.5</v>
      </c>
      <c r="G149" s="75">
        <f t="shared" si="3"/>
        <v>6.0345900000000006</v>
      </c>
      <c r="H149" s="74">
        <v>1</v>
      </c>
      <c r="I149" s="74" t="s">
        <v>249</v>
      </c>
      <c r="J149" s="76" t="s">
        <v>1353</v>
      </c>
      <c r="K149" s="78" t="s">
        <v>1321</v>
      </c>
      <c r="L149" s="78" t="s">
        <v>256</v>
      </c>
      <c r="M149" s="79" t="s">
        <v>1285</v>
      </c>
      <c r="N149" s="80">
        <v>99</v>
      </c>
      <c r="O149" s="80">
        <v>10.4</v>
      </c>
      <c r="P149" s="80">
        <v>2290</v>
      </c>
      <c r="Q149" s="80">
        <v>0.95</v>
      </c>
      <c r="R149" s="80">
        <v>64.099999999999994</v>
      </c>
      <c r="S149" s="73" t="str">
        <f t="shared" si="5"/>
        <v>EG1R-240-450-A29</v>
      </c>
      <c r="T149" s="78"/>
      <c r="U149" s="292"/>
    </row>
    <row r="150" spans="1:21" x14ac:dyDescent="0.3">
      <c r="A150" s="296" t="str">
        <f t="shared" si="4"/>
        <v>450_208_8</v>
      </c>
      <c r="B150" s="68">
        <v>45545</v>
      </c>
      <c r="C150" s="69" t="s">
        <v>248</v>
      </c>
      <c r="D150" s="69">
        <v>450</v>
      </c>
      <c r="E150" s="69">
        <v>208</v>
      </c>
      <c r="F150" s="69">
        <v>8</v>
      </c>
      <c r="G150" s="75">
        <f t="shared" ref="G150:G193" si="6">F150*1.34102</f>
        <v>10.728160000000001</v>
      </c>
      <c r="H150" s="69">
        <v>0</v>
      </c>
      <c r="I150" s="74" t="s">
        <v>249</v>
      </c>
      <c r="J150" s="76" t="s">
        <v>1354</v>
      </c>
      <c r="K150" s="78" t="s">
        <v>1322</v>
      </c>
      <c r="L150" s="78" t="s">
        <v>252</v>
      </c>
      <c r="M150" s="79" t="s">
        <v>1286</v>
      </c>
      <c r="N150" s="80">
        <v>108</v>
      </c>
      <c r="O150" s="80">
        <v>16.100000000000001</v>
      </c>
      <c r="P150" s="80">
        <v>2600</v>
      </c>
      <c r="Q150" s="80">
        <v>0.93</v>
      </c>
      <c r="R150" s="80">
        <v>63</v>
      </c>
      <c r="S150" s="73" t="str">
        <f t="shared" si="5"/>
        <v>EG1R-240-450-B26</v>
      </c>
      <c r="T150" s="78"/>
      <c r="U150" s="292"/>
    </row>
    <row r="151" spans="1:21" x14ac:dyDescent="0.3">
      <c r="A151" s="296" t="str">
        <f t="shared" ref="A151:A193" si="7">CONCATENATE(D151,"_",E151,"_",F151)</f>
        <v>450_230_8</v>
      </c>
      <c r="B151" s="68">
        <v>45545</v>
      </c>
      <c r="C151" s="69" t="s">
        <v>248</v>
      </c>
      <c r="D151" s="69">
        <v>450</v>
      </c>
      <c r="E151" s="69">
        <v>230</v>
      </c>
      <c r="F151" s="69">
        <v>8</v>
      </c>
      <c r="G151" s="75">
        <f t="shared" si="6"/>
        <v>10.728160000000001</v>
      </c>
      <c r="H151" s="69">
        <v>0</v>
      </c>
      <c r="I151" s="74" t="s">
        <v>249</v>
      </c>
      <c r="J151" s="76" t="s">
        <v>1356</v>
      </c>
      <c r="K151" s="78" t="s">
        <v>1322</v>
      </c>
      <c r="L151" s="78" t="s">
        <v>252</v>
      </c>
      <c r="M151" s="79" t="s">
        <v>1286</v>
      </c>
      <c r="N151" s="80">
        <v>108</v>
      </c>
      <c r="O151" s="80">
        <v>14.91</v>
      </c>
      <c r="P151" s="80">
        <v>2600</v>
      </c>
      <c r="Q151" s="80">
        <v>0.93</v>
      </c>
      <c r="R151" s="80">
        <v>63</v>
      </c>
      <c r="S151" s="73" t="str">
        <f t="shared" si="5"/>
        <v>EG1R-240-450-B26</v>
      </c>
      <c r="T151" s="78"/>
      <c r="U151" s="292"/>
    </row>
    <row r="152" spans="1:21" x14ac:dyDescent="0.3">
      <c r="A152" s="296" t="str">
        <f t="shared" si="7"/>
        <v>450_208_8</v>
      </c>
      <c r="B152" s="68">
        <v>45545</v>
      </c>
      <c r="C152" s="69" t="s">
        <v>248</v>
      </c>
      <c r="D152" s="69">
        <v>450</v>
      </c>
      <c r="E152" s="69">
        <v>208</v>
      </c>
      <c r="F152" s="69">
        <v>8</v>
      </c>
      <c r="G152" s="75">
        <f t="shared" si="6"/>
        <v>10.728160000000001</v>
      </c>
      <c r="H152" s="69">
        <v>1</v>
      </c>
      <c r="I152" s="74" t="s">
        <v>249</v>
      </c>
      <c r="J152" s="76" t="s">
        <v>1357</v>
      </c>
      <c r="K152" s="78" t="s">
        <v>1322</v>
      </c>
      <c r="L152" s="78" t="s">
        <v>256</v>
      </c>
      <c r="M152" s="79" t="s">
        <v>1287</v>
      </c>
      <c r="N152" s="80">
        <v>108</v>
      </c>
      <c r="O152" s="80">
        <v>16.100000000000001</v>
      </c>
      <c r="P152" s="80">
        <v>2600</v>
      </c>
      <c r="Q152" s="80">
        <v>0.93</v>
      </c>
      <c r="R152" s="80">
        <v>63</v>
      </c>
      <c r="S152" s="73" t="str">
        <f t="shared" si="5"/>
        <v>EG1R-240-450-B29</v>
      </c>
      <c r="T152" s="78"/>
      <c r="U152" s="292"/>
    </row>
    <row r="153" spans="1:21" x14ac:dyDescent="0.3">
      <c r="A153" s="296" t="str">
        <f t="shared" si="7"/>
        <v>450_230_8</v>
      </c>
      <c r="B153" s="68">
        <v>45545</v>
      </c>
      <c r="C153" s="69" t="s">
        <v>248</v>
      </c>
      <c r="D153" s="69">
        <v>450</v>
      </c>
      <c r="E153" s="69">
        <v>230</v>
      </c>
      <c r="F153" s="69">
        <v>8</v>
      </c>
      <c r="G153" s="75">
        <f t="shared" si="6"/>
        <v>10.728160000000001</v>
      </c>
      <c r="H153" s="69">
        <v>1</v>
      </c>
      <c r="I153" s="74" t="s">
        <v>249</v>
      </c>
      <c r="J153" s="76" t="s">
        <v>1358</v>
      </c>
      <c r="K153" s="78" t="s">
        <v>1322</v>
      </c>
      <c r="L153" s="78" t="s">
        <v>256</v>
      </c>
      <c r="M153" s="79" t="s">
        <v>1287</v>
      </c>
      <c r="N153" s="80">
        <v>108</v>
      </c>
      <c r="O153" s="80">
        <v>14.91</v>
      </c>
      <c r="P153" s="80">
        <v>2600</v>
      </c>
      <c r="Q153" s="80">
        <v>0.93</v>
      </c>
      <c r="R153" s="80">
        <v>63</v>
      </c>
      <c r="S153" s="73" t="str">
        <f t="shared" si="5"/>
        <v>EG1R-240-450-B29</v>
      </c>
      <c r="T153" s="78"/>
      <c r="U153" s="292"/>
    </row>
    <row r="154" spans="1:21" x14ac:dyDescent="0.3">
      <c r="A154" s="296" t="str">
        <f t="shared" si="7"/>
        <v>500_208_4.5</v>
      </c>
      <c r="B154" s="68">
        <v>44575</v>
      </c>
      <c r="C154" s="69" t="s">
        <v>248</v>
      </c>
      <c r="D154" s="74">
        <v>500</v>
      </c>
      <c r="E154" s="74">
        <v>208</v>
      </c>
      <c r="F154" s="74">
        <v>4.5</v>
      </c>
      <c r="G154" s="75">
        <f t="shared" si="6"/>
        <v>6.0345900000000006</v>
      </c>
      <c r="H154" s="74">
        <v>0</v>
      </c>
      <c r="I154" s="74" t="s">
        <v>249</v>
      </c>
      <c r="J154" s="76" t="s">
        <v>1359</v>
      </c>
      <c r="K154" s="78" t="s">
        <v>1323</v>
      </c>
      <c r="L154" s="78" t="s">
        <v>252</v>
      </c>
      <c r="M154" s="79" t="s">
        <v>1288</v>
      </c>
      <c r="N154" s="80">
        <v>110</v>
      </c>
      <c r="O154" s="80">
        <v>11.23</v>
      </c>
      <c r="P154" s="80">
        <v>1930</v>
      </c>
      <c r="Q154" s="80">
        <v>0.95</v>
      </c>
      <c r="R154" s="80">
        <v>62</v>
      </c>
      <c r="S154" s="73" t="str">
        <f t="shared" si="5"/>
        <v>EG1R-240-500-A26</v>
      </c>
      <c r="T154" s="78"/>
      <c r="U154" s="292"/>
    </row>
    <row r="155" spans="1:21" x14ac:dyDescent="0.3">
      <c r="A155" s="296" t="str">
        <f t="shared" si="7"/>
        <v>500_230_4.5</v>
      </c>
      <c r="B155" s="68">
        <v>44575</v>
      </c>
      <c r="C155" s="69" t="s">
        <v>248</v>
      </c>
      <c r="D155" s="74">
        <v>500</v>
      </c>
      <c r="E155" s="74">
        <v>230</v>
      </c>
      <c r="F155" s="74">
        <v>4.5</v>
      </c>
      <c r="G155" s="75">
        <f t="shared" si="6"/>
        <v>6.0345900000000006</v>
      </c>
      <c r="H155" s="74">
        <v>0</v>
      </c>
      <c r="I155" s="74" t="s">
        <v>249</v>
      </c>
      <c r="J155" s="76" t="s">
        <v>1360</v>
      </c>
      <c r="K155" s="78" t="s">
        <v>1323</v>
      </c>
      <c r="L155" s="78" t="s">
        <v>252</v>
      </c>
      <c r="M155" s="79" t="s">
        <v>1288</v>
      </c>
      <c r="N155" s="80">
        <v>110</v>
      </c>
      <c r="O155" s="80">
        <v>10.4</v>
      </c>
      <c r="P155" s="80">
        <v>1930</v>
      </c>
      <c r="Q155" s="80">
        <v>0.95</v>
      </c>
      <c r="R155" s="80">
        <v>62</v>
      </c>
      <c r="S155" s="73" t="str">
        <f t="shared" si="5"/>
        <v>EG1R-240-500-A26</v>
      </c>
      <c r="T155" s="78"/>
      <c r="U155" s="292"/>
    </row>
    <row r="156" spans="1:21" x14ac:dyDescent="0.3">
      <c r="A156" s="296" t="str">
        <f t="shared" si="7"/>
        <v>500_208_4.5</v>
      </c>
      <c r="B156" s="68">
        <v>44575</v>
      </c>
      <c r="C156" s="69" t="s">
        <v>248</v>
      </c>
      <c r="D156" s="74">
        <v>500</v>
      </c>
      <c r="E156" s="74">
        <v>208</v>
      </c>
      <c r="F156" s="74">
        <v>4.5</v>
      </c>
      <c r="G156" s="75">
        <f t="shared" si="6"/>
        <v>6.0345900000000006</v>
      </c>
      <c r="H156" s="74">
        <v>1</v>
      </c>
      <c r="I156" s="74" t="s">
        <v>249</v>
      </c>
      <c r="J156" s="76" t="s">
        <v>1361</v>
      </c>
      <c r="K156" s="78" t="s">
        <v>1323</v>
      </c>
      <c r="L156" s="78" t="s">
        <v>256</v>
      </c>
      <c r="M156" s="79" t="s">
        <v>1289</v>
      </c>
      <c r="N156" s="80">
        <v>110</v>
      </c>
      <c r="O156" s="80">
        <v>11.23</v>
      </c>
      <c r="P156" s="80">
        <v>1930</v>
      </c>
      <c r="Q156" s="80">
        <v>0.95</v>
      </c>
      <c r="R156" s="80">
        <v>62</v>
      </c>
      <c r="S156" s="73" t="str">
        <f t="shared" si="5"/>
        <v>EG1R-240-500-A29</v>
      </c>
      <c r="T156" s="78"/>
      <c r="U156" s="292"/>
    </row>
    <row r="157" spans="1:21" x14ac:dyDescent="0.3">
      <c r="A157" s="296" t="str">
        <f t="shared" si="7"/>
        <v>500_230_4.5</v>
      </c>
      <c r="B157" s="68">
        <v>44575</v>
      </c>
      <c r="C157" s="69" t="s">
        <v>248</v>
      </c>
      <c r="D157" s="74">
        <v>500</v>
      </c>
      <c r="E157" s="74">
        <v>230</v>
      </c>
      <c r="F157" s="74">
        <v>4.5</v>
      </c>
      <c r="G157" s="75">
        <f t="shared" si="6"/>
        <v>6.0345900000000006</v>
      </c>
      <c r="H157" s="74">
        <v>1</v>
      </c>
      <c r="I157" s="74" t="s">
        <v>249</v>
      </c>
      <c r="J157" s="76" t="s">
        <v>1362</v>
      </c>
      <c r="K157" s="78" t="s">
        <v>1323</v>
      </c>
      <c r="L157" s="78" t="s">
        <v>256</v>
      </c>
      <c r="M157" s="79" t="s">
        <v>1289</v>
      </c>
      <c r="N157" s="80">
        <v>110</v>
      </c>
      <c r="O157" s="80">
        <v>10.4</v>
      </c>
      <c r="P157" s="80">
        <v>1930</v>
      </c>
      <c r="Q157" s="80">
        <v>0.95</v>
      </c>
      <c r="R157" s="80">
        <v>62</v>
      </c>
      <c r="S157" s="73" t="str">
        <f t="shared" si="5"/>
        <v>EG1R-240-500-A29</v>
      </c>
      <c r="T157" s="78"/>
      <c r="U157" s="292"/>
    </row>
    <row r="158" spans="1:21" x14ac:dyDescent="0.3">
      <c r="A158" s="296" t="str">
        <f t="shared" si="7"/>
        <v>500_208_8</v>
      </c>
      <c r="B158" s="68">
        <v>45545</v>
      </c>
      <c r="C158" s="69" t="s">
        <v>248</v>
      </c>
      <c r="D158" s="74">
        <v>500</v>
      </c>
      <c r="E158" s="69">
        <v>208</v>
      </c>
      <c r="F158" s="69">
        <v>8</v>
      </c>
      <c r="G158" s="75">
        <f t="shared" si="6"/>
        <v>10.728160000000001</v>
      </c>
      <c r="H158" s="69">
        <v>0</v>
      </c>
      <c r="I158" s="74" t="s">
        <v>249</v>
      </c>
      <c r="J158" s="76" t="s">
        <v>1363</v>
      </c>
      <c r="K158" s="78" t="s">
        <v>1324</v>
      </c>
      <c r="L158" s="78" t="s">
        <v>252</v>
      </c>
      <c r="M158" s="79" t="s">
        <v>1290</v>
      </c>
      <c r="N158" s="80">
        <v>110</v>
      </c>
      <c r="O158" s="80">
        <v>20.97</v>
      </c>
      <c r="P158" s="80">
        <v>2400</v>
      </c>
      <c r="Q158" s="80">
        <v>0.94</v>
      </c>
      <c r="R158" s="80">
        <v>62.5</v>
      </c>
      <c r="S158" s="73" t="str">
        <f t="shared" si="5"/>
        <v>EG1R-240-500-B26</v>
      </c>
      <c r="T158" s="78"/>
      <c r="U158" s="292"/>
    </row>
    <row r="159" spans="1:21" x14ac:dyDescent="0.3">
      <c r="A159" s="296" t="str">
        <f t="shared" si="7"/>
        <v>500_230_8</v>
      </c>
      <c r="B159" s="68">
        <v>45545</v>
      </c>
      <c r="C159" s="69" t="s">
        <v>248</v>
      </c>
      <c r="D159" s="74">
        <v>500</v>
      </c>
      <c r="E159" s="69">
        <v>230</v>
      </c>
      <c r="F159" s="69">
        <v>8</v>
      </c>
      <c r="G159" s="75">
        <f t="shared" si="6"/>
        <v>10.728160000000001</v>
      </c>
      <c r="H159" s="69">
        <v>0</v>
      </c>
      <c r="I159" s="74" t="s">
        <v>249</v>
      </c>
      <c r="J159" s="76" t="s">
        <v>1364</v>
      </c>
      <c r="K159" s="78" t="s">
        <v>1324</v>
      </c>
      <c r="L159" s="78" t="s">
        <v>252</v>
      </c>
      <c r="M159" s="79" t="s">
        <v>1290</v>
      </c>
      <c r="N159" s="80">
        <v>110</v>
      </c>
      <c r="O159" s="80">
        <v>19.420000000000002</v>
      </c>
      <c r="P159" s="80">
        <v>2400</v>
      </c>
      <c r="Q159" s="80">
        <v>0.94</v>
      </c>
      <c r="R159" s="80">
        <v>62.5</v>
      </c>
      <c r="S159" s="73" t="str">
        <f t="shared" si="5"/>
        <v>EG1R-240-500-B26</v>
      </c>
      <c r="T159" s="78"/>
      <c r="U159" s="292"/>
    </row>
    <row r="160" spans="1:21" x14ac:dyDescent="0.3">
      <c r="A160" s="296" t="str">
        <f t="shared" si="7"/>
        <v>500_208_8</v>
      </c>
      <c r="B160" s="68">
        <v>45545</v>
      </c>
      <c r="C160" s="69" t="s">
        <v>248</v>
      </c>
      <c r="D160" s="74">
        <v>500</v>
      </c>
      <c r="E160" s="69">
        <v>208</v>
      </c>
      <c r="F160" s="69">
        <v>8</v>
      </c>
      <c r="G160" s="75">
        <f t="shared" si="6"/>
        <v>10.728160000000001</v>
      </c>
      <c r="H160" s="69">
        <v>1</v>
      </c>
      <c r="I160" s="74" t="s">
        <v>249</v>
      </c>
      <c r="J160" s="76" t="s">
        <v>1365</v>
      </c>
      <c r="K160" s="78" t="s">
        <v>1324</v>
      </c>
      <c r="L160" s="78" t="s">
        <v>256</v>
      </c>
      <c r="M160" s="79" t="s">
        <v>1291</v>
      </c>
      <c r="N160" s="80">
        <v>110</v>
      </c>
      <c r="O160" s="80">
        <v>20.97</v>
      </c>
      <c r="P160" s="80">
        <v>2400</v>
      </c>
      <c r="Q160" s="80">
        <v>0.94</v>
      </c>
      <c r="R160" s="80">
        <v>62.5</v>
      </c>
      <c r="S160" s="73" t="str">
        <f t="shared" si="5"/>
        <v>EG1R-240-500-B29</v>
      </c>
      <c r="T160" s="78"/>
      <c r="U160" s="292"/>
    </row>
    <row r="161" spans="1:21" x14ac:dyDescent="0.3">
      <c r="A161" s="296" t="str">
        <f t="shared" si="7"/>
        <v>500_230_8</v>
      </c>
      <c r="B161" s="68">
        <v>45545</v>
      </c>
      <c r="C161" s="69" t="s">
        <v>248</v>
      </c>
      <c r="D161" s="74">
        <v>500</v>
      </c>
      <c r="E161" s="69">
        <v>230</v>
      </c>
      <c r="F161" s="69">
        <v>8</v>
      </c>
      <c r="G161" s="75">
        <f t="shared" si="6"/>
        <v>10.728160000000001</v>
      </c>
      <c r="H161" s="69">
        <v>1</v>
      </c>
      <c r="I161" s="74" t="s">
        <v>249</v>
      </c>
      <c r="J161" s="76" t="s">
        <v>1366</v>
      </c>
      <c r="K161" s="78" t="s">
        <v>1324</v>
      </c>
      <c r="L161" s="78" t="s">
        <v>256</v>
      </c>
      <c r="M161" s="79" t="s">
        <v>1291</v>
      </c>
      <c r="N161" s="80">
        <v>110</v>
      </c>
      <c r="O161" s="80">
        <v>19.420000000000002</v>
      </c>
      <c r="P161" s="80">
        <v>2400</v>
      </c>
      <c r="Q161" s="80">
        <v>0.94</v>
      </c>
      <c r="R161" s="80">
        <v>62.5</v>
      </c>
      <c r="S161" s="73" t="str">
        <f t="shared" si="5"/>
        <v>EG1R-240-500-B29</v>
      </c>
      <c r="T161" s="78"/>
      <c r="U161" s="292"/>
    </row>
    <row r="162" spans="1:21" x14ac:dyDescent="0.3">
      <c r="A162" s="296" t="str">
        <f t="shared" si="7"/>
        <v>560_208_4.5</v>
      </c>
      <c r="B162" s="68">
        <v>44575</v>
      </c>
      <c r="C162" s="69" t="s">
        <v>248</v>
      </c>
      <c r="D162" s="74">
        <v>560</v>
      </c>
      <c r="E162" s="74">
        <v>208</v>
      </c>
      <c r="F162" s="74">
        <v>4.5</v>
      </c>
      <c r="G162" s="75">
        <f t="shared" si="6"/>
        <v>6.0345900000000006</v>
      </c>
      <c r="H162" s="74">
        <v>0</v>
      </c>
      <c r="I162" s="74" t="s">
        <v>249</v>
      </c>
      <c r="J162" s="76" t="s">
        <v>1367</v>
      </c>
      <c r="K162" s="78" t="s">
        <v>1325</v>
      </c>
      <c r="L162" s="78" t="s">
        <v>252</v>
      </c>
      <c r="M162" s="79" t="s">
        <v>1292</v>
      </c>
      <c r="N162" s="80">
        <v>140</v>
      </c>
      <c r="O162" s="80">
        <v>10.91</v>
      </c>
      <c r="P162" s="80">
        <v>1585</v>
      </c>
      <c r="Q162" s="80">
        <v>0.94</v>
      </c>
      <c r="R162" s="80">
        <v>62.7</v>
      </c>
      <c r="S162" s="73" t="str">
        <f t="shared" si="5"/>
        <v>EG1R-240-560-A26</v>
      </c>
      <c r="T162" s="78"/>
      <c r="U162" s="292"/>
    </row>
    <row r="163" spans="1:21" x14ac:dyDescent="0.3">
      <c r="A163" s="296" t="str">
        <f t="shared" si="7"/>
        <v>560_230_4.5</v>
      </c>
      <c r="B163" s="68">
        <v>44575</v>
      </c>
      <c r="C163" s="69" t="s">
        <v>248</v>
      </c>
      <c r="D163" s="74">
        <v>560</v>
      </c>
      <c r="E163" s="74">
        <v>230</v>
      </c>
      <c r="F163" s="74">
        <v>4.5</v>
      </c>
      <c r="G163" s="75">
        <f t="shared" si="6"/>
        <v>6.0345900000000006</v>
      </c>
      <c r="H163" s="74">
        <v>0</v>
      </c>
      <c r="I163" s="74" t="s">
        <v>249</v>
      </c>
      <c r="J163" s="76" t="s">
        <v>1368</v>
      </c>
      <c r="K163" s="78" t="s">
        <v>1325</v>
      </c>
      <c r="L163" s="78" t="s">
        <v>252</v>
      </c>
      <c r="M163" s="79" t="s">
        <v>1292</v>
      </c>
      <c r="N163" s="80">
        <v>140</v>
      </c>
      <c r="O163" s="80">
        <v>10.1</v>
      </c>
      <c r="P163" s="80">
        <v>1585</v>
      </c>
      <c r="Q163" s="80">
        <v>0.94</v>
      </c>
      <c r="R163" s="80">
        <v>62.7</v>
      </c>
      <c r="S163" s="73" t="str">
        <f t="shared" si="5"/>
        <v>EG1R-240-560-A26</v>
      </c>
      <c r="T163" s="78"/>
      <c r="U163" s="292"/>
    </row>
    <row r="164" spans="1:21" x14ac:dyDescent="0.3">
      <c r="A164" s="296" t="str">
        <f t="shared" si="7"/>
        <v>560_208_4.5</v>
      </c>
      <c r="B164" s="68">
        <v>44575</v>
      </c>
      <c r="C164" s="69" t="s">
        <v>248</v>
      </c>
      <c r="D164" s="74">
        <v>560</v>
      </c>
      <c r="E164" s="74">
        <v>208</v>
      </c>
      <c r="F164" s="74">
        <v>4.5</v>
      </c>
      <c r="G164" s="75">
        <f t="shared" si="6"/>
        <v>6.0345900000000006</v>
      </c>
      <c r="H164" s="74">
        <v>1</v>
      </c>
      <c r="I164" s="74" t="s">
        <v>249</v>
      </c>
      <c r="J164" s="76" t="s">
        <v>1369</v>
      </c>
      <c r="K164" s="78" t="s">
        <v>1325</v>
      </c>
      <c r="L164" s="78" t="s">
        <v>256</v>
      </c>
      <c r="M164" s="79" t="s">
        <v>1293</v>
      </c>
      <c r="N164" s="80">
        <v>140</v>
      </c>
      <c r="O164" s="80">
        <v>10.91</v>
      </c>
      <c r="P164" s="80">
        <v>1585</v>
      </c>
      <c r="Q164" s="80">
        <v>0.94</v>
      </c>
      <c r="R164" s="80">
        <v>62.7</v>
      </c>
      <c r="S164" s="73" t="str">
        <f t="shared" si="5"/>
        <v>EG1R-240-560-A29</v>
      </c>
      <c r="T164" s="78"/>
      <c r="U164" s="292"/>
    </row>
    <row r="165" spans="1:21" x14ac:dyDescent="0.3">
      <c r="A165" s="296" t="str">
        <f t="shared" si="7"/>
        <v>560_230_4.5</v>
      </c>
      <c r="B165" s="68">
        <v>44575</v>
      </c>
      <c r="C165" s="69" t="s">
        <v>248</v>
      </c>
      <c r="D165" s="74">
        <v>560</v>
      </c>
      <c r="E165" s="74">
        <v>230</v>
      </c>
      <c r="F165" s="74">
        <v>4.5</v>
      </c>
      <c r="G165" s="75">
        <f t="shared" si="6"/>
        <v>6.0345900000000006</v>
      </c>
      <c r="H165" s="74">
        <v>1</v>
      </c>
      <c r="I165" s="74" t="s">
        <v>249</v>
      </c>
      <c r="J165" s="76" t="s">
        <v>1370</v>
      </c>
      <c r="K165" s="78" t="s">
        <v>1325</v>
      </c>
      <c r="L165" s="78" t="s">
        <v>256</v>
      </c>
      <c r="M165" s="79" t="s">
        <v>1293</v>
      </c>
      <c r="N165" s="80">
        <v>140</v>
      </c>
      <c r="O165" s="80">
        <v>10.1</v>
      </c>
      <c r="P165" s="80">
        <v>1585</v>
      </c>
      <c r="Q165" s="80">
        <v>0.94</v>
      </c>
      <c r="R165" s="80">
        <v>62.7</v>
      </c>
      <c r="S165" s="73" t="str">
        <f t="shared" si="5"/>
        <v>EG1R-240-560-A29</v>
      </c>
      <c r="T165" s="78"/>
      <c r="U165" s="292"/>
    </row>
    <row r="166" spans="1:21" x14ac:dyDescent="0.3">
      <c r="A166" s="296" t="str">
        <f t="shared" si="7"/>
        <v>560_208_8</v>
      </c>
      <c r="B166" s="68">
        <v>45545</v>
      </c>
      <c r="C166" s="69" t="s">
        <v>248</v>
      </c>
      <c r="D166" s="74">
        <v>560</v>
      </c>
      <c r="E166" s="69">
        <v>208</v>
      </c>
      <c r="F166" s="69">
        <v>8</v>
      </c>
      <c r="G166" s="75">
        <f t="shared" si="6"/>
        <v>10.728160000000001</v>
      </c>
      <c r="H166" s="69">
        <v>0</v>
      </c>
      <c r="I166" s="74" t="s">
        <v>249</v>
      </c>
      <c r="J166" s="76" t="s">
        <v>1371</v>
      </c>
      <c r="K166" s="78" t="s">
        <v>1326</v>
      </c>
      <c r="L166" s="78" t="s">
        <v>252</v>
      </c>
      <c r="M166" s="79" t="s">
        <v>1294</v>
      </c>
      <c r="N166" s="80">
        <v>145</v>
      </c>
      <c r="O166" s="80">
        <v>17.27</v>
      </c>
      <c r="P166" s="80">
        <v>1830</v>
      </c>
      <c r="Q166" s="80">
        <v>0.93</v>
      </c>
      <c r="R166" s="80">
        <v>63.3</v>
      </c>
      <c r="S166" s="73" t="str">
        <f t="shared" si="5"/>
        <v>EG1R-240-560-B26</v>
      </c>
      <c r="T166" s="78"/>
      <c r="U166" s="292"/>
    </row>
    <row r="167" spans="1:21" x14ac:dyDescent="0.3">
      <c r="A167" s="296" t="str">
        <f t="shared" si="7"/>
        <v>560_230_8</v>
      </c>
      <c r="B167" s="68">
        <v>45545</v>
      </c>
      <c r="C167" s="69" t="s">
        <v>248</v>
      </c>
      <c r="D167" s="74">
        <v>560</v>
      </c>
      <c r="E167" s="69">
        <v>230</v>
      </c>
      <c r="F167" s="69">
        <v>8</v>
      </c>
      <c r="G167" s="75">
        <f t="shared" si="6"/>
        <v>10.728160000000001</v>
      </c>
      <c r="H167" s="69">
        <v>0</v>
      </c>
      <c r="I167" s="74" t="s">
        <v>249</v>
      </c>
      <c r="J167" s="76" t="s">
        <v>1372</v>
      </c>
      <c r="K167" s="78" t="s">
        <v>1326</v>
      </c>
      <c r="L167" s="78" t="s">
        <v>252</v>
      </c>
      <c r="M167" s="79" t="s">
        <v>1294</v>
      </c>
      <c r="N167" s="80">
        <v>145</v>
      </c>
      <c r="O167" s="80">
        <v>15.99</v>
      </c>
      <c r="P167" s="80">
        <v>1830</v>
      </c>
      <c r="Q167" s="80">
        <v>0.93</v>
      </c>
      <c r="R167" s="80">
        <v>63.3</v>
      </c>
      <c r="S167" s="73" t="str">
        <f t="shared" si="5"/>
        <v>EG1R-240-560-B26</v>
      </c>
      <c r="T167" s="78"/>
      <c r="U167" s="292"/>
    </row>
    <row r="168" spans="1:21" x14ac:dyDescent="0.3">
      <c r="A168" s="296" t="str">
        <f t="shared" si="7"/>
        <v>560_208_8</v>
      </c>
      <c r="B168" s="68">
        <v>45545</v>
      </c>
      <c r="C168" s="69" t="s">
        <v>248</v>
      </c>
      <c r="D168" s="74">
        <v>560</v>
      </c>
      <c r="E168" s="69">
        <v>208</v>
      </c>
      <c r="F168" s="69">
        <v>8</v>
      </c>
      <c r="G168" s="75">
        <f t="shared" si="6"/>
        <v>10.728160000000001</v>
      </c>
      <c r="H168" s="69">
        <v>1</v>
      </c>
      <c r="I168" s="74" t="s">
        <v>249</v>
      </c>
      <c r="J168" s="76" t="s">
        <v>1373</v>
      </c>
      <c r="K168" s="78" t="s">
        <v>1326</v>
      </c>
      <c r="L168" s="78" t="s">
        <v>256</v>
      </c>
      <c r="M168" s="79" t="s">
        <v>1295</v>
      </c>
      <c r="N168" s="80">
        <v>145</v>
      </c>
      <c r="O168" s="80">
        <v>17.27</v>
      </c>
      <c r="P168" s="80">
        <v>1830</v>
      </c>
      <c r="Q168" s="80">
        <v>0.93</v>
      </c>
      <c r="R168" s="80">
        <v>63.3</v>
      </c>
      <c r="S168" s="73" t="str">
        <f t="shared" si="5"/>
        <v>EG1R-240-560-B29</v>
      </c>
      <c r="T168" s="78"/>
      <c r="U168" s="292"/>
    </row>
    <row r="169" spans="1:21" x14ac:dyDescent="0.3">
      <c r="A169" s="296" t="str">
        <f t="shared" si="7"/>
        <v>560_230_8</v>
      </c>
      <c r="B169" s="68">
        <v>45545</v>
      </c>
      <c r="C169" s="69" t="s">
        <v>248</v>
      </c>
      <c r="D169" s="74">
        <v>560</v>
      </c>
      <c r="E169" s="69">
        <v>230</v>
      </c>
      <c r="F169" s="69">
        <v>8</v>
      </c>
      <c r="G169" s="75">
        <f t="shared" si="6"/>
        <v>10.728160000000001</v>
      </c>
      <c r="H169" s="69">
        <v>1</v>
      </c>
      <c r="I169" s="74" t="s">
        <v>249</v>
      </c>
      <c r="J169" s="76" t="s">
        <v>1374</v>
      </c>
      <c r="K169" s="78" t="s">
        <v>1326</v>
      </c>
      <c r="L169" s="78" t="s">
        <v>256</v>
      </c>
      <c r="M169" s="79" t="s">
        <v>1295</v>
      </c>
      <c r="N169" s="80">
        <v>145</v>
      </c>
      <c r="O169" s="80">
        <v>15.99</v>
      </c>
      <c r="P169" s="80">
        <v>1830</v>
      </c>
      <c r="Q169" s="80">
        <v>0.93</v>
      </c>
      <c r="R169" s="80">
        <v>63.3</v>
      </c>
      <c r="S169" s="73" t="str">
        <f t="shared" si="5"/>
        <v>EG1R-240-560-B29</v>
      </c>
      <c r="T169" s="78"/>
      <c r="U169" s="292"/>
    </row>
    <row r="170" spans="1:21" x14ac:dyDescent="0.3">
      <c r="A170" s="296" t="str">
        <f t="shared" si="7"/>
        <v>310_460_4.5</v>
      </c>
      <c r="B170" s="68">
        <v>44575</v>
      </c>
      <c r="C170" s="69" t="s">
        <v>248</v>
      </c>
      <c r="D170" s="74">
        <v>310</v>
      </c>
      <c r="E170" s="74">
        <v>460</v>
      </c>
      <c r="F170" s="74">
        <v>4.5</v>
      </c>
      <c r="G170" s="75">
        <f t="shared" si="6"/>
        <v>6.0345900000000006</v>
      </c>
      <c r="H170" s="74">
        <v>0</v>
      </c>
      <c r="I170" s="74" t="s">
        <v>249</v>
      </c>
      <c r="J170" s="76" t="s">
        <v>1375</v>
      </c>
      <c r="K170" s="78" t="s">
        <v>1327</v>
      </c>
      <c r="L170" s="78" t="s">
        <v>252</v>
      </c>
      <c r="M170" s="79" t="s">
        <v>1296</v>
      </c>
      <c r="N170" s="80">
        <v>61</v>
      </c>
      <c r="O170" s="80">
        <v>4.3</v>
      </c>
      <c r="P170" s="80">
        <v>3975</v>
      </c>
      <c r="Q170" s="80">
        <v>0.92</v>
      </c>
      <c r="R170" s="80">
        <v>57.6</v>
      </c>
      <c r="S170" s="73" t="str">
        <f t="shared" si="5"/>
        <v>EG1R-480-310-A26</v>
      </c>
      <c r="T170" s="78"/>
      <c r="U170" s="292"/>
    </row>
    <row r="171" spans="1:21" x14ac:dyDescent="0.3">
      <c r="A171" s="296" t="str">
        <f t="shared" si="7"/>
        <v>310_460_4.5</v>
      </c>
      <c r="B171" s="68">
        <v>44575</v>
      </c>
      <c r="C171" s="69" t="s">
        <v>248</v>
      </c>
      <c r="D171" s="74">
        <v>310</v>
      </c>
      <c r="E171" s="74">
        <v>460</v>
      </c>
      <c r="F171" s="74">
        <v>4.5</v>
      </c>
      <c r="G171" s="75">
        <f t="shared" si="6"/>
        <v>6.0345900000000006</v>
      </c>
      <c r="H171" s="74">
        <v>1</v>
      </c>
      <c r="I171" s="74" t="s">
        <v>249</v>
      </c>
      <c r="J171" s="76" t="s">
        <v>1376</v>
      </c>
      <c r="K171" s="78" t="s">
        <v>1327</v>
      </c>
      <c r="L171" s="78" t="s">
        <v>256</v>
      </c>
      <c r="M171" s="79" t="s">
        <v>1297</v>
      </c>
      <c r="N171" s="80">
        <v>61</v>
      </c>
      <c r="O171" s="80">
        <v>4.3</v>
      </c>
      <c r="P171" s="80">
        <v>3975</v>
      </c>
      <c r="Q171" s="80">
        <v>0.92</v>
      </c>
      <c r="R171" s="80">
        <v>57.6</v>
      </c>
      <c r="S171" s="73" t="str">
        <f t="shared" si="5"/>
        <v>EG1R-480-310-A29</v>
      </c>
      <c r="T171" s="78"/>
      <c r="U171" s="292"/>
    </row>
    <row r="172" spans="1:21" x14ac:dyDescent="0.3">
      <c r="A172" s="296" t="str">
        <f t="shared" si="7"/>
        <v>355_460_4.5</v>
      </c>
      <c r="B172" s="68">
        <v>44575</v>
      </c>
      <c r="C172" s="69" t="s">
        <v>248</v>
      </c>
      <c r="D172" s="74">
        <v>355</v>
      </c>
      <c r="E172" s="74">
        <v>460</v>
      </c>
      <c r="F172" s="74">
        <v>4.5</v>
      </c>
      <c r="G172" s="75">
        <f t="shared" si="6"/>
        <v>6.0345900000000006</v>
      </c>
      <c r="H172" s="74">
        <v>0</v>
      </c>
      <c r="I172" s="74" t="s">
        <v>249</v>
      </c>
      <c r="J172" s="76" t="s">
        <v>1377</v>
      </c>
      <c r="K172" s="78" t="s">
        <v>1328</v>
      </c>
      <c r="L172" s="78" t="s">
        <v>252</v>
      </c>
      <c r="M172" s="79" t="s">
        <v>1298</v>
      </c>
      <c r="N172" s="80">
        <v>61.2</v>
      </c>
      <c r="O172" s="80">
        <v>4.2</v>
      </c>
      <c r="P172" s="80">
        <v>3230</v>
      </c>
      <c r="Q172" s="80">
        <v>0.91</v>
      </c>
      <c r="R172" s="80">
        <v>60.8</v>
      </c>
      <c r="S172" s="73" t="str">
        <f t="shared" si="5"/>
        <v>EG1R-480-355-A26</v>
      </c>
      <c r="T172" s="78"/>
      <c r="U172" s="292"/>
    </row>
    <row r="173" spans="1:21" x14ac:dyDescent="0.3">
      <c r="A173" s="296" t="str">
        <f t="shared" si="7"/>
        <v>355_460_4.5</v>
      </c>
      <c r="B173" s="68">
        <v>44575</v>
      </c>
      <c r="C173" s="69" t="s">
        <v>248</v>
      </c>
      <c r="D173" s="74">
        <v>355</v>
      </c>
      <c r="E173" s="74">
        <v>460</v>
      </c>
      <c r="F173" s="74">
        <v>4.5</v>
      </c>
      <c r="G173" s="75">
        <f t="shared" si="6"/>
        <v>6.0345900000000006</v>
      </c>
      <c r="H173" s="74">
        <v>1</v>
      </c>
      <c r="I173" s="74" t="s">
        <v>249</v>
      </c>
      <c r="J173" s="76" t="s">
        <v>1378</v>
      </c>
      <c r="K173" s="78" t="s">
        <v>1328</v>
      </c>
      <c r="L173" s="78" t="s">
        <v>256</v>
      </c>
      <c r="M173" s="79" t="s">
        <v>1299</v>
      </c>
      <c r="N173" s="80">
        <v>61.2</v>
      </c>
      <c r="O173" s="80">
        <v>4.2</v>
      </c>
      <c r="P173" s="80">
        <v>3230</v>
      </c>
      <c r="Q173" s="80">
        <v>0.91</v>
      </c>
      <c r="R173" s="80">
        <v>60.8</v>
      </c>
      <c r="S173" s="73" t="str">
        <f t="shared" si="5"/>
        <v>EG1R-480-355-A29</v>
      </c>
      <c r="T173" s="78"/>
      <c r="U173" s="292"/>
    </row>
    <row r="174" spans="1:21" x14ac:dyDescent="0.3">
      <c r="A174" s="296" t="str">
        <f t="shared" si="7"/>
        <v>400_460_4.5</v>
      </c>
      <c r="B174" s="68">
        <v>44575</v>
      </c>
      <c r="C174" s="69" t="s">
        <v>248</v>
      </c>
      <c r="D174" s="74">
        <v>400</v>
      </c>
      <c r="E174" s="74">
        <v>460</v>
      </c>
      <c r="F174" s="74">
        <v>4.5</v>
      </c>
      <c r="G174" s="75">
        <f t="shared" si="6"/>
        <v>6.0345900000000006</v>
      </c>
      <c r="H174" s="74">
        <v>0</v>
      </c>
      <c r="I174" s="74" t="s">
        <v>249</v>
      </c>
      <c r="J174" s="76" t="s">
        <v>1379</v>
      </c>
      <c r="K174" s="78" t="s">
        <v>1329</v>
      </c>
      <c r="L174" s="78" t="s">
        <v>252</v>
      </c>
      <c r="M174" s="79" t="s">
        <v>1300</v>
      </c>
      <c r="N174" s="80">
        <v>77.400000000000006</v>
      </c>
      <c r="O174" s="80">
        <v>5.3</v>
      </c>
      <c r="P174" s="80">
        <v>2800</v>
      </c>
      <c r="Q174" s="80">
        <v>0.93</v>
      </c>
      <c r="R174" s="80">
        <v>63</v>
      </c>
      <c r="S174" s="73" t="str">
        <f t="shared" si="5"/>
        <v>EG1R-480-400-A26</v>
      </c>
      <c r="T174" s="78"/>
      <c r="U174" s="292"/>
    </row>
    <row r="175" spans="1:21" x14ac:dyDescent="0.3">
      <c r="A175" s="296" t="str">
        <f t="shared" si="7"/>
        <v>400_460_4.5</v>
      </c>
      <c r="B175" s="68">
        <v>44575</v>
      </c>
      <c r="C175" s="69" t="s">
        <v>248</v>
      </c>
      <c r="D175" s="74">
        <v>400</v>
      </c>
      <c r="E175" s="74">
        <v>460</v>
      </c>
      <c r="F175" s="74">
        <v>4.5</v>
      </c>
      <c r="G175" s="75">
        <f t="shared" si="6"/>
        <v>6.0345900000000006</v>
      </c>
      <c r="H175" s="74">
        <v>1</v>
      </c>
      <c r="I175" s="74" t="s">
        <v>249</v>
      </c>
      <c r="J175" s="76" t="s">
        <v>1380</v>
      </c>
      <c r="K175" s="78" t="s">
        <v>1329</v>
      </c>
      <c r="L175" s="78" t="s">
        <v>256</v>
      </c>
      <c r="M175" s="79" t="s">
        <v>1301</v>
      </c>
      <c r="N175" s="80">
        <v>77.400000000000006</v>
      </c>
      <c r="O175" s="80">
        <v>5.3</v>
      </c>
      <c r="P175" s="80">
        <v>2800</v>
      </c>
      <c r="Q175" s="80">
        <v>0.93</v>
      </c>
      <c r="R175" s="80">
        <v>63</v>
      </c>
      <c r="S175" s="73" t="str">
        <f t="shared" si="5"/>
        <v>EG1R-480-400-A29</v>
      </c>
      <c r="T175" s="78"/>
      <c r="U175" s="292"/>
    </row>
    <row r="176" spans="1:21" x14ac:dyDescent="0.3">
      <c r="A176" s="296" t="str">
        <f t="shared" si="7"/>
        <v>450_460_4.5</v>
      </c>
      <c r="B176" s="68">
        <v>44575</v>
      </c>
      <c r="C176" s="69" t="s">
        <v>248</v>
      </c>
      <c r="D176" s="74">
        <v>450</v>
      </c>
      <c r="E176" s="74">
        <v>460</v>
      </c>
      <c r="F176" s="74">
        <v>4.5</v>
      </c>
      <c r="G176" s="75">
        <f t="shared" si="6"/>
        <v>6.0345900000000006</v>
      </c>
      <c r="H176" s="74">
        <v>0</v>
      </c>
      <c r="I176" s="74" t="s">
        <v>249</v>
      </c>
      <c r="J176" s="76" t="s">
        <v>1381</v>
      </c>
      <c r="K176" s="78" t="s">
        <v>1330</v>
      </c>
      <c r="L176" s="78" t="s">
        <v>252</v>
      </c>
      <c r="M176" s="79" t="s">
        <v>1302</v>
      </c>
      <c r="N176" s="80">
        <v>99</v>
      </c>
      <c r="O176" s="80">
        <v>6.2</v>
      </c>
      <c r="P176" s="80">
        <v>2440</v>
      </c>
      <c r="Q176" s="80">
        <v>0.92</v>
      </c>
      <c r="R176" s="80">
        <v>62.6</v>
      </c>
      <c r="S176" s="73" t="str">
        <f t="shared" si="5"/>
        <v>EG1R-480-450-A26</v>
      </c>
      <c r="T176" s="78"/>
      <c r="U176" s="292"/>
    </row>
    <row r="177" spans="1:21" x14ac:dyDescent="0.3">
      <c r="A177" s="296" t="str">
        <f t="shared" si="7"/>
        <v>450_460_4.5</v>
      </c>
      <c r="B177" s="68">
        <v>44575</v>
      </c>
      <c r="C177" s="69" t="s">
        <v>248</v>
      </c>
      <c r="D177" s="74">
        <v>450</v>
      </c>
      <c r="E177" s="74">
        <v>460</v>
      </c>
      <c r="F177" s="74">
        <v>4.5</v>
      </c>
      <c r="G177" s="75">
        <f t="shared" si="6"/>
        <v>6.0345900000000006</v>
      </c>
      <c r="H177" s="74">
        <v>1</v>
      </c>
      <c r="I177" s="74" t="s">
        <v>249</v>
      </c>
      <c r="J177" s="76" t="s">
        <v>1382</v>
      </c>
      <c r="K177" s="78" t="s">
        <v>1330</v>
      </c>
      <c r="L177" s="78" t="s">
        <v>256</v>
      </c>
      <c r="M177" s="79" t="s">
        <v>1303</v>
      </c>
      <c r="N177" s="80">
        <v>99</v>
      </c>
      <c r="O177" s="80">
        <v>6.2</v>
      </c>
      <c r="P177" s="80">
        <v>2440</v>
      </c>
      <c r="Q177" s="80">
        <v>0.92</v>
      </c>
      <c r="R177" s="80">
        <v>62.6</v>
      </c>
      <c r="S177" s="73" t="str">
        <f t="shared" si="5"/>
        <v>EG1R-480-450-A29</v>
      </c>
      <c r="T177" s="78"/>
      <c r="U177" s="292"/>
    </row>
    <row r="178" spans="1:21" x14ac:dyDescent="0.3">
      <c r="A178" s="296" t="str">
        <f t="shared" si="7"/>
        <v>450_460_8</v>
      </c>
      <c r="B178" s="68">
        <v>45545</v>
      </c>
      <c r="C178" s="69" t="s">
        <v>248</v>
      </c>
      <c r="D178" s="74">
        <v>450</v>
      </c>
      <c r="E178" s="74">
        <v>460</v>
      </c>
      <c r="F178" s="74">
        <v>8</v>
      </c>
      <c r="G178" s="75">
        <f t="shared" si="6"/>
        <v>10.728160000000001</v>
      </c>
      <c r="H178" s="74">
        <v>0</v>
      </c>
      <c r="I178" s="74" t="s">
        <v>249</v>
      </c>
      <c r="J178" s="76" t="s">
        <v>1383</v>
      </c>
      <c r="K178" s="78" t="s">
        <v>1331</v>
      </c>
      <c r="L178" s="78" t="s">
        <v>252</v>
      </c>
      <c r="M178" s="79" t="s">
        <v>1304</v>
      </c>
      <c r="N178" s="80">
        <v>108</v>
      </c>
      <c r="O178" s="80">
        <v>9.31</v>
      </c>
      <c r="P178" s="80">
        <v>2800</v>
      </c>
      <c r="Q178" s="80">
        <v>0.88</v>
      </c>
      <c r="R178" s="80">
        <v>64.599999999999994</v>
      </c>
      <c r="S178" s="73" t="str">
        <f t="shared" si="5"/>
        <v>EG1R-480-450-B26</v>
      </c>
      <c r="T178" s="78"/>
      <c r="U178" s="292"/>
    </row>
    <row r="179" spans="1:21" x14ac:dyDescent="0.3">
      <c r="A179" s="296" t="str">
        <f t="shared" si="7"/>
        <v>450_460_8</v>
      </c>
      <c r="B179" s="68">
        <v>45545</v>
      </c>
      <c r="C179" s="69" t="s">
        <v>248</v>
      </c>
      <c r="D179" s="74">
        <v>450</v>
      </c>
      <c r="E179" s="74">
        <v>460</v>
      </c>
      <c r="F179" s="74">
        <v>8</v>
      </c>
      <c r="G179" s="75">
        <f t="shared" si="6"/>
        <v>10.728160000000001</v>
      </c>
      <c r="H179" s="74">
        <v>1</v>
      </c>
      <c r="I179" s="74" t="s">
        <v>249</v>
      </c>
      <c r="J179" s="76" t="s">
        <v>1384</v>
      </c>
      <c r="K179" s="78" t="s">
        <v>1331</v>
      </c>
      <c r="L179" s="78" t="s">
        <v>256</v>
      </c>
      <c r="M179" s="79" t="s">
        <v>1305</v>
      </c>
      <c r="N179" s="80">
        <v>108</v>
      </c>
      <c r="O179" s="80">
        <v>9.31</v>
      </c>
      <c r="P179" s="80">
        <v>2800</v>
      </c>
      <c r="Q179" s="80">
        <v>0.88</v>
      </c>
      <c r="R179" s="80">
        <v>64.599999999999994</v>
      </c>
      <c r="S179" s="73" t="str">
        <f t="shared" si="5"/>
        <v>EG1R-480-450-B29</v>
      </c>
      <c r="T179" s="78"/>
      <c r="U179" s="292"/>
    </row>
    <row r="180" spans="1:21" x14ac:dyDescent="0.3">
      <c r="A180" s="296" t="str">
        <f t="shared" si="7"/>
        <v>500_460_4.5</v>
      </c>
      <c r="B180" s="68">
        <v>44575</v>
      </c>
      <c r="C180" s="69" t="s">
        <v>248</v>
      </c>
      <c r="D180" s="74">
        <v>500</v>
      </c>
      <c r="E180" s="74">
        <v>460</v>
      </c>
      <c r="F180" s="74">
        <v>4.5</v>
      </c>
      <c r="G180" s="75">
        <f t="shared" si="6"/>
        <v>6.0345900000000006</v>
      </c>
      <c r="H180" s="74">
        <v>0</v>
      </c>
      <c r="I180" s="74" t="s">
        <v>249</v>
      </c>
      <c r="J180" s="76" t="s">
        <v>1385</v>
      </c>
      <c r="K180" s="78" t="s">
        <v>1332</v>
      </c>
      <c r="L180" s="78" t="s">
        <v>252</v>
      </c>
      <c r="M180" s="79" t="s">
        <v>1306</v>
      </c>
      <c r="N180" s="80">
        <v>110</v>
      </c>
      <c r="O180" s="80">
        <v>5.6</v>
      </c>
      <c r="P180" s="80">
        <v>2000</v>
      </c>
      <c r="Q180" s="80">
        <v>0.93</v>
      </c>
      <c r="R180" s="80">
        <v>63.7</v>
      </c>
      <c r="S180" s="73" t="str">
        <f t="shared" si="5"/>
        <v>EG1R-480-500-A26</v>
      </c>
      <c r="T180" s="78"/>
      <c r="U180" s="292"/>
    </row>
    <row r="181" spans="1:21" x14ac:dyDescent="0.3">
      <c r="A181" s="296" t="str">
        <f t="shared" si="7"/>
        <v>500_460_4.5</v>
      </c>
      <c r="B181" s="68">
        <v>44575</v>
      </c>
      <c r="C181" s="69" t="s">
        <v>248</v>
      </c>
      <c r="D181" s="74">
        <v>500</v>
      </c>
      <c r="E181" s="74">
        <v>460</v>
      </c>
      <c r="F181" s="74">
        <v>4.5</v>
      </c>
      <c r="G181" s="75">
        <f t="shared" si="6"/>
        <v>6.0345900000000006</v>
      </c>
      <c r="H181" s="74">
        <v>1</v>
      </c>
      <c r="I181" s="74" t="s">
        <v>249</v>
      </c>
      <c r="J181" s="76" t="s">
        <v>1386</v>
      </c>
      <c r="K181" s="78" t="s">
        <v>1332</v>
      </c>
      <c r="L181" s="78" t="s">
        <v>256</v>
      </c>
      <c r="M181" s="79" t="s">
        <v>1307</v>
      </c>
      <c r="N181" s="80">
        <v>110</v>
      </c>
      <c r="O181" s="80">
        <v>5.6</v>
      </c>
      <c r="P181" s="80">
        <v>2000</v>
      </c>
      <c r="Q181" s="80">
        <v>0.93</v>
      </c>
      <c r="R181" s="80">
        <v>63.7</v>
      </c>
      <c r="S181" s="73" t="str">
        <f t="shared" si="5"/>
        <v>EG1R-480-500-A29</v>
      </c>
      <c r="T181" s="78"/>
      <c r="U181" s="292"/>
    </row>
    <row r="182" spans="1:21" x14ac:dyDescent="0.3">
      <c r="A182" s="296" t="str">
        <f t="shared" si="7"/>
        <v>500_460_8</v>
      </c>
      <c r="B182" s="68">
        <v>45545</v>
      </c>
      <c r="C182" s="69" t="s">
        <v>248</v>
      </c>
      <c r="D182" s="74">
        <v>500</v>
      </c>
      <c r="E182" s="74">
        <v>460</v>
      </c>
      <c r="F182" s="74">
        <v>8</v>
      </c>
      <c r="G182" s="75">
        <f t="shared" si="6"/>
        <v>10.728160000000001</v>
      </c>
      <c r="H182" s="74">
        <v>0</v>
      </c>
      <c r="I182" s="74" t="s">
        <v>249</v>
      </c>
      <c r="J182" s="76" t="s">
        <v>1387</v>
      </c>
      <c r="K182" s="78" t="s">
        <v>1333</v>
      </c>
      <c r="L182" s="78" t="s">
        <v>252</v>
      </c>
      <c r="M182" s="79" t="s">
        <v>1308</v>
      </c>
      <c r="N182" s="80">
        <v>110</v>
      </c>
      <c r="O182" s="80">
        <v>9.67</v>
      </c>
      <c r="P182" s="80">
        <v>2400</v>
      </c>
      <c r="Q182" s="80">
        <v>0.9</v>
      </c>
      <c r="R182" s="80">
        <v>62</v>
      </c>
      <c r="S182" s="73" t="str">
        <f t="shared" si="5"/>
        <v>EG1R-480-500-B26</v>
      </c>
      <c r="T182" s="78"/>
      <c r="U182" s="292"/>
    </row>
    <row r="183" spans="1:21" x14ac:dyDescent="0.3">
      <c r="A183" s="296" t="str">
        <f t="shared" si="7"/>
        <v>500_460_8</v>
      </c>
      <c r="B183" s="68">
        <v>45545</v>
      </c>
      <c r="C183" s="69" t="s">
        <v>248</v>
      </c>
      <c r="D183" s="74">
        <v>500</v>
      </c>
      <c r="E183" s="74">
        <v>460</v>
      </c>
      <c r="F183" s="74">
        <v>8</v>
      </c>
      <c r="G183" s="75">
        <f t="shared" si="6"/>
        <v>10.728160000000001</v>
      </c>
      <c r="H183" s="74">
        <v>1</v>
      </c>
      <c r="I183" s="74" t="s">
        <v>249</v>
      </c>
      <c r="J183" s="76" t="s">
        <v>1388</v>
      </c>
      <c r="K183" s="78" t="s">
        <v>1333</v>
      </c>
      <c r="L183" s="78" t="s">
        <v>256</v>
      </c>
      <c r="M183" s="79" t="s">
        <v>1309</v>
      </c>
      <c r="N183" s="80">
        <v>110</v>
      </c>
      <c r="O183" s="80">
        <v>9.67</v>
      </c>
      <c r="P183" s="80">
        <v>2400</v>
      </c>
      <c r="Q183" s="80">
        <v>0.9</v>
      </c>
      <c r="R183" s="80">
        <v>62</v>
      </c>
      <c r="S183" s="73" t="str">
        <f t="shared" si="5"/>
        <v>EG1R-480-500-B29</v>
      </c>
      <c r="T183" s="78"/>
      <c r="U183" s="292"/>
    </row>
    <row r="184" spans="1:21" x14ac:dyDescent="0.3">
      <c r="A184" s="296" t="str">
        <f t="shared" si="7"/>
        <v>560_460_4.5</v>
      </c>
      <c r="B184" s="68">
        <v>44575</v>
      </c>
      <c r="C184" s="69" t="s">
        <v>248</v>
      </c>
      <c r="D184" s="74">
        <v>560</v>
      </c>
      <c r="E184" s="74">
        <v>460</v>
      </c>
      <c r="F184" s="74">
        <v>4.5</v>
      </c>
      <c r="G184" s="75">
        <f t="shared" si="6"/>
        <v>6.0345900000000006</v>
      </c>
      <c r="H184" s="74">
        <v>0</v>
      </c>
      <c r="I184" s="74" t="s">
        <v>249</v>
      </c>
      <c r="J184" s="76" t="s">
        <v>1389</v>
      </c>
      <c r="K184" s="78" t="s">
        <v>1334</v>
      </c>
      <c r="L184" s="78" t="s">
        <v>252</v>
      </c>
      <c r="M184" s="79" t="s">
        <v>1310</v>
      </c>
      <c r="N184" s="80">
        <v>140</v>
      </c>
      <c r="O184" s="80">
        <v>6</v>
      </c>
      <c r="P184" s="80">
        <v>1675</v>
      </c>
      <c r="Q184" s="80">
        <v>0.94</v>
      </c>
      <c r="R184" s="80">
        <v>64.599999999999994</v>
      </c>
      <c r="S184" s="73" t="str">
        <f t="shared" si="5"/>
        <v>EG1R-480-560-A26</v>
      </c>
      <c r="T184" s="78"/>
      <c r="U184" s="292"/>
    </row>
    <row r="185" spans="1:21" x14ac:dyDescent="0.3">
      <c r="A185" s="296" t="str">
        <f t="shared" si="7"/>
        <v>560_460_4.5</v>
      </c>
      <c r="B185" s="68">
        <v>44575</v>
      </c>
      <c r="C185" s="69" t="s">
        <v>248</v>
      </c>
      <c r="D185" s="74">
        <v>560</v>
      </c>
      <c r="E185" s="74">
        <v>460</v>
      </c>
      <c r="F185" s="74">
        <v>4.5</v>
      </c>
      <c r="G185" s="75">
        <f t="shared" si="6"/>
        <v>6.0345900000000006</v>
      </c>
      <c r="H185" s="74">
        <v>1</v>
      </c>
      <c r="I185" s="74" t="s">
        <v>249</v>
      </c>
      <c r="J185" s="76" t="s">
        <v>1390</v>
      </c>
      <c r="K185" s="78" t="s">
        <v>1334</v>
      </c>
      <c r="L185" s="78" t="s">
        <v>256</v>
      </c>
      <c r="M185" s="79" t="s">
        <v>1311</v>
      </c>
      <c r="N185" s="80">
        <v>140</v>
      </c>
      <c r="O185" s="80">
        <v>6</v>
      </c>
      <c r="P185" s="80">
        <v>1675</v>
      </c>
      <c r="Q185" s="80">
        <v>0.94</v>
      </c>
      <c r="R185" s="80">
        <v>64.599999999999994</v>
      </c>
      <c r="S185" s="73" t="str">
        <f t="shared" si="5"/>
        <v>EG1R-480-560-A29</v>
      </c>
      <c r="T185" s="78"/>
      <c r="U185" s="292"/>
    </row>
    <row r="186" spans="1:21" x14ac:dyDescent="0.3">
      <c r="A186" s="296" t="str">
        <f t="shared" si="7"/>
        <v>560_460_8</v>
      </c>
      <c r="B186" s="68">
        <v>45545</v>
      </c>
      <c r="C186" s="69" t="s">
        <v>248</v>
      </c>
      <c r="D186" s="74">
        <v>560</v>
      </c>
      <c r="E186" s="74">
        <v>460</v>
      </c>
      <c r="F186" s="74">
        <v>8</v>
      </c>
      <c r="G186" s="75">
        <f t="shared" si="6"/>
        <v>10.728160000000001</v>
      </c>
      <c r="H186" s="74">
        <v>0</v>
      </c>
      <c r="I186" s="74" t="s">
        <v>249</v>
      </c>
      <c r="J186" s="76" t="s">
        <v>1391</v>
      </c>
      <c r="K186" s="78" t="s">
        <v>1335</v>
      </c>
      <c r="L186" s="78" t="s">
        <v>252</v>
      </c>
      <c r="M186" s="79" t="s">
        <v>1312</v>
      </c>
      <c r="N186" s="80">
        <v>145</v>
      </c>
      <c r="O186" s="80">
        <v>8.31</v>
      </c>
      <c r="P186" s="80">
        <v>1860</v>
      </c>
      <c r="Q186" s="80">
        <v>0.91</v>
      </c>
      <c r="R186" s="80">
        <v>64.5</v>
      </c>
      <c r="S186" s="73" t="str">
        <f t="shared" si="5"/>
        <v>EG1R-480-560-B26</v>
      </c>
      <c r="T186" s="78"/>
      <c r="U186" s="292"/>
    </row>
    <row r="187" spans="1:21" x14ac:dyDescent="0.3">
      <c r="A187" s="296" t="str">
        <f t="shared" si="7"/>
        <v>560_460_8</v>
      </c>
      <c r="B187" s="68">
        <v>45545</v>
      </c>
      <c r="C187" s="69" t="s">
        <v>248</v>
      </c>
      <c r="D187" s="74">
        <v>560</v>
      </c>
      <c r="E187" s="74">
        <v>460</v>
      </c>
      <c r="F187" s="74">
        <v>8</v>
      </c>
      <c r="G187" s="75">
        <f t="shared" si="6"/>
        <v>10.728160000000001</v>
      </c>
      <c r="H187" s="74">
        <v>1</v>
      </c>
      <c r="I187" s="74" t="s">
        <v>249</v>
      </c>
      <c r="J187" s="76" t="s">
        <v>1392</v>
      </c>
      <c r="K187" s="78" t="s">
        <v>1335</v>
      </c>
      <c r="L187" s="78" t="s">
        <v>256</v>
      </c>
      <c r="M187" s="79" t="s">
        <v>1313</v>
      </c>
      <c r="N187" s="80">
        <v>145</v>
      </c>
      <c r="O187" s="80">
        <v>8.31</v>
      </c>
      <c r="P187" s="80">
        <v>1860</v>
      </c>
      <c r="Q187" s="80">
        <v>0.91</v>
      </c>
      <c r="R187" s="80">
        <v>64.5</v>
      </c>
      <c r="S187" s="73" t="str">
        <f t="shared" si="5"/>
        <v>EG1R-480-560-B29</v>
      </c>
      <c r="T187" s="78"/>
      <c r="U187" s="292"/>
    </row>
    <row r="188" spans="1:21" x14ac:dyDescent="0.3">
      <c r="A188" s="296" t="str">
        <f t="shared" si="7"/>
        <v>630_460_4.5</v>
      </c>
      <c r="B188" s="68">
        <v>44575</v>
      </c>
      <c r="C188" s="69" t="s">
        <v>248</v>
      </c>
      <c r="D188" s="74">
        <v>630</v>
      </c>
      <c r="E188" s="74">
        <v>460</v>
      </c>
      <c r="F188" s="74">
        <v>4.5</v>
      </c>
      <c r="G188" s="75">
        <f t="shared" si="6"/>
        <v>6.0345900000000006</v>
      </c>
      <c r="H188" s="74">
        <v>0</v>
      </c>
      <c r="I188" s="74" t="s">
        <v>249</v>
      </c>
      <c r="J188" s="76" t="s">
        <v>1393</v>
      </c>
      <c r="K188" s="78" t="s">
        <v>1336</v>
      </c>
      <c r="L188" s="78" t="s">
        <v>252</v>
      </c>
      <c r="M188" s="79" t="s">
        <v>1314</v>
      </c>
      <c r="N188" s="80">
        <v>160</v>
      </c>
      <c r="O188" s="80">
        <v>6.1</v>
      </c>
      <c r="P188" s="80">
        <v>1505</v>
      </c>
      <c r="Q188" s="80">
        <v>0.93</v>
      </c>
      <c r="R188" s="80">
        <v>64.8</v>
      </c>
      <c r="S188" s="73" t="str">
        <f t="shared" si="5"/>
        <v>EG1R-480-630-A26</v>
      </c>
      <c r="T188" s="78"/>
      <c r="U188" s="292"/>
    </row>
    <row r="189" spans="1:21" x14ac:dyDescent="0.3">
      <c r="A189" s="296" t="str">
        <f t="shared" si="7"/>
        <v>630_460_4.5</v>
      </c>
      <c r="B189" s="68">
        <v>44575</v>
      </c>
      <c r="C189" s="69" t="s">
        <v>248</v>
      </c>
      <c r="D189" s="74">
        <v>630</v>
      </c>
      <c r="E189" s="74">
        <v>460</v>
      </c>
      <c r="F189" s="74">
        <v>4.5</v>
      </c>
      <c r="G189" s="75">
        <f t="shared" si="6"/>
        <v>6.0345900000000006</v>
      </c>
      <c r="H189" s="74">
        <v>1</v>
      </c>
      <c r="I189" s="74" t="s">
        <v>249</v>
      </c>
      <c r="J189" s="76" t="s">
        <v>1394</v>
      </c>
      <c r="K189" s="78" t="s">
        <v>1336</v>
      </c>
      <c r="L189" s="78" t="s">
        <v>256</v>
      </c>
      <c r="M189" s="79" t="s">
        <v>1315</v>
      </c>
      <c r="N189" s="80">
        <v>160</v>
      </c>
      <c r="O189" s="80">
        <v>6.1</v>
      </c>
      <c r="P189" s="80">
        <v>1505</v>
      </c>
      <c r="Q189" s="80">
        <v>0.93</v>
      </c>
      <c r="R189" s="80">
        <v>64.8</v>
      </c>
      <c r="S189" s="73" t="str">
        <f t="shared" si="5"/>
        <v>EG1R-480-630-A29</v>
      </c>
      <c r="T189" s="78"/>
      <c r="U189" s="292"/>
    </row>
    <row r="190" spans="1:21" x14ac:dyDescent="0.3">
      <c r="A190" s="296" t="str">
        <f t="shared" si="7"/>
        <v>710_460_4.5</v>
      </c>
      <c r="B190" s="68">
        <v>44575</v>
      </c>
      <c r="C190" s="69" t="s">
        <v>248</v>
      </c>
      <c r="D190" s="74">
        <v>710</v>
      </c>
      <c r="E190" s="74">
        <v>460</v>
      </c>
      <c r="F190" s="74">
        <v>4.5</v>
      </c>
      <c r="G190" s="75">
        <f t="shared" si="6"/>
        <v>6.0345900000000006</v>
      </c>
      <c r="H190" s="74">
        <v>0</v>
      </c>
      <c r="I190" s="74" t="s">
        <v>249</v>
      </c>
      <c r="J190" s="76" t="s">
        <v>1395</v>
      </c>
      <c r="K190" s="78" t="s">
        <v>1337</v>
      </c>
      <c r="L190" s="78" t="s">
        <v>252</v>
      </c>
      <c r="M190" s="79" t="s">
        <v>1316</v>
      </c>
      <c r="N190" s="80">
        <v>149</v>
      </c>
      <c r="O190" s="80">
        <v>5.15</v>
      </c>
      <c r="P190" s="80">
        <v>1150</v>
      </c>
      <c r="Q190" s="80">
        <v>0.94</v>
      </c>
      <c r="R190" s="80">
        <v>66.900000000000006</v>
      </c>
      <c r="S190" s="294" t="str">
        <f t="shared" si="5"/>
        <v>K3G710-PC05-03</v>
      </c>
      <c r="T190" s="78"/>
      <c r="U190" s="292"/>
    </row>
    <row r="191" spans="1:21" x14ac:dyDescent="0.3">
      <c r="A191" s="296" t="str">
        <f t="shared" si="7"/>
        <v>710_460_4.5</v>
      </c>
      <c r="B191" s="68">
        <v>44575</v>
      </c>
      <c r="C191" s="69" t="s">
        <v>248</v>
      </c>
      <c r="D191" s="74">
        <v>710</v>
      </c>
      <c r="E191" s="74">
        <v>460</v>
      </c>
      <c r="F191" s="74">
        <v>4.5</v>
      </c>
      <c r="G191" s="75">
        <f t="shared" si="6"/>
        <v>6.0345900000000006</v>
      </c>
      <c r="H191" s="74">
        <v>1</v>
      </c>
      <c r="I191" s="74" t="s">
        <v>249</v>
      </c>
      <c r="J191" s="299" t="s">
        <v>1395</v>
      </c>
      <c r="K191" s="78" t="s">
        <v>1337</v>
      </c>
      <c r="L191" s="78" t="s">
        <v>256</v>
      </c>
      <c r="M191" s="79" t="s">
        <v>1316</v>
      </c>
      <c r="N191" s="80">
        <v>149</v>
      </c>
      <c r="O191" s="80">
        <v>5.15</v>
      </c>
      <c r="P191" s="80">
        <v>1150</v>
      </c>
      <c r="Q191" s="80">
        <v>0.94</v>
      </c>
      <c r="R191" s="80">
        <v>66.900000000000006</v>
      </c>
      <c r="S191" s="294" t="str">
        <f t="shared" si="5"/>
        <v>K3G710-PC05-03</v>
      </c>
      <c r="T191" s="78"/>
      <c r="U191" s="292"/>
    </row>
    <row r="192" spans="1:21" x14ac:dyDescent="0.3">
      <c r="A192" s="296" t="str">
        <f t="shared" si="7"/>
        <v>800_460_4.5</v>
      </c>
      <c r="B192" s="68">
        <v>44575</v>
      </c>
      <c r="C192" s="69" t="s">
        <v>248</v>
      </c>
      <c r="D192" s="74">
        <v>800</v>
      </c>
      <c r="E192" s="74">
        <v>460</v>
      </c>
      <c r="F192" s="74">
        <v>4.5</v>
      </c>
      <c r="G192" s="75">
        <f t="shared" si="6"/>
        <v>6.0345900000000006</v>
      </c>
      <c r="H192" s="74">
        <v>0</v>
      </c>
      <c r="I192" s="74" t="s">
        <v>249</v>
      </c>
      <c r="J192" s="76" t="s">
        <v>1396</v>
      </c>
      <c r="K192" s="78" t="s">
        <v>1338</v>
      </c>
      <c r="L192" s="78" t="s">
        <v>252</v>
      </c>
      <c r="M192" s="79" t="s">
        <v>1317</v>
      </c>
      <c r="N192" s="80">
        <v>176</v>
      </c>
      <c r="O192" s="80">
        <v>3.88</v>
      </c>
      <c r="P192" s="80">
        <v>845</v>
      </c>
      <c r="Q192" s="80">
        <v>0.93</v>
      </c>
      <c r="R192" s="80">
        <v>64.8</v>
      </c>
      <c r="S192" s="294" t="str">
        <f t="shared" si="5"/>
        <v>K3G800-PC02-03</v>
      </c>
      <c r="T192" s="78"/>
      <c r="U192" s="292"/>
    </row>
    <row r="193" spans="1:21" ht="14.4" thickBot="1" x14ac:dyDescent="0.35">
      <c r="A193" s="278" t="str">
        <f t="shared" si="7"/>
        <v>800_460_4.5</v>
      </c>
      <c r="B193" s="279">
        <v>44575</v>
      </c>
      <c r="C193" s="280" t="s">
        <v>248</v>
      </c>
      <c r="D193" s="281">
        <v>800</v>
      </c>
      <c r="E193" s="281">
        <v>460</v>
      </c>
      <c r="F193" s="281">
        <v>4.5</v>
      </c>
      <c r="G193" s="283">
        <f t="shared" si="6"/>
        <v>6.0345900000000006</v>
      </c>
      <c r="H193" s="281">
        <v>1</v>
      </c>
      <c r="I193" s="281" t="s">
        <v>249</v>
      </c>
      <c r="J193" s="300" t="s">
        <v>1396</v>
      </c>
      <c r="K193" s="284" t="s">
        <v>1338</v>
      </c>
      <c r="L193" s="284" t="s">
        <v>256</v>
      </c>
      <c r="M193" s="286" t="s">
        <v>1317</v>
      </c>
      <c r="N193" s="289">
        <v>176</v>
      </c>
      <c r="O193" s="289">
        <v>3.88</v>
      </c>
      <c r="P193" s="289">
        <v>845</v>
      </c>
      <c r="Q193" s="289">
        <v>0.93</v>
      </c>
      <c r="R193" s="289">
        <v>64.8</v>
      </c>
      <c r="S193" s="298" t="str">
        <f t="shared" si="5"/>
        <v>K3G800-PC02-03</v>
      </c>
      <c r="T193" s="284"/>
      <c r="U193" s="293"/>
    </row>
    <row r="194" spans="1:21" x14ac:dyDescent="0.3">
      <c r="A194" s="265" t="str">
        <f>CONCATENATE(D194,"_",E194,"_",F194,"_W")</f>
        <v>250_460_1_W</v>
      </c>
      <c r="B194" s="266">
        <v>42583</v>
      </c>
      <c r="C194" s="267" t="s">
        <v>248</v>
      </c>
      <c r="D194" s="268">
        <v>250</v>
      </c>
      <c r="E194" s="268">
        <v>460</v>
      </c>
      <c r="F194" s="268">
        <v>1</v>
      </c>
      <c r="G194" s="269">
        <f t="shared" ref="G194:G257" si="8">F194*1.34102</f>
        <v>1.3410200000000001</v>
      </c>
      <c r="H194" s="268">
        <v>0</v>
      </c>
      <c r="I194" s="268" t="s">
        <v>249</v>
      </c>
      <c r="J194" s="270" t="s">
        <v>250</v>
      </c>
      <c r="K194" s="271" t="s">
        <v>468</v>
      </c>
      <c r="L194" s="272" t="s">
        <v>469</v>
      </c>
      <c r="M194" s="273" t="s">
        <v>470</v>
      </c>
      <c r="N194" s="274">
        <v>22</v>
      </c>
      <c r="O194" s="274">
        <v>1.17</v>
      </c>
      <c r="P194" s="274">
        <v>3580</v>
      </c>
      <c r="Q194" s="274">
        <v>0.81</v>
      </c>
      <c r="R194" s="274">
        <v>87.6</v>
      </c>
      <c r="S194" s="265" t="str">
        <f t="shared" si="5"/>
        <v>EG1R-480-250-11W</v>
      </c>
      <c r="T194" s="272"/>
      <c r="U194" s="272" t="s">
        <v>254</v>
      </c>
    </row>
    <row r="195" spans="1:21" x14ac:dyDescent="0.3">
      <c r="A195" s="246" t="str">
        <f t="shared" ref="A195:A258" si="9">CONCATENATE(D195,"_",E195,"_",F195,"_W")</f>
        <v>250_460_1_W</v>
      </c>
      <c r="B195" s="247">
        <v>42583</v>
      </c>
      <c r="C195" s="248" t="s">
        <v>248</v>
      </c>
      <c r="D195" s="249">
        <v>250</v>
      </c>
      <c r="E195" s="249">
        <v>460</v>
      </c>
      <c r="F195" s="249">
        <v>1</v>
      </c>
      <c r="G195" s="250">
        <f t="shared" si="8"/>
        <v>1.3410200000000001</v>
      </c>
      <c r="H195" s="249">
        <v>1</v>
      </c>
      <c r="I195" s="249" t="s">
        <v>249</v>
      </c>
      <c r="J195" s="251" t="s">
        <v>255</v>
      </c>
      <c r="K195" s="252" t="s">
        <v>468</v>
      </c>
      <c r="L195" s="253" t="s">
        <v>471</v>
      </c>
      <c r="M195" s="254" t="s">
        <v>470</v>
      </c>
      <c r="N195" s="255">
        <v>22</v>
      </c>
      <c r="O195" s="255">
        <v>1.17</v>
      </c>
      <c r="P195" s="255">
        <v>3580</v>
      </c>
      <c r="Q195" s="255">
        <v>0.81</v>
      </c>
      <c r="R195" s="255">
        <v>87.6</v>
      </c>
      <c r="S195" s="246" t="str">
        <f t="shared" si="5"/>
        <v>EG1R-480-250-11W</v>
      </c>
      <c r="T195" s="253"/>
      <c r="U195" s="253" t="s">
        <v>254</v>
      </c>
    </row>
    <row r="196" spans="1:21" x14ac:dyDescent="0.3">
      <c r="A196" s="246" t="str">
        <f t="shared" si="9"/>
        <v>250_208_1_W</v>
      </c>
      <c r="B196" s="247">
        <v>42583</v>
      </c>
      <c r="C196" s="248" t="s">
        <v>248</v>
      </c>
      <c r="D196" s="249">
        <v>250</v>
      </c>
      <c r="E196" s="249">
        <v>208</v>
      </c>
      <c r="F196" s="249">
        <v>1</v>
      </c>
      <c r="G196" s="250">
        <f t="shared" si="8"/>
        <v>1.3410200000000001</v>
      </c>
      <c r="H196" s="249">
        <v>0</v>
      </c>
      <c r="I196" s="249" t="s">
        <v>249</v>
      </c>
      <c r="J196" s="251" t="s">
        <v>257</v>
      </c>
      <c r="K196" s="253" t="s">
        <v>472</v>
      </c>
      <c r="L196" s="253" t="s">
        <v>469</v>
      </c>
      <c r="M196" s="254" t="s">
        <v>473</v>
      </c>
      <c r="N196" s="255">
        <v>22</v>
      </c>
      <c r="O196" s="255">
        <v>2.69</v>
      </c>
      <c r="P196" s="255">
        <v>3700</v>
      </c>
      <c r="Q196" s="255">
        <v>0.83</v>
      </c>
      <c r="R196" s="255">
        <v>87.2</v>
      </c>
      <c r="S196" s="246" t="str">
        <f t="shared" si="5"/>
        <v>EG1R-240-250-11W</v>
      </c>
      <c r="T196" s="253"/>
      <c r="U196" s="253" t="s">
        <v>260</v>
      </c>
    </row>
    <row r="197" spans="1:21" x14ac:dyDescent="0.3">
      <c r="A197" s="246" t="str">
        <f t="shared" si="9"/>
        <v>250_208_1_W</v>
      </c>
      <c r="B197" s="247">
        <v>42583</v>
      </c>
      <c r="C197" s="248" t="s">
        <v>248</v>
      </c>
      <c r="D197" s="249">
        <v>250</v>
      </c>
      <c r="E197" s="249">
        <v>208</v>
      </c>
      <c r="F197" s="249">
        <v>1</v>
      </c>
      <c r="G197" s="250">
        <f t="shared" si="8"/>
        <v>1.3410200000000001</v>
      </c>
      <c r="H197" s="249">
        <v>1</v>
      </c>
      <c r="I197" s="249" t="s">
        <v>249</v>
      </c>
      <c r="J197" s="251" t="s">
        <v>261</v>
      </c>
      <c r="K197" s="253" t="s">
        <v>472</v>
      </c>
      <c r="L197" s="253" t="s">
        <v>471</v>
      </c>
      <c r="M197" s="254" t="s">
        <v>473</v>
      </c>
      <c r="N197" s="255">
        <v>22</v>
      </c>
      <c r="O197" s="255">
        <v>2.69</v>
      </c>
      <c r="P197" s="255">
        <v>3700</v>
      </c>
      <c r="Q197" s="255">
        <v>0.83</v>
      </c>
      <c r="R197" s="255">
        <v>87.2</v>
      </c>
      <c r="S197" s="246" t="str">
        <f t="shared" si="5"/>
        <v>EG1R-240-250-11W</v>
      </c>
      <c r="T197" s="253"/>
      <c r="U197" s="253" t="s">
        <v>260</v>
      </c>
    </row>
    <row r="198" spans="1:21" x14ac:dyDescent="0.3">
      <c r="A198" s="246" t="str">
        <f t="shared" si="9"/>
        <v>250_230_1_W</v>
      </c>
      <c r="B198" s="247">
        <v>42814</v>
      </c>
      <c r="C198" s="248" t="s">
        <v>248</v>
      </c>
      <c r="D198" s="249">
        <v>250</v>
      </c>
      <c r="E198" s="249">
        <v>230</v>
      </c>
      <c r="F198" s="249">
        <v>1</v>
      </c>
      <c r="G198" s="250">
        <f t="shared" si="8"/>
        <v>1.3410200000000001</v>
      </c>
      <c r="H198" s="249">
        <v>0</v>
      </c>
      <c r="I198" s="249" t="s">
        <v>249</v>
      </c>
      <c r="J198" s="251" t="s">
        <v>474</v>
      </c>
      <c r="K198" s="253" t="s">
        <v>475</v>
      </c>
      <c r="L198" s="253" t="s">
        <v>469</v>
      </c>
      <c r="M198" s="254" t="s">
        <v>473</v>
      </c>
      <c r="N198" s="255">
        <v>22</v>
      </c>
      <c r="O198" s="255">
        <v>2.4300000000000002</v>
      </c>
      <c r="P198" s="255">
        <v>3700</v>
      </c>
      <c r="Q198" s="255">
        <v>0.83</v>
      </c>
      <c r="R198" s="255">
        <v>87.2</v>
      </c>
      <c r="S198" s="246" t="str">
        <f t="shared" si="5"/>
        <v>EG1R-240-250-11W</v>
      </c>
      <c r="T198" s="253"/>
      <c r="U198" s="253" t="s">
        <v>262</v>
      </c>
    </row>
    <row r="199" spans="1:21" x14ac:dyDescent="0.3">
      <c r="A199" s="246" t="str">
        <f t="shared" si="9"/>
        <v>250_230_1_W</v>
      </c>
      <c r="B199" s="247">
        <v>42814</v>
      </c>
      <c r="C199" s="248" t="s">
        <v>248</v>
      </c>
      <c r="D199" s="249">
        <v>250</v>
      </c>
      <c r="E199" s="249">
        <v>230</v>
      </c>
      <c r="F199" s="249">
        <v>1</v>
      </c>
      <c r="G199" s="250">
        <f t="shared" si="8"/>
        <v>1.3410200000000001</v>
      </c>
      <c r="H199" s="249">
        <v>1</v>
      </c>
      <c r="I199" s="249" t="s">
        <v>249</v>
      </c>
      <c r="J199" s="251" t="s">
        <v>476</v>
      </c>
      <c r="K199" s="253" t="s">
        <v>475</v>
      </c>
      <c r="L199" s="253" t="s">
        <v>471</v>
      </c>
      <c r="M199" s="254" t="s">
        <v>473</v>
      </c>
      <c r="N199" s="255">
        <v>22</v>
      </c>
      <c r="O199" s="255">
        <v>2.4300000000000002</v>
      </c>
      <c r="P199" s="255">
        <v>3700</v>
      </c>
      <c r="Q199" s="255">
        <v>0.83</v>
      </c>
      <c r="R199" s="255">
        <v>87.2</v>
      </c>
      <c r="S199" s="246" t="str">
        <f t="shared" si="5"/>
        <v>EG1R-240-250-11W</v>
      </c>
      <c r="T199" s="253"/>
      <c r="U199" s="253" t="s">
        <v>262</v>
      </c>
    </row>
    <row r="200" spans="1:21" x14ac:dyDescent="0.3">
      <c r="A200" s="246" t="str">
        <f t="shared" si="9"/>
        <v>280_460_1_W</v>
      </c>
      <c r="B200" s="247">
        <v>42583</v>
      </c>
      <c r="C200" s="248" t="s">
        <v>248</v>
      </c>
      <c r="D200" s="249">
        <v>280</v>
      </c>
      <c r="E200" s="249">
        <v>460</v>
      </c>
      <c r="F200" s="249">
        <v>1</v>
      </c>
      <c r="G200" s="250">
        <f t="shared" si="8"/>
        <v>1.3410200000000001</v>
      </c>
      <c r="H200" s="249">
        <v>0</v>
      </c>
      <c r="I200" s="249" t="s">
        <v>249</v>
      </c>
      <c r="J200" s="251" t="s">
        <v>264</v>
      </c>
      <c r="K200" s="252" t="s">
        <v>477</v>
      </c>
      <c r="L200" s="253" t="s">
        <v>469</v>
      </c>
      <c r="M200" s="254" t="s">
        <v>478</v>
      </c>
      <c r="N200" s="255">
        <v>30</v>
      </c>
      <c r="O200" s="255">
        <v>1.39</v>
      </c>
      <c r="P200" s="255">
        <v>3100</v>
      </c>
      <c r="Q200" s="255">
        <v>0.82</v>
      </c>
      <c r="R200" s="255">
        <v>87.6</v>
      </c>
      <c r="S200" s="246" t="str">
        <f t="shared" si="5"/>
        <v>EG1R480-280-11W</v>
      </c>
      <c r="T200" s="253"/>
      <c r="U200" s="253" t="s">
        <v>267</v>
      </c>
    </row>
    <row r="201" spans="1:21" x14ac:dyDescent="0.3">
      <c r="A201" s="246" t="str">
        <f t="shared" si="9"/>
        <v>280_460_1_W</v>
      </c>
      <c r="B201" s="247">
        <v>42583</v>
      </c>
      <c r="C201" s="248" t="s">
        <v>248</v>
      </c>
      <c r="D201" s="249">
        <v>280</v>
      </c>
      <c r="E201" s="249">
        <v>460</v>
      </c>
      <c r="F201" s="249">
        <v>1</v>
      </c>
      <c r="G201" s="250">
        <f t="shared" si="8"/>
        <v>1.3410200000000001</v>
      </c>
      <c r="H201" s="249">
        <v>1</v>
      </c>
      <c r="I201" s="249" t="s">
        <v>249</v>
      </c>
      <c r="J201" s="251" t="s">
        <v>268</v>
      </c>
      <c r="K201" s="252" t="s">
        <v>477</v>
      </c>
      <c r="L201" s="253" t="s">
        <v>471</v>
      </c>
      <c r="M201" s="254" t="s">
        <v>478</v>
      </c>
      <c r="N201" s="255">
        <v>30</v>
      </c>
      <c r="O201" s="255">
        <v>1.39</v>
      </c>
      <c r="P201" s="255">
        <v>3100</v>
      </c>
      <c r="Q201" s="255">
        <v>0.82</v>
      </c>
      <c r="R201" s="255">
        <v>87.6</v>
      </c>
      <c r="S201" s="246" t="str">
        <f t="shared" si="5"/>
        <v>EG1R480-280-11W</v>
      </c>
      <c r="T201" s="253"/>
      <c r="U201" s="253" t="s">
        <v>267</v>
      </c>
    </row>
    <row r="202" spans="1:21" x14ac:dyDescent="0.3">
      <c r="A202" s="246" t="str">
        <f t="shared" si="9"/>
        <v>280_208_1_W</v>
      </c>
      <c r="B202" s="247">
        <v>42583</v>
      </c>
      <c r="C202" s="248" t="s">
        <v>248</v>
      </c>
      <c r="D202" s="249">
        <v>280</v>
      </c>
      <c r="E202" s="249">
        <v>208</v>
      </c>
      <c r="F202" s="249">
        <v>1</v>
      </c>
      <c r="G202" s="250">
        <f t="shared" si="8"/>
        <v>1.3410200000000001</v>
      </c>
      <c r="H202" s="249">
        <v>0</v>
      </c>
      <c r="I202" s="249" t="s">
        <v>249</v>
      </c>
      <c r="J202" s="251" t="s">
        <v>269</v>
      </c>
      <c r="K202" s="253" t="s">
        <v>479</v>
      </c>
      <c r="L202" s="253" t="s">
        <v>469</v>
      </c>
      <c r="M202" s="254" t="s">
        <v>480</v>
      </c>
      <c r="N202" s="255">
        <v>30</v>
      </c>
      <c r="O202" s="255">
        <v>3.17</v>
      </c>
      <c r="P202" s="255">
        <v>3100</v>
      </c>
      <c r="Q202" s="255">
        <v>0.83</v>
      </c>
      <c r="R202" s="255">
        <v>86</v>
      </c>
      <c r="S202" s="246" t="str">
        <f t="shared" si="5"/>
        <v>EG1R240-280-11W</v>
      </c>
      <c r="T202" s="253"/>
      <c r="U202" s="253" t="s">
        <v>272</v>
      </c>
    </row>
    <row r="203" spans="1:21" x14ac:dyDescent="0.3">
      <c r="A203" s="246" t="str">
        <f t="shared" si="9"/>
        <v>280_208_1_W</v>
      </c>
      <c r="B203" s="247">
        <v>42583</v>
      </c>
      <c r="C203" s="248" t="s">
        <v>248</v>
      </c>
      <c r="D203" s="249">
        <v>280</v>
      </c>
      <c r="E203" s="249">
        <v>208</v>
      </c>
      <c r="F203" s="249">
        <v>1</v>
      </c>
      <c r="G203" s="250">
        <f t="shared" si="8"/>
        <v>1.3410200000000001</v>
      </c>
      <c r="H203" s="249">
        <v>1</v>
      </c>
      <c r="I203" s="249" t="s">
        <v>249</v>
      </c>
      <c r="J203" s="251" t="s">
        <v>273</v>
      </c>
      <c r="K203" s="253" t="s">
        <v>479</v>
      </c>
      <c r="L203" s="253" t="s">
        <v>471</v>
      </c>
      <c r="M203" s="254" t="s">
        <v>480</v>
      </c>
      <c r="N203" s="255">
        <v>30</v>
      </c>
      <c r="O203" s="255">
        <v>3.17</v>
      </c>
      <c r="P203" s="255">
        <v>3100</v>
      </c>
      <c r="Q203" s="255">
        <v>0.83</v>
      </c>
      <c r="R203" s="255">
        <v>86</v>
      </c>
      <c r="S203" s="246" t="str">
        <f t="shared" si="5"/>
        <v>EG1R240-280-11W</v>
      </c>
      <c r="T203" s="253"/>
      <c r="U203" s="253" t="s">
        <v>272</v>
      </c>
    </row>
    <row r="204" spans="1:21" x14ac:dyDescent="0.3">
      <c r="A204" s="246" t="str">
        <f t="shared" si="9"/>
        <v>280_230_1_W</v>
      </c>
      <c r="B204" s="247">
        <v>42814</v>
      </c>
      <c r="C204" s="248" t="s">
        <v>248</v>
      </c>
      <c r="D204" s="249">
        <v>280</v>
      </c>
      <c r="E204" s="249">
        <v>230</v>
      </c>
      <c r="F204" s="249">
        <v>1</v>
      </c>
      <c r="G204" s="250">
        <f t="shared" si="8"/>
        <v>1.3410200000000001</v>
      </c>
      <c r="H204" s="249">
        <v>0</v>
      </c>
      <c r="I204" s="249" t="s">
        <v>249</v>
      </c>
      <c r="J204" s="251" t="s">
        <v>481</v>
      </c>
      <c r="K204" s="253" t="s">
        <v>482</v>
      </c>
      <c r="L204" s="253" t="s">
        <v>469</v>
      </c>
      <c r="M204" s="254" t="s">
        <v>480</v>
      </c>
      <c r="N204" s="255">
        <v>30</v>
      </c>
      <c r="O204" s="255">
        <v>2.87</v>
      </c>
      <c r="P204" s="255">
        <v>3100</v>
      </c>
      <c r="Q204" s="255">
        <v>0.83</v>
      </c>
      <c r="R204" s="255">
        <v>86</v>
      </c>
      <c r="S204" s="246" t="str">
        <f t="shared" si="5"/>
        <v>EG1R240-280-11W</v>
      </c>
      <c r="T204" s="253"/>
      <c r="U204" s="253" t="s">
        <v>274</v>
      </c>
    </row>
    <row r="205" spans="1:21" x14ac:dyDescent="0.3">
      <c r="A205" s="246" t="str">
        <f t="shared" si="9"/>
        <v>280_230_1_W</v>
      </c>
      <c r="B205" s="247">
        <v>42814</v>
      </c>
      <c r="C205" s="248" t="s">
        <v>248</v>
      </c>
      <c r="D205" s="249">
        <v>280</v>
      </c>
      <c r="E205" s="249">
        <v>230</v>
      </c>
      <c r="F205" s="249">
        <v>1</v>
      </c>
      <c r="G205" s="250">
        <f t="shared" si="8"/>
        <v>1.3410200000000001</v>
      </c>
      <c r="H205" s="249">
        <v>1</v>
      </c>
      <c r="I205" s="249" t="s">
        <v>249</v>
      </c>
      <c r="J205" s="251" t="s">
        <v>483</v>
      </c>
      <c r="K205" s="253" t="s">
        <v>482</v>
      </c>
      <c r="L205" s="253" t="s">
        <v>471</v>
      </c>
      <c r="M205" s="254" t="s">
        <v>480</v>
      </c>
      <c r="N205" s="255">
        <v>30</v>
      </c>
      <c r="O205" s="255">
        <v>2.87</v>
      </c>
      <c r="P205" s="255">
        <v>3100</v>
      </c>
      <c r="Q205" s="255">
        <v>0.83</v>
      </c>
      <c r="R205" s="255">
        <v>86</v>
      </c>
      <c r="S205" s="246" t="str">
        <f t="shared" si="5"/>
        <v>EG1R240-280-11W</v>
      </c>
      <c r="T205" s="253"/>
      <c r="U205" s="253" t="s">
        <v>274</v>
      </c>
    </row>
    <row r="206" spans="1:21" x14ac:dyDescent="0.3">
      <c r="A206" s="246" t="str">
        <f t="shared" si="9"/>
        <v>310_208_3_W</v>
      </c>
      <c r="B206" s="247">
        <v>42583</v>
      </c>
      <c r="C206" s="248" t="s">
        <v>248</v>
      </c>
      <c r="D206" s="249">
        <v>310</v>
      </c>
      <c r="E206" s="249">
        <v>208</v>
      </c>
      <c r="F206" s="249">
        <v>3</v>
      </c>
      <c r="G206" s="250">
        <f t="shared" si="8"/>
        <v>4.0230600000000001</v>
      </c>
      <c r="H206" s="249">
        <v>0</v>
      </c>
      <c r="I206" s="249" t="s">
        <v>249</v>
      </c>
      <c r="J206" s="251" t="s">
        <v>280</v>
      </c>
      <c r="K206" s="253" t="s">
        <v>484</v>
      </c>
      <c r="L206" s="253" t="s">
        <v>469</v>
      </c>
      <c r="M206" s="254" t="s">
        <v>485</v>
      </c>
      <c r="N206" s="255">
        <v>41.5</v>
      </c>
      <c r="O206" s="255">
        <v>8.17</v>
      </c>
      <c r="P206" s="255">
        <v>3900</v>
      </c>
      <c r="Q206" s="255">
        <v>0.95</v>
      </c>
      <c r="R206" s="255">
        <v>83.6</v>
      </c>
      <c r="S206" s="246" t="str">
        <f t="shared" si="5"/>
        <v>EG1R240-310-13W</v>
      </c>
      <c r="T206" s="253"/>
      <c r="U206" s="253" t="s">
        <v>283</v>
      </c>
    </row>
    <row r="207" spans="1:21" x14ac:dyDescent="0.3">
      <c r="A207" s="246" t="str">
        <f t="shared" si="9"/>
        <v>310_208_3_W</v>
      </c>
      <c r="B207" s="247">
        <v>42583</v>
      </c>
      <c r="C207" s="248" t="s">
        <v>248</v>
      </c>
      <c r="D207" s="249">
        <v>310</v>
      </c>
      <c r="E207" s="249">
        <v>208</v>
      </c>
      <c r="F207" s="249">
        <v>3</v>
      </c>
      <c r="G207" s="250">
        <f t="shared" si="8"/>
        <v>4.0230600000000001</v>
      </c>
      <c r="H207" s="249">
        <v>1</v>
      </c>
      <c r="I207" s="249" t="s">
        <v>249</v>
      </c>
      <c r="J207" s="251" t="s">
        <v>284</v>
      </c>
      <c r="K207" s="253" t="s">
        <v>484</v>
      </c>
      <c r="L207" s="253" t="s">
        <v>471</v>
      </c>
      <c r="M207" s="254" t="s">
        <v>485</v>
      </c>
      <c r="N207" s="255">
        <v>41.5</v>
      </c>
      <c r="O207" s="255">
        <v>8.17</v>
      </c>
      <c r="P207" s="255">
        <v>3900</v>
      </c>
      <c r="Q207" s="255">
        <v>0.95</v>
      </c>
      <c r="R207" s="255">
        <v>83.6</v>
      </c>
      <c r="S207" s="246" t="str">
        <f t="shared" si="5"/>
        <v>EG1R240-310-13W</v>
      </c>
      <c r="T207" s="253"/>
      <c r="U207" s="253" t="s">
        <v>283</v>
      </c>
    </row>
    <row r="208" spans="1:21" x14ac:dyDescent="0.3">
      <c r="A208" s="246" t="str">
        <f t="shared" si="9"/>
        <v>310_230_3_W</v>
      </c>
      <c r="B208" s="247">
        <v>42814</v>
      </c>
      <c r="C208" s="248" t="s">
        <v>248</v>
      </c>
      <c r="D208" s="249">
        <v>310</v>
      </c>
      <c r="E208" s="249">
        <v>230</v>
      </c>
      <c r="F208" s="249">
        <v>3</v>
      </c>
      <c r="G208" s="250">
        <f t="shared" si="8"/>
        <v>4.0230600000000001</v>
      </c>
      <c r="H208" s="249">
        <v>0</v>
      </c>
      <c r="I208" s="249" t="s">
        <v>249</v>
      </c>
      <c r="J208" s="251" t="s">
        <v>486</v>
      </c>
      <c r="K208" s="253" t="s">
        <v>487</v>
      </c>
      <c r="L208" s="253" t="s">
        <v>469</v>
      </c>
      <c r="M208" s="254" t="s">
        <v>485</v>
      </c>
      <c r="N208" s="255">
        <v>41.5</v>
      </c>
      <c r="O208" s="255">
        <v>7.39</v>
      </c>
      <c r="P208" s="255">
        <v>3900</v>
      </c>
      <c r="Q208" s="255">
        <v>0.95</v>
      </c>
      <c r="R208" s="255">
        <v>83.6</v>
      </c>
      <c r="S208" s="246" t="str">
        <f t="shared" si="5"/>
        <v>EG1R240-310-13W</v>
      </c>
      <c r="T208" s="253"/>
      <c r="U208" s="253" t="s">
        <v>285</v>
      </c>
    </row>
    <row r="209" spans="1:21" x14ac:dyDescent="0.3">
      <c r="A209" s="246" t="str">
        <f t="shared" si="9"/>
        <v>310_230_3_W</v>
      </c>
      <c r="B209" s="247">
        <v>42814</v>
      </c>
      <c r="C209" s="248" t="s">
        <v>248</v>
      </c>
      <c r="D209" s="249">
        <v>310</v>
      </c>
      <c r="E209" s="249">
        <v>230</v>
      </c>
      <c r="F209" s="249">
        <v>3</v>
      </c>
      <c r="G209" s="250">
        <f t="shared" si="8"/>
        <v>4.0230600000000001</v>
      </c>
      <c r="H209" s="249">
        <v>1</v>
      </c>
      <c r="I209" s="249" t="s">
        <v>249</v>
      </c>
      <c r="J209" s="251" t="s">
        <v>488</v>
      </c>
      <c r="K209" s="253" t="s">
        <v>487</v>
      </c>
      <c r="L209" s="253" t="s">
        <v>471</v>
      </c>
      <c r="M209" s="254" t="s">
        <v>485</v>
      </c>
      <c r="N209" s="255">
        <v>41.5</v>
      </c>
      <c r="O209" s="255">
        <v>7.39</v>
      </c>
      <c r="P209" s="255">
        <v>3900</v>
      </c>
      <c r="Q209" s="255">
        <v>0.95</v>
      </c>
      <c r="R209" s="255">
        <v>83.6</v>
      </c>
      <c r="S209" s="246" t="str">
        <f t="shared" si="5"/>
        <v>EG1R240-310-13W</v>
      </c>
      <c r="T209" s="253"/>
      <c r="U209" s="253" t="s">
        <v>285</v>
      </c>
    </row>
    <row r="210" spans="1:21" x14ac:dyDescent="0.3">
      <c r="A210" s="246" t="str">
        <f t="shared" si="9"/>
        <v>310_460_3_W</v>
      </c>
      <c r="B210" s="247">
        <v>42583</v>
      </c>
      <c r="C210" s="248" t="s">
        <v>248</v>
      </c>
      <c r="D210" s="249">
        <v>310</v>
      </c>
      <c r="E210" s="249">
        <v>460</v>
      </c>
      <c r="F210" s="249">
        <v>3</v>
      </c>
      <c r="G210" s="250">
        <f t="shared" si="8"/>
        <v>4.0230600000000001</v>
      </c>
      <c r="H210" s="249">
        <v>0</v>
      </c>
      <c r="I210" s="249" t="s">
        <v>249</v>
      </c>
      <c r="J210" s="251" t="s">
        <v>275</v>
      </c>
      <c r="K210" s="252" t="s">
        <v>489</v>
      </c>
      <c r="L210" s="253" t="s">
        <v>469</v>
      </c>
      <c r="M210" s="254" t="s">
        <v>490</v>
      </c>
      <c r="N210" s="255">
        <v>46</v>
      </c>
      <c r="O210" s="255">
        <v>4.26</v>
      </c>
      <c r="P210" s="255">
        <v>4100</v>
      </c>
      <c r="Q210" s="255">
        <v>0.95</v>
      </c>
      <c r="R210" s="255">
        <v>85.5</v>
      </c>
      <c r="S210" s="246" t="str">
        <f t="shared" si="5"/>
        <v>EG1R480-310-13W</v>
      </c>
      <c r="T210" s="253"/>
      <c r="U210" s="253" t="s">
        <v>278</v>
      </c>
    </row>
    <row r="211" spans="1:21" x14ac:dyDescent="0.3">
      <c r="A211" s="246" t="str">
        <f t="shared" si="9"/>
        <v>310_460_3_W</v>
      </c>
      <c r="B211" s="247">
        <v>42583</v>
      </c>
      <c r="C211" s="248" t="s">
        <v>248</v>
      </c>
      <c r="D211" s="249">
        <v>310</v>
      </c>
      <c r="E211" s="249">
        <v>460</v>
      </c>
      <c r="F211" s="249">
        <v>3</v>
      </c>
      <c r="G211" s="250">
        <f t="shared" si="8"/>
        <v>4.0230600000000001</v>
      </c>
      <c r="H211" s="249">
        <v>1</v>
      </c>
      <c r="I211" s="249" t="s">
        <v>249</v>
      </c>
      <c r="J211" s="251" t="s">
        <v>279</v>
      </c>
      <c r="K211" s="252" t="s">
        <v>489</v>
      </c>
      <c r="L211" s="253" t="s">
        <v>471</v>
      </c>
      <c r="M211" s="254" t="s">
        <v>490</v>
      </c>
      <c r="N211" s="255">
        <v>46</v>
      </c>
      <c r="O211" s="255">
        <v>4.26</v>
      </c>
      <c r="P211" s="255">
        <v>4100</v>
      </c>
      <c r="Q211" s="255">
        <v>0.95</v>
      </c>
      <c r="R211" s="255">
        <v>85.5</v>
      </c>
      <c r="S211" s="246" t="str">
        <f t="shared" si="5"/>
        <v>EG1R480-310-13W</v>
      </c>
      <c r="T211" s="253"/>
      <c r="U211" s="253" t="s">
        <v>278</v>
      </c>
    </row>
    <row r="212" spans="1:21" x14ac:dyDescent="0.3">
      <c r="A212" s="246" t="str">
        <f t="shared" si="9"/>
        <v>355_460_3_W</v>
      </c>
      <c r="B212" s="247">
        <v>42583</v>
      </c>
      <c r="C212" s="248" t="s">
        <v>248</v>
      </c>
      <c r="D212" s="249">
        <v>355</v>
      </c>
      <c r="E212" s="249">
        <v>460</v>
      </c>
      <c r="F212" s="249">
        <v>3</v>
      </c>
      <c r="G212" s="250">
        <f t="shared" si="8"/>
        <v>4.0230600000000001</v>
      </c>
      <c r="H212" s="249">
        <v>0</v>
      </c>
      <c r="I212" s="249" t="s">
        <v>249</v>
      </c>
      <c r="J212" s="251" t="s">
        <v>286</v>
      </c>
      <c r="K212" s="252" t="s">
        <v>491</v>
      </c>
      <c r="L212" s="253" t="s">
        <v>469</v>
      </c>
      <c r="M212" s="254" t="s">
        <v>492</v>
      </c>
      <c r="N212" s="255">
        <v>61</v>
      </c>
      <c r="O212" s="255">
        <v>2.2599999999999998</v>
      </c>
      <c r="P212" s="255">
        <v>2600</v>
      </c>
      <c r="Q212" s="255">
        <v>0.94</v>
      </c>
      <c r="R212" s="255">
        <v>87.5</v>
      </c>
      <c r="S212" s="246" t="str">
        <f t="shared" si="5"/>
        <v>EG1R480-355-12W</v>
      </c>
      <c r="T212" s="253"/>
      <c r="U212" s="253" t="s">
        <v>289</v>
      </c>
    </row>
    <row r="213" spans="1:21" x14ac:dyDescent="0.3">
      <c r="A213" s="246" t="str">
        <f t="shared" si="9"/>
        <v>355_460_3_W</v>
      </c>
      <c r="B213" s="247">
        <v>42583</v>
      </c>
      <c r="C213" s="248" t="s">
        <v>248</v>
      </c>
      <c r="D213" s="249">
        <v>355</v>
      </c>
      <c r="E213" s="249">
        <v>460</v>
      </c>
      <c r="F213" s="249">
        <v>3</v>
      </c>
      <c r="G213" s="250">
        <f t="shared" si="8"/>
        <v>4.0230600000000001</v>
      </c>
      <c r="H213" s="249">
        <v>1</v>
      </c>
      <c r="I213" s="249" t="s">
        <v>249</v>
      </c>
      <c r="J213" s="251" t="s">
        <v>290</v>
      </c>
      <c r="K213" s="252" t="s">
        <v>491</v>
      </c>
      <c r="L213" s="253" t="s">
        <v>471</v>
      </c>
      <c r="M213" s="254" t="s">
        <v>492</v>
      </c>
      <c r="N213" s="255">
        <v>61</v>
      </c>
      <c r="O213" s="255">
        <v>2.2599999999999998</v>
      </c>
      <c r="P213" s="255">
        <v>2600</v>
      </c>
      <c r="Q213" s="255">
        <v>0.94</v>
      </c>
      <c r="R213" s="255">
        <v>87.5</v>
      </c>
      <c r="S213" s="246" t="str">
        <f t="shared" ref="S213:S276" si="10">MID(M213,9,50)</f>
        <v>EG1R480-355-12W</v>
      </c>
      <c r="T213" s="253"/>
      <c r="U213" s="253" t="s">
        <v>289</v>
      </c>
    </row>
    <row r="214" spans="1:21" x14ac:dyDescent="0.3">
      <c r="A214" s="246" t="str">
        <f t="shared" si="9"/>
        <v>355_208_3_W</v>
      </c>
      <c r="B214" s="247">
        <v>42583</v>
      </c>
      <c r="C214" s="248" t="s">
        <v>248</v>
      </c>
      <c r="D214" s="249">
        <v>355</v>
      </c>
      <c r="E214" s="249">
        <v>208</v>
      </c>
      <c r="F214" s="249">
        <v>3</v>
      </c>
      <c r="G214" s="250">
        <f t="shared" si="8"/>
        <v>4.0230600000000001</v>
      </c>
      <c r="H214" s="249">
        <v>0</v>
      </c>
      <c r="I214" s="249" t="s">
        <v>249</v>
      </c>
      <c r="J214" s="251" t="s">
        <v>291</v>
      </c>
      <c r="K214" s="253" t="s">
        <v>493</v>
      </c>
      <c r="L214" s="253" t="s">
        <v>469</v>
      </c>
      <c r="M214" s="254" t="s">
        <v>494</v>
      </c>
      <c r="N214" s="255">
        <v>61</v>
      </c>
      <c r="O214" s="255">
        <v>5</v>
      </c>
      <c r="P214" s="255">
        <v>2600</v>
      </c>
      <c r="Q214" s="255">
        <v>0.94</v>
      </c>
      <c r="R214" s="255">
        <v>87</v>
      </c>
      <c r="S214" s="246" t="str">
        <f t="shared" si="10"/>
        <v>EG1R240-355-12W</v>
      </c>
      <c r="T214" s="253"/>
      <c r="U214" s="253" t="s">
        <v>294</v>
      </c>
    </row>
    <row r="215" spans="1:21" x14ac:dyDescent="0.3">
      <c r="A215" s="246" t="str">
        <f t="shared" si="9"/>
        <v>355_208_3_W</v>
      </c>
      <c r="B215" s="247">
        <v>42583</v>
      </c>
      <c r="C215" s="248" t="s">
        <v>248</v>
      </c>
      <c r="D215" s="249">
        <v>355</v>
      </c>
      <c r="E215" s="249">
        <v>208</v>
      </c>
      <c r="F215" s="249">
        <v>3</v>
      </c>
      <c r="G215" s="250">
        <f t="shared" si="8"/>
        <v>4.0230600000000001</v>
      </c>
      <c r="H215" s="249">
        <v>1</v>
      </c>
      <c r="I215" s="249" t="s">
        <v>249</v>
      </c>
      <c r="J215" s="251" t="s">
        <v>295</v>
      </c>
      <c r="K215" s="253" t="s">
        <v>493</v>
      </c>
      <c r="L215" s="253" t="s">
        <v>471</v>
      </c>
      <c r="M215" s="254" t="s">
        <v>494</v>
      </c>
      <c r="N215" s="255">
        <v>61</v>
      </c>
      <c r="O215" s="255">
        <v>5</v>
      </c>
      <c r="P215" s="255">
        <v>2600</v>
      </c>
      <c r="Q215" s="255">
        <v>0.94</v>
      </c>
      <c r="R215" s="255">
        <v>87</v>
      </c>
      <c r="S215" s="246" t="str">
        <f t="shared" si="10"/>
        <v>EG1R240-355-12W</v>
      </c>
      <c r="T215" s="253"/>
      <c r="U215" s="253" t="s">
        <v>294</v>
      </c>
    </row>
    <row r="216" spans="1:21" x14ac:dyDescent="0.3">
      <c r="A216" s="246" t="str">
        <f t="shared" si="9"/>
        <v>355_230_3_W</v>
      </c>
      <c r="B216" s="247">
        <v>42814</v>
      </c>
      <c r="C216" s="248" t="s">
        <v>248</v>
      </c>
      <c r="D216" s="249">
        <v>355</v>
      </c>
      <c r="E216" s="249">
        <v>230</v>
      </c>
      <c r="F216" s="249">
        <v>3</v>
      </c>
      <c r="G216" s="250">
        <f t="shared" si="8"/>
        <v>4.0230600000000001</v>
      </c>
      <c r="H216" s="249">
        <v>0</v>
      </c>
      <c r="I216" s="249" t="s">
        <v>249</v>
      </c>
      <c r="J216" s="251" t="s">
        <v>495</v>
      </c>
      <c r="K216" s="253" t="s">
        <v>496</v>
      </c>
      <c r="L216" s="253" t="s">
        <v>469</v>
      </c>
      <c r="M216" s="254" t="s">
        <v>494</v>
      </c>
      <c r="N216" s="255">
        <v>61</v>
      </c>
      <c r="O216" s="255">
        <v>4.5199999999999996</v>
      </c>
      <c r="P216" s="255">
        <v>2600</v>
      </c>
      <c r="Q216" s="255">
        <v>0.94</v>
      </c>
      <c r="R216" s="255">
        <v>87</v>
      </c>
      <c r="S216" s="246" t="str">
        <f t="shared" si="10"/>
        <v>EG1R240-355-12W</v>
      </c>
      <c r="T216" s="253"/>
      <c r="U216" s="253" t="s">
        <v>296</v>
      </c>
    </row>
    <row r="217" spans="1:21" x14ac:dyDescent="0.3">
      <c r="A217" s="246" t="str">
        <f t="shared" si="9"/>
        <v>355_230_3_W</v>
      </c>
      <c r="B217" s="247">
        <v>42814</v>
      </c>
      <c r="C217" s="248" t="s">
        <v>248</v>
      </c>
      <c r="D217" s="249">
        <v>355</v>
      </c>
      <c r="E217" s="249">
        <v>230</v>
      </c>
      <c r="F217" s="249">
        <v>3</v>
      </c>
      <c r="G217" s="250">
        <f t="shared" si="8"/>
        <v>4.0230600000000001</v>
      </c>
      <c r="H217" s="249">
        <v>1</v>
      </c>
      <c r="I217" s="249" t="s">
        <v>249</v>
      </c>
      <c r="J217" s="251" t="s">
        <v>497</v>
      </c>
      <c r="K217" s="253" t="s">
        <v>496</v>
      </c>
      <c r="L217" s="253" t="s">
        <v>471</v>
      </c>
      <c r="M217" s="254" t="s">
        <v>494</v>
      </c>
      <c r="N217" s="255">
        <v>61</v>
      </c>
      <c r="O217" s="255">
        <v>4.5199999999999996</v>
      </c>
      <c r="P217" s="255">
        <v>2600</v>
      </c>
      <c r="Q217" s="255">
        <v>0.94</v>
      </c>
      <c r="R217" s="255">
        <v>87</v>
      </c>
      <c r="S217" s="246" t="str">
        <f t="shared" si="10"/>
        <v>EG1R240-355-12W</v>
      </c>
      <c r="T217" s="253"/>
      <c r="U217" s="253" t="s">
        <v>296</v>
      </c>
    </row>
    <row r="218" spans="1:21" x14ac:dyDescent="0.3">
      <c r="A218" s="246" t="str">
        <f t="shared" si="9"/>
        <v>400_460_3_W</v>
      </c>
      <c r="B218" s="247">
        <v>42583</v>
      </c>
      <c r="C218" s="248" t="s">
        <v>248</v>
      </c>
      <c r="D218" s="249">
        <v>400</v>
      </c>
      <c r="E218" s="249">
        <v>460</v>
      </c>
      <c r="F218" s="249">
        <v>3</v>
      </c>
      <c r="G218" s="250">
        <f t="shared" si="8"/>
        <v>4.0230600000000001</v>
      </c>
      <c r="H218" s="249">
        <v>0</v>
      </c>
      <c r="I218" s="249" t="s">
        <v>249</v>
      </c>
      <c r="J218" s="251" t="s">
        <v>297</v>
      </c>
      <c r="K218" s="252" t="s">
        <v>498</v>
      </c>
      <c r="L218" s="253" t="s">
        <v>469</v>
      </c>
      <c r="M218" s="254" t="s">
        <v>499</v>
      </c>
      <c r="N218" s="255">
        <v>87</v>
      </c>
      <c r="O218" s="255">
        <v>4</v>
      </c>
      <c r="P218" s="255">
        <v>2550</v>
      </c>
      <c r="Q218" s="255">
        <v>0.94</v>
      </c>
      <c r="R218" s="255">
        <v>88.3</v>
      </c>
      <c r="S218" s="246" t="str">
        <f t="shared" si="10"/>
        <v>EG1R480-400-13W</v>
      </c>
      <c r="T218" s="253"/>
      <c r="U218" s="253" t="s">
        <v>300</v>
      </c>
    </row>
    <row r="219" spans="1:21" x14ac:dyDescent="0.3">
      <c r="A219" s="246" t="str">
        <f t="shared" si="9"/>
        <v>400_460_3_W</v>
      </c>
      <c r="B219" s="247">
        <v>42583</v>
      </c>
      <c r="C219" s="248" t="s">
        <v>248</v>
      </c>
      <c r="D219" s="249">
        <v>400</v>
      </c>
      <c r="E219" s="249">
        <v>460</v>
      </c>
      <c r="F219" s="249">
        <v>3</v>
      </c>
      <c r="G219" s="250">
        <f t="shared" si="8"/>
        <v>4.0230600000000001</v>
      </c>
      <c r="H219" s="249">
        <v>1</v>
      </c>
      <c r="I219" s="249" t="s">
        <v>249</v>
      </c>
      <c r="J219" s="251" t="s">
        <v>301</v>
      </c>
      <c r="K219" s="252" t="s">
        <v>498</v>
      </c>
      <c r="L219" s="253" t="s">
        <v>471</v>
      </c>
      <c r="M219" s="254" t="s">
        <v>499</v>
      </c>
      <c r="N219" s="255">
        <v>87</v>
      </c>
      <c r="O219" s="255">
        <v>4</v>
      </c>
      <c r="P219" s="255">
        <v>2550</v>
      </c>
      <c r="Q219" s="255">
        <v>0.94</v>
      </c>
      <c r="R219" s="255">
        <v>88.3</v>
      </c>
      <c r="S219" s="246" t="str">
        <f t="shared" si="10"/>
        <v>EG1R480-400-13W</v>
      </c>
      <c r="T219" s="253"/>
      <c r="U219" s="253" t="s">
        <v>300</v>
      </c>
    </row>
    <row r="220" spans="1:21" x14ac:dyDescent="0.3">
      <c r="A220" s="246" t="str">
        <f t="shared" si="9"/>
        <v>400_208_3_W</v>
      </c>
      <c r="B220" s="247">
        <v>42583</v>
      </c>
      <c r="C220" s="248" t="s">
        <v>248</v>
      </c>
      <c r="D220" s="249">
        <v>400</v>
      </c>
      <c r="E220" s="249">
        <v>208</v>
      </c>
      <c r="F220" s="249">
        <v>3</v>
      </c>
      <c r="G220" s="250">
        <f t="shared" si="8"/>
        <v>4.0230600000000001</v>
      </c>
      <c r="H220" s="249">
        <v>0</v>
      </c>
      <c r="I220" s="249" t="s">
        <v>249</v>
      </c>
      <c r="J220" s="251" t="s">
        <v>302</v>
      </c>
      <c r="K220" s="253" t="s">
        <v>500</v>
      </c>
      <c r="L220" s="253" t="s">
        <v>469</v>
      </c>
      <c r="M220" s="254" t="s">
        <v>501</v>
      </c>
      <c r="N220" s="255">
        <v>87</v>
      </c>
      <c r="O220" s="255">
        <v>9.33</v>
      </c>
      <c r="P220" s="255">
        <v>2550</v>
      </c>
      <c r="Q220" s="255">
        <v>0.93</v>
      </c>
      <c r="R220" s="255">
        <v>86.2</v>
      </c>
      <c r="S220" s="246" t="str">
        <f t="shared" si="10"/>
        <v>EG1R240-400-13W</v>
      </c>
      <c r="T220" s="253"/>
      <c r="U220" s="253" t="s">
        <v>305</v>
      </c>
    </row>
    <row r="221" spans="1:21" x14ac:dyDescent="0.3">
      <c r="A221" s="246" t="str">
        <f t="shared" si="9"/>
        <v>400_208_3_W</v>
      </c>
      <c r="B221" s="247">
        <v>42583</v>
      </c>
      <c r="C221" s="248" t="s">
        <v>248</v>
      </c>
      <c r="D221" s="249">
        <v>400</v>
      </c>
      <c r="E221" s="249">
        <v>208</v>
      </c>
      <c r="F221" s="249">
        <v>3</v>
      </c>
      <c r="G221" s="250">
        <f t="shared" si="8"/>
        <v>4.0230600000000001</v>
      </c>
      <c r="H221" s="249">
        <v>1</v>
      </c>
      <c r="I221" s="249" t="s">
        <v>249</v>
      </c>
      <c r="J221" s="251" t="s">
        <v>306</v>
      </c>
      <c r="K221" s="253" t="s">
        <v>500</v>
      </c>
      <c r="L221" s="253" t="s">
        <v>471</v>
      </c>
      <c r="M221" s="254" t="s">
        <v>501</v>
      </c>
      <c r="N221" s="255">
        <v>87</v>
      </c>
      <c r="O221" s="255">
        <v>9.33</v>
      </c>
      <c r="P221" s="255">
        <v>2550</v>
      </c>
      <c r="Q221" s="255">
        <v>0.93</v>
      </c>
      <c r="R221" s="255">
        <v>86.2</v>
      </c>
      <c r="S221" s="246" t="str">
        <f t="shared" si="10"/>
        <v>EG1R240-400-13W</v>
      </c>
      <c r="T221" s="253"/>
      <c r="U221" s="253" t="s">
        <v>305</v>
      </c>
    </row>
    <row r="222" spans="1:21" x14ac:dyDescent="0.3">
      <c r="A222" s="246" t="str">
        <f t="shared" si="9"/>
        <v>400_230_3_W</v>
      </c>
      <c r="B222" s="247">
        <v>42814</v>
      </c>
      <c r="C222" s="248" t="s">
        <v>248</v>
      </c>
      <c r="D222" s="249">
        <v>400</v>
      </c>
      <c r="E222" s="249">
        <v>230</v>
      </c>
      <c r="F222" s="249">
        <v>3</v>
      </c>
      <c r="G222" s="250">
        <f t="shared" si="8"/>
        <v>4.0230600000000001</v>
      </c>
      <c r="H222" s="249">
        <v>0</v>
      </c>
      <c r="I222" s="249" t="s">
        <v>249</v>
      </c>
      <c r="J222" s="251" t="s">
        <v>502</v>
      </c>
      <c r="K222" s="253" t="s">
        <v>503</v>
      </c>
      <c r="L222" s="253" t="s">
        <v>469</v>
      </c>
      <c r="M222" s="254" t="s">
        <v>501</v>
      </c>
      <c r="N222" s="255">
        <v>87</v>
      </c>
      <c r="O222" s="255">
        <v>8.43</v>
      </c>
      <c r="P222" s="255">
        <v>2550</v>
      </c>
      <c r="Q222" s="255">
        <v>0.93</v>
      </c>
      <c r="R222" s="255">
        <v>86.2</v>
      </c>
      <c r="S222" s="246" t="str">
        <f t="shared" si="10"/>
        <v>EG1R240-400-13W</v>
      </c>
      <c r="T222" s="253"/>
      <c r="U222" s="253" t="s">
        <v>307</v>
      </c>
    </row>
    <row r="223" spans="1:21" x14ac:dyDescent="0.3">
      <c r="A223" s="246" t="str">
        <f t="shared" si="9"/>
        <v>400_230_3_W</v>
      </c>
      <c r="B223" s="247">
        <v>42814</v>
      </c>
      <c r="C223" s="248" t="s">
        <v>248</v>
      </c>
      <c r="D223" s="249">
        <v>400</v>
      </c>
      <c r="E223" s="249">
        <v>230</v>
      </c>
      <c r="F223" s="249">
        <v>3</v>
      </c>
      <c r="G223" s="250">
        <f t="shared" si="8"/>
        <v>4.0230600000000001</v>
      </c>
      <c r="H223" s="249">
        <v>1</v>
      </c>
      <c r="I223" s="249" t="s">
        <v>249</v>
      </c>
      <c r="J223" s="251" t="s">
        <v>504</v>
      </c>
      <c r="K223" s="253" t="s">
        <v>503</v>
      </c>
      <c r="L223" s="253" t="s">
        <v>471</v>
      </c>
      <c r="M223" s="254" t="s">
        <v>501</v>
      </c>
      <c r="N223" s="255">
        <v>87</v>
      </c>
      <c r="O223" s="255">
        <v>8.43</v>
      </c>
      <c r="P223" s="255">
        <v>2550</v>
      </c>
      <c r="Q223" s="255">
        <v>0.93</v>
      </c>
      <c r="R223" s="255">
        <v>86.2</v>
      </c>
      <c r="S223" s="246" t="str">
        <f t="shared" si="10"/>
        <v>EG1R240-400-13W</v>
      </c>
      <c r="T223" s="253"/>
      <c r="U223" s="253" t="s">
        <v>307</v>
      </c>
    </row>
    <row r="224" spans="1:21" x14ac:dyDescent="0.3">
      <c r="A224" s="246" t="str">
        <f t="shared" si="9"/>
        <v>450_460_3_W</v>
      </c>
      <c r="B224" s="247">
        <v>42583</v>
      </c>
      <c r="C224" s="248" t="s">
        <v>248</v>
      </c>
      <c r="D224" s="249">
        <v>450</v>
      </c>
      <c r="E224" s="249">
        <v>460</v>
      </c>
      <c r="F224" s="249">
        <v>3</v>
      </c>
      <c r="G224" s="250">
        <f t="shared" si="8"/>
        <v>4.0230600000000001</v>
      </c>
      <c r="H224" s="249">
        <v>0</v>
      </c>
      <c r="I224" s="249" t="s">
        <v>249</v>
      </c>
      <c r="J224" s="251" t="s">
        <v>308</v>
      </c>
      <c r="K224" s="252" t="s">
        <v>505</v>
      </c>
      <c r="L224" s="253" t="s">
        <v>469</v>
      </c>
      <c r="M224" s="254" t="s">
        <v>506</v>
      </c>
      <c r="N224" s="255">
        <v>96</v>
      </c>
      <c r="O224" s="255">
        <v>3.65</v>
      </c>
      <c r="P224" s="255">
        <v>2040</v>
      </c>
      <c r="Q224" s="255">
        <v>0.94</v>
      </c>
      <c r="R224" s="255">
        <v>88.8</v>
      </c>
      <c r="S224" s="246" t="str">
        <f t="shared" si="10"/>
        <v>EG1R480-450-13W</v>
      </c>
      <c r="T224" s="253"/>
      <c r="U224" s="253" t="s">
        <v>311</v>
      </c>
    </row>
    <row r="225" spans="1:21" x14ac:dyDescent="0.3">
      <c r="A225" s="246" t="str">
        <f t="shared" si="9"/>
        <v>450_460_6_W</v>
      </c>
      <c r="B225" s="247">
        <v>42583</v>
      </c>
      <c r="C225" s="248" t="s">
        <v>248</v>
      </c>
      <c r="D225" s="249">
        <v>450</v>
      </c>
      <c r="E225" s="249">
        <v>460</v>
      </c>
      <c r="F225" s="249">
        <v>6</v>
      </c>
      <c r="G225" s="250">
        <f t="shared" si="8"/>
        <v>8.0461200000000002</v>
      </c>
      <c r="H225" s="249">
        <v>0</v>
      </c>
      <c r="I225" s="249" t="s">
        <v>249</v>
      </c>
      <c r="J225" s="251" t="s">
        <v>312</v>
      </c>
      <c r="K225" s="252" t="s">
        <v>507</v>
      </c>
      <c r="L225" s="253" t="s">
        <v>469</v>
      </c>
      <c r="M225" s="254" t="s">
        <v>508</v>
      </c>
      <c r="N225" s="255">
        <v>128</v>
      </c>
      <c r="O225" s="255">
        <v>7.22</v>
      </c>
      <c r="P225" s="255">
        <v>2750</v>
      </c>
      <c r="Q225" s="255">
        <v>0.94</v>
      </c>
      <c r="R225" s="255">
        <v>88.8</v>
      </c>
      <c r="S225" s="246" t="str">
        <f t="shared" si="10"/>
        <v>EG1R480-450-16W</v>
      </c>
      <c r="T225" s="253"/>
      <c r="U225" s="253" t="s">
        <v>315</v>
      </c>
    </row>
    <row r="226" spans="1:21" x14ac:dyDescent="0.3">
      <c r="A226" s="246" t="str">
        <f t="shared" si="9"/>
        <v>450_460_3_W</v>
      </c>
      <c r="B226" s="247">
        <v>42583</v>
      </c>
      <c r="C226" s="248" t="s">
        <v>248</v>
      </c>
      <c r="D226" s="249">
        <v>450</v>
      </c>
      <c r="E226" s="249">
        <v>460</v>
      </c>
      <c r="F226" s="249">
        <v>3</v>
      </c>
      <c r="G226" s="250">
        <f t="shared" si="8"/>
        <v>4.0230600000000001</v>
      </c>
      <c r="H226" s="249">
        <v>1</v>
      </c>
      <c r="I226" s="249" t="s">
        <v>249</v>
      </c>
      <c r="J226" s="251" t="s">
        <v>316</v>
      </c>
      <c r="K226" s="252" t="s">
        <v>505</v>
      </c>
      <c r="L226" s="253" t="s">
        <v>471</v>
      </c>
      <c r="M226" s="254" t="s">
        <v>506</v>
      </c>
      <c r="N226" s="255">
        <v>96</v>
      </c>
      <c r="O226" s="255">
        <v>3.65</v>
      </c>
      <c r="P226" s="255">
        <v>2040</v>
      </c>
      <c r="Q226" s="255">
        <v>0.94</v>
      </c>
      <c r="R226" s="255">
        <v>88.8</v>
      </c>
      <c r="S226" s="246" t="str">
        <f t="shared" si="10"/>
        <v>EG1R480-450-13W</v>
      </c>
      <c r="T226" s="253"/>
      <c r="U226" s="253" t="s">
        <v>311</v>
      </c>
    </row>
    <row r="227" spans="1:21" x14ac:dyDescent="0.3">
      <c r="A227" s="246" t="str">
        <f t="shared" si="9"/>
        <v>450_460_6_W</v>
      </c>
      <c r="B227" s="247">
        <v>42583</v>
      </c>
      <c r="C227" s="248" t="s">
        <v>248</v>
      </c>
      <c r="D227" s="249">
        <v>450</v>
      </c>
      <c r="E227" s="249">
        <v>460</v>
      </c>
      <c r="F227" s="249">
        <v>6</v>
      </c>
      <c r="G227" s="250">
        <f t="shared" si="8"/>
        <v>8.0461200000000002</v>
      </c>
      <c r="H227" s="249">
        <v>1</v>
      </c>
      <c r="I227" s="249" t="s">
        <v>249</v>
      </c>
      <c r="J227" s="251" t="s">
        <v>317</v>
      </c>
      <c r="K227" s="252" t="s">
        <v>507</v>
      </c>
      <c r="L227" s="253" t="s">
        <v>471</v>
      </c>
      <c r="M227" s="254" t="s">
        <v>508</v>
      </c>
      <c r="N227" s="255">
        <v>128</v>
      </c>
      <c r="O227" s="255">
        <v>7.22</v>
      </c>
      <c r="P227" s="255">
        <v>2750</v>
      </c>
      <c r="Q227" s="255">
        <v>0.94</v>
      </c>
      <c r="R227" s="255">
        <v>88.8</v>
      </c>
      <c r="S227" s="246" t="str">
        <f t="shared" si="10"/>
        <v>EG1R480-450-16W</v>
      </c>
      <c r="T227" s="253"/>
      <c r="U227" s="253" t="s">
        <v>315</v>
      </c>
    </row>
    <row r="228" spans="1:21" x14ac:dyDescent="0.3">
      <c r="A228" s="246" t="str">
        <f t="shared" si="9"/>
        <v>450_208_3_W</v>
      </c>
      <c r="B228" s="247">
        <v>42583</v>
      </c>
      <c r="C228" s="248" t="s">
        <v>248</v>
      </c>
      <c r="D228" s="249">
        <v>450</v>
      </c>
      <c r="E228" s="249">
        <v>208</v>
      </c>
      <c r="F228" s="249">
        <v>3</v>
      </c>
      <c r="G228" s="250">
        <f t="shared" si="8"/>
        <v>4.0230600000000001</v>
      </c>
      <c r="H228" s="249">
        <v>0</v>
      </c>
      <c r="I228" s="249" t="s">
        <v>249</v>
      </c>
      <c r="J228" s="251" t="s">
        <v>318</v>
      </c>
      <c r="K228" s="253" t="s">
        <v>509</v>
      </c>
      <c r="L228" s="253" t="s">
        <v>469</v>
      </c>
      <c r="M228" s="254" t="s">
        <v>510</v>
      </c>
      <c r="N228" s="255">
        <v>96</v>
      </c>
      <c r="O228" s="255">
        <v>8.08</v>
      </c>
      <c r="P228" s="255">
        <v>2040</v>
      </c>
      <c r="Q228" s="255">
        <v>0.95</v>
      </c>
      <c r="R228" s="255">
        <v>87.2</v>
      </c>
      <c r="S228" s="246" t="str">
        <f t="shared" si="10"/>
        <v>EG1R240-450-13W</v>
      </c>
      <c r="T228" s="253"/>
      <c r="U228" s="253" t="s">
        <v>321</v>
      </c>
    </row>
    <row r="229" spans="1:21" x14ac:dyDescent="0.3">
      <c r="A229" s="246" t="str">
        <f t="shared" si="9"/>
        <v>450_208_6_W</v>
      </c>
      <c r="B229" s="247">
        <v>42583</v>
      </c>
      <c r="C229" s="248" t="s">
        <v>248</v>
      </c>
      <c r="D229" s="249">
        <v>450</v>
      </c>
      <c r="E229" s="249">
        <v>208</v>
      </c>
      <c r="F229" s="249">
        <v>6</v>
      </c>
      <c r="G229" s="250">
        <f t="shared" si="8"/>
        <v>8.0461200000000002</v>
      </c>
      <c r="H229" s="249">
        <v>0</v>
      </c>
      <c r="I229" s="249" t="s">
        <v>249</v>
      </c>
      <c r="J229" s="251" t="s">
        <v>322</v>
      </c>
      <c r="K229" s="253" t="s">
        <v>511</v>
      </c>
      <c r="L229" s="253" t="s">
        <v>469</v>
      </c>
      <c r="M229" s="254" t="s">
        <v>512</v>
      </c>
      <c r="N229" s="255">
        <v>128</v>
      </c>
      <c r="O229" s="255">
        <v>16.350000000000001</v>
      </c>
      <c r="P229" s="255">
        <v>2750</v>
      </c>
      <c r="Q229" s="255">
        <v>0.95</v>
      </c>
      <c r="R229" s="255">
        <v>87</v>
      </c>
      <c r="S229" s="246" t="str">
        <f t="shared" si="10"/>
        <v>EG1R240-450-16W</v>
      </c>
      <c r="T229" s="253"/>
      <c r="U229" s="253" t="s">
        <v>325</v>
      </c>
    </row>
    <row r="230" spans="1:21" x14ac:dyDescent="0.3">
      <c r="A230" s="246" t="str">
        <f t="shared" si="9"/>
        <v>450_208_3_W</v>
      </c>
      <c r="B230" s="247">
        <v>42583</v>
      </c>
      <c r="C230" s="248" t="s">
        <v>248</v>
      </c>
      <c r="D230" s="249">
        <v>450</v>
      </c>
      <c r="E230" s="249">
        <v>208</v>
      </c>
      <c r="F230" s="249">
        <v>3</v>
      </c>
      <c r="G230" s="250">
        <f t="shared" si="8"/>
        <v>4.0230600000000001</v>
      </c>
      <c r="H230" s="249">
        <v>1</v>
      </c>
      <c r="I230" s="249" t="s">
        <v>249</v>
      </c>
      <c r="J230" s="251" t="s">
        <v>326</v>
      </c>
      <c r="K230" s="253" t="s">
        <v>509</v>
      </c>
      <c r="L230" s="253" t="s">
        <v>471</v>
      </c>
      <c r="M230" s="254" t="s">
        <v>510</v>
      </c>
      <c r="N230" s="255">
        <v>96</v>
      </c>
      <c r="O230" s="255">
        <v>8.08</v>
      </c>
      <c r="P230" s="255">
        <v>2040</v>
      </c>
      <c r="Q230" s="255">
        <v>0.95</v>
      </c>
      <c r="R230" s="255">
        <v>87.2</v>
      </c>
      <c r="S230" s="246" t="str">
        <f t="shared" si="10"/>
        <v>EG1R240-450-13W</v>
      </c>
      <c r="T230" s="253"/>
      <c r="U230" s="253" t="s">
        <v>321</v>
      </c>
    </row>
    <row r="231" spans="1:21" x14ac:dyDescent="0.3">
      <c r="A231" s="246" t="str">
        <f t="shared" si="9"/>
        <v>450_208_6_W</v>
      </c>
      <c r="B231" s="247">
        <v>42583</v>
      </c>
      <c r="C231" s="248" t="s">
        <v>248</v>
      </c>
      <c r="D231" s="249">
        <v>450</v>
      </c>
      <c r="E231" s="249">
        <v>208</v>
      </c>
      <c r="F231" s="249">
        <v>6</v>
      </c>
      <c r="G231" s="250">
        <f t="shared" si="8"/>
        <v>8.0461200000000002</v>
      </c>
      <c r="H231" s="249">
        <v>1</v>
      </c>
      <c r="I231" s="249" t="s">
        <v>249</v>
      </c>
      <c r="J231" s="251" t="s">
        <v>327</v>
      </c>
      <c r="K231" s="253" t="s">
        <v>511</v>
      </c>
      <c r="L231" s="253" t="s">
        <v>471</v>
      </c>
      <c r="M231" s="254" t="s">
        <v>512</v>
      </c>
      <c r="N231" s="255">
        <v>128</v>
      </c>
      <c r="O231" s="255">
        <v>16.350000000000001</v>
      </c>
      <c r="P231" s="255">
        <v>2750</v>
      </c>
      <c r="Q231" s="255">
        <v>0.95</v>
      </c>
      <c r="R231" s="255">
        <v>87</v>
      </c>
      <c r="S231" s="246" t="str">
        <f t="shared" si="10"/>
        <v>EG1R240-450-16W</v>
      </c>
      <c r="T231" s="253"/>
      <c r="U231" s="253" t="s">
        <v>325</v>
      </c>
    </row>
    <row r="232" spans="1:21" x14ac:dyDescent="0.3">
      <c r="A232" s="246" t="str">
        <f t="shared" si="9"/>
        <v>450_230_3_W</v>
      </c>
      <c r="B232" s="247">
        <v>42814</v>
      </c>
      <c r="C232" s="248" t="s">
        <v>248</v>
      </c>
      <c r="D232" s="249">
        <v>450</v>
      </c>
      <c r="E232" s="249">
        <v>230</v>
      </c>
      <c r="F232" s="249">
        <v>3</v>
      </c>
      <c r="G232" s="250">
        <f t="shared" si="8"/>
        <v>4.0230600000000001</v>
      </c>
      <c r="H232" s="249">
        <v>0</v>
      </c>
      <c r="I232" s="249" t="s">
        <v>249</v>
      </c>
      <c r="J232" s="251" t="s">
        <v>513</v>
      </c>
      <c r="K232" s="253" t="s">
        <v>514</v>
      </c>
      <c r="L232" s="253" t="s">
        <v>469</v>
      </c>
      <c r="M232" s="254" t="s">
        <v>510</v>
      </c>
      <c r="N232" s="255">
        <v>96</v>
      </c>
      <c r="O232" s="255">
        <v>7.3</v>
      </c>
      <c r="P232" s="255">
        <v>2040</v>
      </c>
      <c r="Q232" s="255">
        <v>0.95</v>
      </c>
      <c r="R232" s="255">
        <v>87.2</v>
      </c>
      <c r="S232" s="246" t="str">
        <f t="shared" si="10"/>
        <v>EG1R240-450-13W</v>
      </c>
      <c r="T232" s="253"/>
      <c r="U232" s="253" t="s">
        <v>328</v>
      </c>
    </row>
    <row r="233" spans="1:21" x14ac:dyDescent="0.3">
      <c r="A233" s="246" t="str">
        <f t="shared" si="9"/>
        <v>450_230_6_W</v>
      </c>
      <c r="B233" s="247">
        <v>42814</v>
      </c>
      <c r="C233" s="248" t="s">
        <v>248</v>
      </c>
      <c r="D233" s="249">
        <v>450</v>
      </c>
      <c r="E233" s="249">
        <v>230</v>
      </c>
      <c r="F233" s="249">
        <v>6</v>
      </c>
      <c r="G233" s="250">
        <f t="shared" si="8"/>
        <v>8.0461200000000002</v>
      </c>
      <c r="H233" s="249">
        <v>0</v>
      </c>
      <c r="I233" s="249" t="s">
        <v>249</v>
      </c>
      <c r="J233" s="251" t="s">
        <v>515</v>
      </c>
      <c r="K233" s="253" t="s">
        <v>516</v>
      </c>
      <c r="L233" s="253" t="s">
        <v>469</v>
      </c>
      <c r="M233" s="254" t="s">
        <v>512</v>
      </c>
      <c r="N233" s="255">
        <v>128</v>
      </c>
      <c r="O233" s="255">
        <v>14.78</v>
      </c>
      <c r="P233" s="255">
        <v>2750</v>
      </c>
      <c r="Q233" s="255">
        <v>0.95</v>
      </c>
      <c r="R233" s="255">
        <v>87</v>
      </c>
      <c r="S233" s="246" t="str">
        <f t="shared" si="10"/>
        <v>EG1R240-450-16W</v>
      </c>
      <c r="T233" s="253"/>
      <c r="U233" s="253" t="s">
        <v>329</v>
      </c>
    </row>
    <row r="234" spans="1:21" x14ac:dyDescent="0.3">
      <c r="A234" s="246" t="str">
        <f t="shared" si="9"/>
        <v>450_230_3_W</v>
      </c>
      <c r="B234" s="247">
        <v>42814</v>
      </c>
      <c r="C234" s="248" t="s">
        <v>248</v>
      </c>
      <c r="D234" s="249">
        <v>450</v>
      </c>
      <c r="E234" s="249">
        <v>230</v>
      </c>
      <c r="F234" s="249">
        <v>3</v>
      </c>
      <c r="G234" s="250">
        <f t="shared" si="8"/>
        <v>4.0230600000000001</v>
      </c>
      <c r="H234" s="249">
        <v>1</v>
      </c>
      <c r="I234" s="249" t="s">
        <v>249</v>
      </c>
      <c r="J234" s="251" t="s">
        <v>517</v>
      </c>
      <c r="K234" s="253" t="s">
        <v>514</v>
      </c>
      <c r="L234" s="253" t="s">
        <v>471</v>
      </c>
      <c r="M234" s="254" t="s">
        <v>510</v>
      </c>
      <c r="N234" s="255">
        <v>96</v>
      </c>
      <c r="O234" s="255">
        <v>7.3</v>
      </c>
      <c r="P234" s="255">
        <v>2040</v>
      </c>
      <c r="Q234" s="255">
        <v>0.95</v>
      </c>
      <c r="R234" s="255">
        <v>87.2</v>
      </c>
      <c r="S234" s="246" t="str">
        <f t="shared" si="10"/>
        <v>EG1R240-450-13W</v>
      </c>
      <c r="T234" s="253"/>
      <c r="U234" s="253" t="s">
        <v>328</v>
      </c>
    </row>
    <row r="235" spans="1:21" x14ac:dyDescent="0.3">
      <c r="A235" s="246" t="str">
        <f t="shared" si="9"/>
        <v>450_230_6_W</v>
      </c>
      <c r="B235" s="247">
        <v>42814</v>
      </c>
      <c r="C235" s="248" t="s">
        <v>248</v>
      </c>
      <c r="D235" s="249">
        <v>450</v>
      </c>
      <c r="E235" s="249">
        <v>230</v>
      </c>
      <c r="F235" s="249">
        <v>6</v>
      </c>
      <c r="G235" s="250">
        <f t="shared" si="8"/>
        <v>8.0461200000000002</v>
      </c>
      <c r="H235" s="249">
        <v>1</v>
      </c>
      <c r="I235" s="249" t="s">
        <v>249</v>
      </c>
      <c r="J235" s="251" t="s">
        <v>518</v>
      </c>
      <c r="K235" s="253" t="s">
        <v>516</v>
      </c>
      <c r="L235" s="253" t="s">
        <v>471</v>
      </c>
      <c r="M235" s="254" t="s">
        <v>512</v>
      </c>
      <c r="N235" s="255">
        <v>128</v>
      </c>
      <c r="O235" s="255">
        <v>14.78</v>
      </c>
      <c r="P235" s="255">
        <v>2750</v>
      </c>
      <c r="Q235" s="255">
        <v>0.95</v>
      </c>
      <c r="R235" s="255">
        <v>87</v>
      </c>
      <c r="S235" s="246" t="str">
        <f t="shared" si="10"/>
        <v>EG1R240-450-16W</v>
      </c>
      <c r="T235" s="253"/>
      <c r="U235" s="253" t="s">
        <v>329</v>
      </c>
    </row>
    <row r="236" spans="1:21" x14ac:dyDescent="0.3">
      <c r="A236" s="246" t="str">
        <f t="shared" si="9"/>
        <v>500_460_3_W</v>
      </c>
      <c r="B236" s="247">
        <v>42583</v>
      </c>
      <c r="C236" s="248" t="s">
        <v>248</v>
      </c>
      <c r="D236" s="249">
        <v>500</v>
      </c>
      <c r="E236" s="249">
        <v>460</v>
      </c>
      <c r="F236" s="249">
        <v>3</v>
      </c>
      <c r="G236" s="250">
        <f t="shared" si="8"/>
        <v>4.0230600000000001</v>
      </c>
      <c r="H236" s="249">
        <v>0</v>
      </c>
      <c r="I236" s="249" t="s">
        <v>249</v>
      </c>
      <c r="J236" s="251" t="s">
        <v>330</v>
      </c>
      <c r="K236" s="252" t="s">
        <v>519</v>
      </c>
      <c r="L236" s="253" t="s">
        <v>469</v>
      </c>
      <c r="M236" s="254" t="s">
        <v>520</v>
      </c>
      <c r="N236" s="255">
        <v>100</v>
      </c>
      <c r="O236" s="255">
        <v>3.74</v>
      </c>
      <c r="P236" s="255">
        <v>1780</v>
      </c>
      <c r="Q236" s="255">
        <v>0.94</v>
      </c>
      <c r="R236" s="255">
        <v>88.7</v>
      </c>
      <c r="S236" s="246" t="str">
        <f t="shared" si="10"/>
        <v>EG1R480-500-13W</v>
      </c>
      <c r="T236" s="253"/>
      <c r="U236" s="253" t="s">
        <v>333</v>
      </c>
    </row>
    <row r="237" spans="1:21" x14ac:dyDescent="0.3">
      <c r="A237" s="246" t="str">
        <f t="shared" si="9"/>
        <v>500_460_6_W</v>
      </c>
      <c r="B237" s="247">
        <v>42583</v>
      </c>
      <c r="C237" s="248" t="s">
        <v>248</v>
      </c>
      <c r="D237" s="249">
        <v>500</v>
      </c>
      <c r="E237" s="249">
        <v>460</v>
      </c>
      <c r="F237" s="249">
        <v>6</v>
      </c>
      <c r="G237" s="250">
        <f t="shared" si="8"/>
        <v>8.0461200000000002</v>
      </c>
      <c r="H237" s="249">
        <v>0</v>
      </c>
      <c r="I237" s="249" t="s">
        <v>249</v>
      </c>
      <c r="J237" s="251" t="s">
        <v>334</v>
      </c>
      <c r="K237" s="252" t="s">
        <v>521</v>
      </c>
      <c r="L237" s="253" t="s">
        <v>469</v>
      </c>
      <c r="M237" s="254" t="s">
        <v>522</v>
      </c>
      <c r="N237" s="255">
        <v>130</v>
      </c>
      <c r="O237" s="255">
        <v>7.3</v>
      </c>
      <c r="P237" s="255">
        <v>2200</v>
      </c>
      <c r="Q237" s="255">
        <v>0.95</v>
      </c>
      <c r="R237" s="255">
        <v>88.7</v>
      </c>
      <c r="S237" s="246" t="str">
        <f t="shared" si="10"/>
        <v>EG1R480-500-16W</v>
      </c>
      <c r="T237" s="253"/>
      <c r="U237" s="253" t="s">
        <v>337</v>
      </c>
    </row>
    <row r="238" spans="1:21" x14ac:dyDescent="0.3">
      <c r="A238" s="246" t="str">
        <f t="shared" si="9"/>
        <v>500_460_3_W</v>
      </c>
      <c r="B238" s="247">
        <v>42583</v>
      </c>
      <c r="C238" s="248" t="s">
        <v>248</v>
      </c>
      <c r="D238" s="249">
        <v>500</v>
      </c>
      <c r="E238" s="249">
        <v>460</v>
      </c>
      <c r="F238" s="249">
        <v>3</v>
      </c>
      <c r="G238" s="250">
        <f t="shared" si="8"/>
        <v>4.0230600000000001</v>
      </c>
      <c r="H238" s="249">
        <v>1</v>
      </c>
      <c r="I238" s="249" t="s">
        <v>249</v>
      </c>
      <c r="J238" s="251" t="s">
        <v>338</v>
      </c>
      <c r="K238" s="252" t="s">
        <v>519</v>
      </c>
      <c r="L238" s="253" t="s">
        <v>471</v>
      </c>
      <c r="M238" s="254" t="s">
        <v>520</v>
      </c>
      <c r="N238" s="255">
        <v>100</v>
      </c>
      <c r="O238" s="255">
        <v>3.74</v>
      </c>
      <c r="P238" s="255">
        <v>1780</v>
      </c>
      <c r="Q238" s="255">
        <v>0.94</v>
      </c>
      <c r="R238" s="255">
        <v>88.7</v>
      </c>
      <c r="S238" s="246" t="str">
        <f t="shared" si="10"/>
        <v>EG1R480-500-13W</v>
      </c>
      <c r="T238" s="253"/>
      <c r="U238" s="253" t="s">
        <v>333</v>
      </c>
    </row>
    <row r="239" spans="1:21" x14ac:dyDescent="0.3">
      <c r="A239" s="246" t="str">
        <f t="shared" si="9"/>
        <v>500_460_6_W</v>
      </c>
      <c r="B239" s="247">
        <v>42583</v>
      </c>
      <c r="C239" s="248" t="s">
        <v>248</v>
      </c>
      <c r="D239" s="249">
        <v>500</v>
      </c>
      <c r="E239" s="249">
        <v>460</v>
      </c>
      <c r="F239" s="249">
        <v>6</v>
      </c>
      <c r="G239" s="250">
        <f t="shared" si="8"/>
        <v>8.0461200000000002</v>
      </c>
      <c r="H239" s="249">
        <v>1</v>
      </c>
      <c r="I239" s="249" t="s">
        <v>249</v>
      </c>
      <c r="J239" s="251" t="s">
        <v>339</v>
      </c>
      <c r="K239" s="252" t="s">
        <v>521</v>
      </c>
      <c r="L239" s="253" t="s">
        <v>471</v>
      </c>
      <c r="M239" s="254" t="s">
        <v>522</v>
      </c>
      <c r="N239" s="255">
        <v>130</v>
      </c>
      <c r="O239" s="255">
        <v>7.3</v>
      </c>
      <c r="P239" s="255">
        <v>2200</v>
      </c>
      <c r="Q239" s="255">
        <v>0.95</v>
      </c>
      <c r="R239" s="255">
        <v>88.7</v>
      </c>
      <c r="S239" s="246" t="str">
        <f t="shared" si="10"/>
        <v>EG1R480-500-16W</v>
      </c>
      <c r="T239" s="253"/>
      <c r="U239" s="253" t="s">
        <v>337</v>
      </c>
    </row>
    <row r="240" spans="1:21" x14ac:dyDescent="0.3">
      <c r="A240" s="246" t="str">
        <f t="shared" si="9"/>
        <v>500_208_3_W</v>
      </c>
      <c r="B240" s="247">
        <v>42583</v>
      </c>
      <c r="C240" s="248" t="s">
        <v>248</v>
      </c>
      <c r="D240" s="249">
        <v>500</v>
      </c>
      <c r="E240" s="249">
        <v>208</v>
      </c>
      <c r="F240" s="249">
        <v>3</v>
      </c>
      <c r="G240" s="250">
        <f t="shared" si="8"/>
        <v>4.0230600000000001</v>
      </c>
      <c r="H240" s="249">
        <v>0</v>
      </c>
      <c r="I240" s="249" t="s">
        <v>249</v>
      </c>
      <c r="J240" s="251" t="s">
        <v>340</v>
      </c>
      <c r="K240" s="253" t="s">
        <v>523</v>
      </c>
      <c r="L240" s="253" t="s">
        <v>469</v>
      </c>
      <c r="M240" s="254" t="s">
        <v>524</v>
      </c>
      <c r="N240" s="255">
        <v>100</v>
      </c>
      <c r="O240" s="255">
        <v>8.65</v>
      </c>
      <c r="P240" s="255">
        <v>1780</v>
      </c>
      <c r="Q240" s="255">
        <v>0.95</v>
      </c>
      <c r="R240" s="255">
        <v>86.9</v>
      </c>
      <c r="S240" s="246" t="str">
        <f t="shared" si="10"/>
        <v>EG1R240-500-13W</v>
      </c>
      <c r="T240" s="253"/>
      <c r="U240" s="253" t="s">
        <v>343</v>
      </c>
    </row>
    <row r="241" spans="1:21" x14ac:dyDescent="0.3">
      <c r="A241" s="246" t="str">
        <f t="shared" si="9"/>
        <v>500_208_6_W</v>
      </c>
      <c r="B241" s="247">
        <v>42583</v>
      </c>
      <c r="C241" s="248" t="s">
        <v>248</v>
      </c>
      <c r="D241" s="249">
        <v>500</v>
      </c>
      <c r="E241" s="249">
        <v>208</v>
      </c>
      <c r="F241" s="249">
        <v>6</v>
      </c>
      <c r="G241" s="250">
        <f t="shared" si="8"/>
        <v>8.0461200000000002</v>
      </c>
      <c r="H241" s="249">
        <v>0</v>
      </c>
      <c r="I241" s="249" t="s">
        <v>249</v>
      </c>
      <c r="J241" s="251" t="s">
        <v>344</v>
      </c>
      <c r="K241" s="253" t="s">
        <v>525</v>
      </c>
      <c r="L241" s="253" t="s">
        <v>469</v>
      </c>
      <c r="M241" s="254" t="s">
        <v>526</v>
      </c>
      <c r="N241" s="255">
        <v>130</v>
      </c>
      <c r="O241" s="255">
        <v>15.38</v>
      </c>
      <c r="P241" s="255">
        <v>2200</v>
      </c>
      <c r="Q241" s="255">
        <v>0.95</v>
      </c>
      <c r="R241" s="255">
        <v>86</v>
      </c>
      <c r="S241" s="246" t="str">
        <f t="shared" si="10"/>
        <v>EG1R240-500-16W</v>
      </c>
      <c r="T241" s="253"/>
      <c r="U241" s="253" t="s">
        <v>347</v>
      </c>
    </row>
    <row r="242" spans="1:21" x14ac:dyDescent="0.3">
      <c r="A242" s="246" t="str">
        <f t="shared" si="9"/>
        <v>500_208_3_W</v>
      </c>
      <c r="B242" s="247">
        <v>42583</v>
      </c>
      <c r="C242" s="248" t="s">
        <v>248</v>
      </c>
      <c r="D242" s="249">
        <v>500</v>
      </c>
      <c r="E242" s="249">
        <v>208</v>
      </c>
      <c r="F242" s="249">
        <v>3</v>
      </c>
      <c r="G242" s="250">
        <f t="shared" si="8"/>
        <v>4.0230600000000001</v>
      </c>
      <c r="H242" s="249">
        <v>1</v>
      </c>
      <c r="I242" s="249" t="s">
        <v>249</v>
      </c>
      <c r="J242" s="251" t="s">
        <v>348</v>
      </c>
      <c r="K242" s="253" t="s">
        <v>523</v>
      </c>
      <c r="L242" s="253" t="s">
        <v>471</v>
      </c>
      <c r="M242" s="254" t="s">
        <v>524</v>
      </c>
      <c r="N242" s="255">
        <v>100</v>
      </c>
      <c r="O242" s="255">
        <v>8.65</v>
      </c>
      <c r="P242" s="255">
        <v>1780</v>
      </c>
      <c r="Q242" s="255">
        <v>0.95</v>
      </c>
      <c r="R242" s="255">
        <v>86.9</v>
      </c>
      <c r="S242" s="246" t="str">
        <f t="shared" si="10"/>
        <v>EG1R240-500-13W</v>
      </c>
      <c r="T242" s="253"/>
      <c r="U242" s="253" t="s">
        <v>343</v>
      </c>
    </row>
    <row r="243" spans="1:21" x14ac:dyDescent="0.3">
      <c r="A243" s="246" t="str">
        <f t="shared" si="9"/>
        <v>500_208_6_W</v>
      </c>
      <c r="B243" s="247">
        <v>42583</v>
      </c>
      <c r="C243" s="248" t="s">
        <v>248</v>
      </c>
      <c r="D243" s="249">
        <v>500</v>
      </c>
      <c r="E243" s="249">
        <v>208</v>
      </c>
      <c r="F243" s="249">
        <v>6</v>
      </c>
      <c r="G243" s="250">
        <f t="shared" si="8"/>
        <v>8.0461200000000002</v>
      </c>
      <c r="H243" s="249">
        <v>1</v>
      </c>
      <c r="I243" s="249" t="s">
        <v>249</v>
      </c>
      <c r="J243" s="251" t="s">
        <v>349</v>
      </c>
      <c r="K243" s="253" t="s">
        <v>525</v>
      </c>
      <c r="L243" s="253" t="s">
        <v>471</v>
      </c>
      <c r="M243" s="254" t="s">
        <v>526</v>
      </c>
      <c r="N243" s="255">
        <v>130</v>
      </c>
      <c r="O243" s="255">
        <v>15.38</v>
      </c>
      <c r="P243" s="255">
        <v>2200</v>
      </c>
      <c r="Q243" s="255">
        <v>0.95</v>
      </c>
      <c r="R243" s="255">
        <v>86</v>
      </c>
      <c r="S243" s="246" t="str">
        <f t="shared" si="10"/>
        <v>EG1R240-500-16W</v>
      </c>
      <c r="T243" s="253"/>
      <c r="U243" s="253" t="s">
        <v>347</v>
      </c>
    </row>
    <row r="244" spans="1:21" x14ac:dyDescent="0.3">
      <c r="A244" s="246" t="str">
        <f t="shared" si="9"/>
        <v>500_230_3_W</v>
      </c>
      <c r="B244" s="247">
        <v>42814</v>
      </c>
      <c r="C244" s="248" t="s">
        <v>248</v>
      </c>
      <c r="D244" s="249">
        <v>500</v>
      </c>
      <c r="E244" s="249">
        <v>230</v>
      </c>
      <c r="F244" s="249">
        <v>3</v>
      </c>
      <c r="G244" s="250">
        <f t="shared" si="8"/>
        <v>4.0230600000000001</v>
      </c>
      <c r="H244" s="249">
        <v>0</v>
      </c>
      <c r="I244" s="249" t="s">
        <v>249</v>
      </c>
      <c r="J244" s="251" t="s">
        <v>527</v>
      </c>
      <c r="K244" s="253" t="s">
        <v>528</v>
      </c>
      <c r="L244" s="253" t="s">
        <v>469</v>
      </c>
      <c r="M244" s="254" t="s">
        <v>524</v>
      </c>
      <c r="N244" s="255">
        <v>100</v>
      </c>
      <c r="O244" s="255">
        <v>7.83</v>
      </c>
      <c r="P244" s="255">
        <v>1780</v>
      </c>
      <c r="Q244" s="255">
        <v>0.95</v>
      </c>
      <c r="R244" s="255">
        <v>86.9</v>
      </c>
      <c r="S244" s="246" t="str">
        <f t="shared" si="10"/>
        <v>EG1R240-500-13W</v>
      </c>
      <c r="T244" s="253"/>
      <c r="U244" s="253" t="s">
        <v>350</v>
      </c>
    </row>
    <row r="245" spans="1:21" x14ac:dyDescent="0.3">
      <c r="A245" s="246" t="str">
        <f t="shared" si="9"/>
        <v>500_230_6_W</v>
      </c>
      <c r="B245" s="247">
        <v>42814</v>
      </c>
      <c r="C245" s="248" t="s">
        <v>248</v>
      </c>
      <c r="D245" s="249">
        <v>500</v>
      </c>
      <c r="E245" s="249">
        <v>230</v>
      </c>
      <c r="F245" s="249">
        <v>6</v>
      </c>
      <c r="G245" s="250">
        <f t="shared" si="8"/>
        <v>8.0461200000000002</v>
      </c>
      <c r="H245" s="249">
        <v>0</v>
      </c>
      <c r="I245" s="249" t="s">
        <v>249</v>
      </c>
      <c r="J245" s="251" t="s">
        <v>529</v>
      </c>
      <c r="K245" s="253" t="s">
        <v>530</v>
      </c>
      <c r="L245" s="253" t="s">
        <v>469</v>
      </c>
      <c r="M245" s="254" t="s">
        <v>526</v>
      </c>
      <c r="N245" s="255">
        <v>130</v>
      </c>
      <c r="O245" s="255">
        <v>13.91</v>
      </c>
      <c r="P245" s="255">
        <v>2200</v>
      </c>
      <c r="Q245" s="255">
        <v>0.95</v>
      </c>
      <c r="R245" s="255">
        <v>86</v>
      </c>
      <c r="S245" s="246" t="str">
        <f t="shared" si="10"/>
        <v>EG1R240-500-16W</v>
      </c>
      <c r="T245" s="253"/>
      <c r="U245" s="253" t="s">
        <v>351</v>
      </c>
    </row>
    <row r="246" spans="1:21" x14ac:dyDescent="0.3">
      <c r="A246" s="246" t="str">
        <f t="shared" si="9"/>
        <v>500_230_3_W</v>
      </c>
      <c r="B246" s="247">
        <v>42814</v>
      </c>
      <c r="C246" s="248" t="s">
        <v>248</v>
      </c>
      <c r="D246" s="249">
        <v>500</v>
      </c>
      <c r="E246" s="249">
        <v>230</v>
      </c>
      <c r="F246" s="249">
        <v>3</v>
      </c>
      <c r="G246" s="250">
        <f t="shared" si="8"/>
        <v>4.0230600000000001</v>
      </c>
      <c r="H246" s="249">
        <v>1</v>
      </c>
      <c r="I246" s="249" t="s">
        <v>249</v>
      </c>
      <c r="J246" s="251" t="s">
        <v>531</v>
      </c>
      <c r="K246" s="253" t="s">
        <v>528</v>
      </c>
      <c r="L246" s="253" t="s">
        <v>471</v>
      </c>
      <c r="M246" s="254" t="s">
        <v>524</v>
      </c>
      <c r="N246" s="255">
        <v>100</v>
      </c>
      <c r="O246" s="255">
        <v>7.83</v>
      </c>
      <c r="P246" s="255">
        <v>1780</v>
      </c>
      <c r="Q246" s="255">
        <v>0.95</v>
      </c>
      <c r="R246" s="255">
        <v>86.9</v>
      </c>
      <c r="S246" s="246" t="str">
        <f t="shared" si="10"/>
        <v>EG1R240-500-13W</v>
      </c>
      <c r="T246" s="253"/>
      <c r="U246" s="253" t="s">
        <v>350</v>
      </c>
    </row>
    <row r="247" spans="1:21" x14ac:dyDescent="0.3">
      <c r="A247" s="246" t="str">
        <f t="shared" si="9"/>
        <v>500_230_6_W</v>
      </c>
      <c r="B247" s="247">
        <v>42814</v>
      </c>
      <c r="C247" s="248" t="s">
        <v>248</v>
      </c>
      <c r="D247" s="249">
        <v>500</v>
      </c>
      <c r="E247" s="249">
        <v>230</v>
      </c>
      <c r="F247" s="249">
        <v>6</v>
      </c>
      <c r="G247" s="250">
        <f t="shared" si="8"/>
        <v>8.0461200000000002</v>
      </c>
      <c r="H247" s="249">
        <v>1</v>
      </c>
      <c r="I247" s="249" t="s">
        <v>249</v>
      </c>
      <c r="J247" s="251" t="s">
        <v>532</v>
      </c>
      <c r="K247" s="253" t="s">
        <v>530</v>
      </c>
      <c r="L247" s="253" t="s">
        <v>471</v>
      </c>
      <c r="M247" s="254" t="s">
        <v>526</v>
      </c>
      <c r="N247" s="255">
        <v>130</v>
      </c>
      <c r="O247" s="255">
        <v>13.91</v>
      </c>
      <c r="P247" s="255">
        <v>2200</v>
      </c>
      <c r="Q247" s="255">
        <v>0.95</v>
      </c>
      <c r="R247" s="255">
        <v>86</v>
      </c>
      <c r="S247" s="246" t="str">
        <f t="shared" si="10"/>
        <v>EG1R240-500-16W</v>
      </c>
      <c r="T247" s="253"/>
      <c r="U247" s="253" t="s">
        <v>351</v>
      </c>
    </row>
    <row r="248" spans="1:21" x14ac:dyDescent="0.3">
      <c r="A248" s="246" t="str">
        <f t="shared" si="9"/>
        <v>560_460_3_W</v>
      </c>
      <c r="B248" s="247">
        <v>42583</v>
      </c>
      <c r="C248" s="248" t="s">
        <v>248</v>
      </c>
      <c r="D248" s="249">
        <v>560</v>
      </c>
      <c r="E248" s="249">
        <v>460</v>
      </c>
      <c r="F248" s="249">
        <v>3</v>
      </c>
      <c r="G248" s="250">
        <f t="shared" si="8"/>
        <v>4.0230600000000001</v>
      </c>
      <c r="H248" s="249">
        <v>0</v>
      </c>
      <c r="I248" s="249" t="s">
        <v>249</v>
      </c>
      <c r="J248" s="251" t="s">
        <v>352</v>
      </c>
      <c r="K248" s="252" t="s">
        <v>533</v>
      </c>
      <c r="L248" s="253" t="s">
        <v>469</v>
      </c>
      <c r="M248" s="254" t="s">
        <v>534</v>
      </c>
      <c r="N248" s="255">
        <v>130</v>
      </c>
      <c r="O248" s="255">
        <v>4</v>
      </c>
      <c r="P248" s="255">
        <v>1500</v>
      </c>
      <c r="Q248" s="255">
        <v>0.94</v>
      </c>
      <c r="R248" s="255">
        <v>90.1</v>
      </c>
      <c r="S248" s="246" t="str">
        <f t="shared" si="10"/>
        <v>EG1R480-560-13W</v>
      </c>
      <c r="T248" s="253"/>
      <c r="U248" s="253" t="s">
        <v>355</v>
      </c>
    </row>
    <row r="249" spans="1:21" x14ac:dyDescent="0.3">
      <c r="A249" s="246" t="str">
        <f t="shared" si="9"/>
        <v>560_460_6_W</v>
      </c>
      <c r="B249" s="247">
        <v>42583</v>
      </c>
      <c r="C249" s="248" t="s">
        <v>248</v>
      </c>
      <c r="D249" s="249">
        <v>560</v>
      </c>
      <c r="E249" s="249">
        <v>460</v>
      </c>
      <c r="F249" s="249">
        <v>6</v>
      </c>
      <c r="G249" s="250">
        <f t="shared" si="8"/>
        <v>8.0461200000000002</v>
      </c>
      <c r="H249" s="249">
        <v>0</v>
      </c>
      <c r="I249" s="249" t="s">
        <v>249</v>
      </c>
      <c r="J249" s="251" t="s">
        <v>356</v>
      </c>
      <c r="K249" s="252" t="s">
        <v>535</v>
      </c>
      <c r="L249" s="253" t="s">
        <v>469</v>
      </c>
      <c r="M249" s="254" t="s">
        <v>536</v>
      </c>
      <c r="N249" s="255">
        <v>160</v>
      </c>
      <c r="O249" s="255">
        <v>6.35</v>
      </c>
      <c r="P249" s="255">
        <v>1750</v>
      </c>
      <c r="Q249" s="255">
        <v>0.94</v>
      </c>
      <c r="R249" s="255">
        <v>90.8</v>
      </c>
      <c r="S249" s="246" t="str">
        <f t="shared" si="10"/>
        <v>EG1R480-560-16W</v>
      </c>
      <c r="T249" s="253"/>
      <c r="U249" s="253" t="s">
        <v>359</v>
      </c>
    </row>
    <row r="250" spans="1:21" x14ac:dyDescent="0.3">
      <c r="A250" s="246" t="str">
        <f t="shared" si="9"/>
        <v>560_460_3_W</v>
      </c>
      <c r="B250" s="247">
        <v>42583</v>
      </c>
      <c r="C250" s="248" t="s">
        <v>248</v>
      </c>
      <c r="D250" s="249">
        <v>560</v>
      </c>
      <c r="E250" s="249">
        <v>460</v>
      </c>
      <c r="F250" s="249">
        <v>3</v>
      </c>
      <c r="G250" s="250">
        <f t="shared" si="8"/>
        <v>4.0230600000000001</v>
      </c>
      <c r="H250" s="249">
        <v>1</v>
      </c>
      <c r="I250" s="249" t="s">
        <v>249</v>
      </c>
      <c r="J250" s="251" t="s">
        <v>360</v>
      </c>
      <c r="K250" s="252" t="s">
        <v>533</v>
      </c>
      <c r="L250" s="253" t="s">
        <v>471</v>
      </c>
      <c r="M250" s="254" t="s">
        <v>534</v>
      </c>
      <c r="N250" s="255">
        <v>130</v>
      </c>
      <c r="O250" s="255">
        <v>4</v>
      </c>
      <c r="P250" s="255">
        <v>1500</v>
      </c>
      <c r="Q250" s="255">
        <v>0.94</v>
      </c>
      <c r="R250" s="255">
        <v>90.1</v>
      </c>
      <c r="S250" s="246" t="str">
        <f t="shared" si="10"/>
        <v>EG1R480-560-13W</v>
      </c>
      <c r="T250" s="253"/>
      <c r="U250" s="253" t="s">
        <v>355</v>
      </c>
    </row>
    <row r="251" spans="1:21" x14ac:dyDescent="0.3">
      <c r="A251" s="246" t="str">
        <f t="shared" si="9"/>
        <v>560_460_6_W</v>
      </c>
      <c r="B251" s="247">
        <v>42583</v>
      </c>
      <c r="C251" s="248" t="s">
        <v>248</v>
      </c>
      <c r="D251" s="249">
        <v>560</v>
      </c>
      <c r="E251" s="249">
        <v>460</v>
      </c>
      <c r="F251" s="249">
        <v>6</v>
      </c>
      <c r="G251" s="250">
        <f t="shared" si="8"/>
        <v>8.0461200000000002</v>
      </c>
      <c r="H251" s="249">
        <v>1</v>
      </c>
      <c r="I251" s="249" t="s">
        <v>249</v>
      </c>
      <c r="J251" s="251" t="s">
        <v>361</v>
      </c>
      <c r="K251" s="252" t="s">
        <v>535</v>
      </c>
      <c r="L251" s="253" t="s">
        <v>471</v>
      </c>
      <c r="M251" s="254" t="s">
        <v>536</v>
      </c>
      <c r="N251" s="255">
        <v>160</v>
      </c>
      <c r="O251" s="255">
        <v>6.35</v>
      </c>
      <c r="P251" s="255">
        <v>1750</v>
      </c>
      <c r="Q251" s="255">
        <v>0.94</v>
      </c>
      <c r="R251" s="255">
        <v>90.8</v>
      </c>
      <c r="S251" s="246" t="str">
        <f t="shared" si="10"/>
        <v>EG1R480-560-16W</v>
      </c>
      <c r="T251" s="253"/>
      <c r="U251" s="253" t="s">
        <v>359</v>
      </c>
    </row>
    <row r="252" spans="1:21" x14ac:dyDescent="0.3">
      <c r="A252" s="246" t="str">
        <f t="shared" si="9"/>
        <v>560_208_3_W</v>
      </c>
      <c r="B252" s="247">
        <v>42583</v>
      </c>
      <c r="C252" s="248" t="s">
        <v>248</v>
      </c>
      <c r="D252" s="249">
        <v>560</v>
      </c>
      <c r="E252" s="249">
        <v>208</v>
      </c>
      <c r="F252" s="249">
        <v>3</v>
      </c>
      <c r="G252" s="250">
        <f t="shared" si="8"/>
        <v>4.0230600000000001</v>
      </c>
      <c r="H252" s="249">
        <v>0</v>
      </c>
      <c r="I252" s="249" t="s">
        <v>249</v>
      </c>
      <c r="J252" s="251" t="s">
        <v>362</v>
      </c>
      <c r="K252" s="253" t="s">
        <v>537</v>
      </c>
      <c r="L252" s="253" t="s">
        <v>469</v>
      </c>
      <c r="M252" s="254" t="s">
        <v>538</v>
      </c>
      <c r="N252" s="255">
        <v>130</v>
      </c>
      <c r="O252" s="255">
        <v>8.85</v>
      </c>
      <c r="P252" s="255">
        <v>1500</v>
      </c>
      <c r="Q252" s="255">
        <v>0.95</v>
      </c>
      <c r="R252" s="255">
        <v>87.8</v>
      </c>
      <c r="S252" s="246" t="str">
        <f t="shared" si="10"/>
        <v>EG1R240-560-13W</v>
      </c>
      <c r="T252" s="253"/>
      <c r="U252" s="253" t="s">
        <v>365</v>
      </c>
    </row>
    <row r="253" spans="1:21" x14ac:dyDescent="0.3">
      <c r="A253" s="246" t="str">
        <f t="shared" si="9"/>
        <v>560_208_6_W</v>
      </c>
      <c r="B253" s="247">
        <v>42583</v>
      </c>
      <c r="C253" s="248" t="s">
        <v>248</v>
      </c>
      <c r="D253" s="249">
        <v>560</v>
      </c>
      <c r="E253" s="249">
        <v>208</v>
      </c>
      <c r="F253" s="249">
        <v>6</v>
      </c>
      <c r="G253" s="250">
        <f t="shared" si="8"/>
        <v>8.0461200000000002</v>
      </c>
      <c r="H253" s="249">
        <v>0</v>
      </c>
      <c r="I253" s="249" t="s">
        <v>249</v>
      </c>
      <c r="J253" s="251" t="s">
        <v>366</v>
      </c>
      <c r="K253" s="253" t="s">
        <v>539</v>
      </c>
      <c r="L253" s="253" t="s">
        <v>469</v>
      </c>
      <c r="M253" s="254" t="s">
        <v>540</v>
      </c>
      <c r="N253" s="255">
        <v>160</v>
      </c>
      <c r="O253" s="255">
        <v>13.46</v>
      </c>
      <c r="P253" s="255">
        <v>1750</v>
      </c>
      <c r="Q253" s="255">
        <v>0.93</v>
      </c>
      <c r="R253" s="255">
        <v>88.3</v>
      </c>
      <c r="S253" s="246" t="str">
        <f t="shared" si="10"/>
        <v>EG1R240-560-16W</v>
      </c>
      <c r="T253" s="253"/>
      <c r="U253" s="253" t="s">
        <v>369</v>
      </c>
    </row>
    <row r="254" spans="1:21" x14ac:dyDescent="0.3">
      <c r="A254" s="246" t="str">
        <f t="shared" si="9"/>
        <v>560_208_3_W</v>
      </c>
      <c r="B254" s="247">
        <v>42583</v>
      </c>
      <c r="C254" s="248" t="s">
        <v>248</v>
      </c>
      <c r="D254" s="249">
        <v>560</v>
      </c>
      <c r="E254" s="249">
        <v>208</v>
      </c>
      <c r="F254" s="249">
        <v>3</v>
      </c>
      <c r="G254" s="250">
        <f t="shared" si="8"/>
        <v>4.0230600000000001</v>
      </c>
      <c r="H254" s="249">
        <v>1</v>
      </c>
      <c r="I254" s="249" t="s">
        <v>249</v>
      </c>
      <c r="J254" s="251" t="s">
        <v>370</v>
      </c>
      <c r="K254" s="253" t="s">
        <v>537</v>
      </c>
      <c r="L254" s="253" t="s">
        <v>471</v>
      </c>
      <c r="M254" s="254" t="s">
        <v>538</v>
      </c>
      <c r="N254" s="255">
        <v>130</v>
      </c>
      <c r="O254" s="255">
        <v>8.85</v>
      </c>
      <c r="P254" s="255">
        <v>1500</v>
      </c>
      <c r="Q254" s="255">
        <v>0.95</v>
      </c>
      <c r="R254" s="255">
        <v>87.8</v>
      </c>
      <c r="S254" s="246" t="str">
        <f t="shared" si="10"/>
        <v>EG1R240-560-13W</v>
      </c>
      <c r="T254" s="253"/>
      <c r="U254" s="253" t="s">
        <v>365</v>
      </c>
    </row>
    <row r="255" spans="1:21" x14ac:dyDescent="0.3">
      <c r="A255" s="246" t="str">
        <f t="shared" si="9"/>
        <v>560_208_6_W</v>
      </c>
      <c r="B255" s="247">
        <v>42583</v>
      </c>
      <c r="C255" s="248" t="s">
        <v>248</v>
      </c>
      <c r="D255" s="249">
        <v>560</v>
      </c>
      <c r="E255" s="249">
        <v>208</v>
      </c>
      <c r="F255" s="249">
        <v>6</v>
      </c>
      <c r="G255" s="250">
        <f t="shared" si="8"/>
        <v>8.0461200000000002</v>
      </c>
      <c r="H255" s="249">
        <v>1</v>
      </c>
      <c r="I255" s="249" t="s">
        <v>249</v>
      </c>
      <c r="J255" s="251" t="s">
        <v>371</v>
      </c>
      <c r="K255" s="253" t="s">
        <v>539</v>
      </c>
      <c r="L255" s="253" t="s">
        <v>471</v>
      </c>
      <c r="M255" s="254" t="s">
        <v>540</v>
      </c>
      <c r="N255" s="255">
        <v>160</v>
      </c>
      <c r="O255" s="255">
        <v>13.46</v>
      </c>
      <c r="P255" s="255">
        <v>1750</v>
      </c>
      <c r="Q255" s="255">
        <v>0.93</v>
      </c>
      <c r="R255" s="255">
        <v>88.3</v>
      </c>
      <c r="S255" s="246" t="str">
        <f t="shared" si="10"/>
        <v>EG1R240-560-16W</v>
      </c>
      <c r="T255" s="253"/>
      <c r="U255" s="253" t="s">
        <v>369</v>
      </c>
    </row>
    <row r="256" spans="1:21" x14ac:dyDescent="0.3">
      <c r="A256" s="246" t="str">
        <f t="shared" si="9"/>
        <v>560_230_3_W</v>
      </c>
      <c r="B256" s="247">
        <v>42814</v>
      </c>
      <c r="C256" s="248" t="s">
        <v>248</v>
      </c>
      <c r="D256" s="249">
        <v>560</v>
      </c>
      <c r="E256" s="249">
        <v>230</v>
      </c>
      <c r="F256" s="249">
        <v>3</v>
      </c>
      <c r="G256" s="250">
        <f t="shared" si="8"/>
        <v>4.0230600000000001</v>
      </c>
      <c r="H256" s="249">
        <v>0</v>
      </c>
      <c r="I256" s="249" t="s">
        <v>249</v>
      </c>
      <c r="J256" s="251" t="s">
        <v>541</v>
      </c>
      <c r="K256" s="253" t="s">
        <v>542</v>
      </c>
      <c r="L256" s="253" t="s">
        <v>469</v>
      </c>
      <c r="M256" s="254" t="s">
        <v>538</v>
      </c>
      <c r="N256" s="255">
        <v>130</v>
      </c>
      <c r="O256" s="255">
        <v>8</v>
      </c>
      <c r="P256" s="255">
        <v>1500</v>
      </c>
      <c r="Q256" s="255">
        <v>0.95</v>
      </c>
      <c r="R256" s="255">
        <v>87.8</v>
      </c>
      <c r="S256" s="246" t="str">
        <f t="shared" si="10"/>
        <v>EG1R240-560-13W</v>
      </c>
      <c r="T256" s="253"/>
      <c r="U256" s="253" t="s">
        <v>372</v>
      </c>
    </row>
    <row r="257" spans="1:21" x14ac:dyDescent="0.3">
      <c r="A257" s="246" t="str">
        <f t="shared" si="9"/>
        <v>560_230_6_W</v>
      </c>
      <c r="B257" s="247">
        <v>42814</v>
      </c>
      <c r="C257" s="248" t="s">
        <v>248</v>
      </c>
      <c r="D257" s="249">
        <v>560</v>
      </c>
      <c r="E257" s="249">
        <v>230</v>
      </c>
      <c r="F257" s="249">
        <v>6</v>
      </c>
      <c r="G257" s="250">
        <f t="shared" si="8"/>
        <v>8.0461200000000002</v>
      </c>
      <c r="H257" s="249">
        <v>0</v>
      </c>
      <c r="I257" s="249" t="s">
        <v>249</v>
      </c>
      <c r="J257" s="251" t="s">
        <v>543</v>
      </c>
      <c r="K257" s="253" t="s">
        <v>544</v>
      </c>
      <c r="L257" s="253" t="s">
        <v>469</v>
      </c>
      <c r="M257" s="254" t="s">
        <v>540</v>
      </c>
      <c r="N257" s="255">
        <v>160</v>
      </c>
      <c r="O257" s="255">
        <v>12.17</v>
      </c>
      <c r="P257" s="255">
        <v>1750</v>
      </c>
      <c r="Q257" s="255">
        <v>0.93</v>
      </c>
      <c r="R257" s="255">
        <v>88.3</v>
      </c>
      <c r="S257" s="246" t="str">
        <f t="shared" si="10"/>
        <v>EG1R240-560-16W</v>
      </c>
      <c r="T257" s="253"/>
      <c r="U257" s="253" t="s">
        <v>373</v>
      </c>
    </row>
    <row r="258" spans="1:21" x14ac:dyDescent="0.3">
      <c r="A258" s="246" t="str">
        <f t="shared" si="9"/>
        <v>560_230_3_W</v>
      </c>
      <c r="B258" s="247">
        <v>42814</v>
      </c>
      <c r="C258" s="248" t="s">
        <v>248</v>
      </c>
      <c r="D258" s="249">
        <v>560</v>
      </c>
      <c r="E258" s="249">
        <v>230</v>
      </c>
      <c r="F258" s="249">
        <v>3</v>
      </c>
      <c r="G258" s="250">
        <f t="shared" ref="G258:G303" si="11">F258*1.34102</f>
        <v>4.0230600000000001</v>
      </c>
      <c r="H258" s="249">
        <v>1</v>
      </c>
      <c r="I258" s="249" t="s">
        <v>249</v>
      </c>
      <c r="J258" s="251" t="s">
        <v>545</v>
      </c>
      <c r="K258" s="253" t="s">
        <v>542</v>
      </c>
      <c r="L258" s="253" t="s">
        <v>471</v>
      </c>
      <c r="M258" s="254" t="s">
        <v>538</v>
      </c>
      <c r="N258" s="255">
        <v>130</v>
      </c>
      <c r="O258" s="255">
        <v>8</v>
      </c>
      <c r="P258" s="255">
        <v>1500</v>
      </c>
      <c r="Q258" s="255">
        <v>0.95</v>
      </c>
      <c r="R258" s="255">
        <v>87.8</v>
      </c>
      <c r="S258" s="246" t="str">
        <f t="shared" si="10"/>
        <v>EG1R240-560-13W</v>
      </c>
      <c r="T258" s="253"/>
      <c r="U258" s="253" t="s">
        <v>372</v>
      </c>
    </row>
    <row r="259" spans="1:21" x14ac:dyDescent="0.3">
      <c r="A259" s="246" t="str">
        <f t="shared" ref="A259:A303" si="12">CONCATENATE(D259,"_",E259,"_",F259,"_W")</f>
        <v>560_230_6_W</v>
      </c>
      <c r="B259" s="247">
        <v>42814</v>
      </c>
      <c r="C259" s="248" t="s">
        <v>248</v>
      </c>
      <c r="D259" s="249">
        <v>560</v>
      </c>
      <c r="E259" s="249">
        <v>230</v>
      </c>
      <c r="F259" s="249">
        <v>6</v>
      </c>
      <c r="G259" s="250">
        <f t="shared" si="11"/>
        <v>8.0461200000000002</v>
      </c>
      <c r="H259" s="249">
        <v>1</v>
      </c>
      <c r="I259" s="249" t="s">
        <v>249</v>
      </c>
      <c r="J259" s="251" t="s">
        <v>546</v>
      </c>
      <c r="K259" s="253" t="s">
        <v>544</v>
      </c>
      <c r="L259" s="253" t="s">
        <v>471</v>
      </c>
      <c r="M259" s="254" t="s">
        <v>540</v>
      </c>
      <c r="N259" s="255">
        <v>160</v>
      </c>
      <c r="O259" s="255">
        <v>12.17</v>
      </c>
      <c r="P259" s="255">
        <v>1750</v>
      </c>
      <c r="Q259" s="255">
        <v>0.93</v>
      </c>
      <c r="R259" s="255">
        <v>88.3</v>
      </c>
      <c r="S259" s="246" t="str">
        <f t="shared" si="10"/>
        <v>EG1R240-560-16W</v>
      </c>
      <c r="T259" s="253"/>
      <c r="U259" s="253" t="s">
        <v>373</v>
      </c>
    </row>
    <row r="260" spans="1:21" x14ac:dyDescent="0.3">
      <c r="A260" s="246" t="str">
        <f t="shared" si="12"/>
        <v>630_460_3_W</v>
      </c>
      <c r="B260" s="247">
        <v>42583</v>
      </c>
      <c r="C260" s="248" t="s">
        <v>248</v>
      </c>
      <c r="D260" s="249">
        <v>630</v>
      </c>
      <c r="E260" s="249">
        <v>460</v>
      </c>
      <c r="F260" s="249">
        <v>3</v>
      </c>
      <c r="G260" s="250">
        <f t="shared" si="11"/>
        <v>4.0230600000000001</v>
      </c>
      <c r="H260" s="249">
        <v>0</v>
      </c>
      <c r="I260" s="249" t="s">
        <v>249</v>
      </c>
      <c r="J260" s="251" t="s">
        <v>374</v>
      </c>
      <c r="K260" s="253" t="s">
        <v>547</v>
      </c>
      <c r="L260" s="253" t="s">
        <v>469</v>
      </c>
      <c r="M260" s="254" t="s">
        <v>548</v>
      </c>
      <c r="N260" s="255">
        <v>145</v>
      </c>
      <c r="O260" s="255">
        <v>3.91</v>
      </c>
      <c r="P260" s="255">
        <v>1130</v>
      </c>
      <c r="Q260" s="255">
        <v>0.94</v>
      </c>
      <c r="R260" s="255">
        <v>90.7</v>
      </c>
      <c r="S260" s="246" t="str">
        <f t="shared" si="10"/>
        <v>EG1R480-630-13W</v>
      </c>
      <c r="T260" s="253"/>
      <c r="U260" s="253" t="s">
        <v>377</v>
      </c>
    </row>
    <row r="261" spans="1:21" x14ac:dyDescent="0.3">
      <c r="A261" s="246" t="str">
        <f t="shared" si="12"/>
        <v>630_460_6_W</v>
      </c>
      <c r="B261" s="247">
        <v>42583</v>
      </c>
      <c r="C261" s="248" t="s">
        <v>248</v>
      </c>
      <c r="D261" s="249">
        <v>630</v>
      </c>
      <c r="E261" s="249">
        <v>460</v>
      </c>
      <c r="F261" s="249">
        <v>6</v>
      </c>
      <c r="G261" s="250">
        <f t="shared" si="11"/>
        <v>8.0461200000000002</v>
      </c>
      <c r="H261" s="249">
        <v>0</v>
      </c>
      <c r="I261" s="249" t="s">
        <v>249</v>
      </c>
      <c r="J261" s="251" t="s">
        <v>378</v>
      </c>
      <c r="K261" s="253" t="s">
        <v>549</v>
      </c>
      <c r="L261" s="253" t="s">
        <v>469</v>
      </c>
      <c r="M261" s="254" t="s">
        <v>550</v>
      </c>
      <c r="N261" s="255">
        <v>270</v>
      </c>
      <c r="O261" s="255">
        <v>8.61</v>
      </c>
      <c r="P261" s="255">
        <v>1450</v>
      </c>
      <c r="Q261" s="255">
        <v>0.94</v>
      </c>
      <c r="R261" s="255">
        <v>90.5</v>
      </c>
      <c r="S261" s="246" t="str">
        <f t="shared" si="10"/>
        <v>K3G630-AQ01-05W</v>
      </c>
      <c r="T261" s="253"/>
      <c r="U261" s="253" t="s">
        <v>381</v>
      </c>
    </row>
    <row r="262" spans="1:21" x14ac:dyDescent="0.3">
      <c r="A262" s="246" t="str">
        <f t="shared" si="12"/>
        <v>630_460_7.5_W</v>
      </c>
      <c r="B262" s="247">
        <v>42583</v>
      </c>
      <c r="C262" s="248" t="s">
        <v>248</v>
      </c>
      <c r="D262" s="249">
        <v>630</v>
      </c>
      <c r="E262" s="249">
        <v>460</v>
      </c>
      <c r="F262" s="249">
        <v>7.5</v>
      </c>
      <c r="G262" s="250">
        <f t="shared" si="11"/>
        <v>10.057650000000001</v>
      </c>
      <c r="H262" s="249">
        <v>0</v>
      </c>
      <c r="I262" s="249" t="s">
        <v>249</v>
      </c>
      <c r="J262" s="251" t="s">
        <v>382</v>
      </c>
      <c r="K262" s="253" t="s">
        <v>551</v>
      </c>
      <c r="L262" s="253" t="s">
        <v>469</v>
      </c>
      <c r="M262" s="254" t="s">
        <v>552</v>
      </c>
      <c r="N262" s="255">
        <v>275</v>
      </c>
      <c r="O262" s="255">
        <v>9</v>
      </c>
      <c r="P262" s="255">
        <v>1500</v>
      </c>
      <c r="Q262" s="255">
        <v>0.95</v>
      </c>
      <c r="R262" s="255">
        <v>89.1</v>
      </c>
      <c r="S262" s="246" t="str">
        <f t="shared" si="10"/>
        <v>K3G630-AR02-01W</v>
      </c>
      <c r="T262" s="253"/>
      <c r="U262" s="253" t="s">
        <v>385</v>
      </c>
    </row>
    <row r="263" spans="1:21" x14ac:dyDescent="0.3">
      <c r="A263" s="246" t="str">
        <f t="shared" si="12"/>
        <v>630_460_12_W</v>
      </c>
      <c r="B263" s="247">
        <v>42583</v>
      </c>
      <c r="C263" s="248" t="s">
        <v>248</v>
      </c>
      <c r="D263" s="249">
        <v>630</v>
      </c>
      <c r="E263" s="249">
        <v>460</v>
      </c>
      <c r="F263" s="249">
        <v>12</v>
      </c>
      <c r="G263" s="250">
        <f t="shared" si="11"/>
        <v>16.09224</v>
      </c>
      <c r="H263" s="249">
        <v>0</v>
      </c>
      <c r="I263" s="249" t="s">
        <v>249</v>
      </c>
      <c r="J263" s="251" t="s">
        <v>386</v>
      </c>
      <c r="K263" s="253" t="s">
        <v>553</v>
      </c>
      <c r="L263" s="253" t="s">
        <v>469</v>
      </c>
      <c r="M263" s="254" t="s">
        <v>554</v>
      </c>
      <c r="N263" s="255">
        <v>352</v>
      </c>
      <c r="O263" s="255">
        <v>14.78</v>
      </c>
      <c r="P263" s="255">
        <v>1850</v>
      </c>
      <c r="Q263" s="255">
        <v>0.95</v>
      </c>
      <c r="R263" s="255">
        <v>88.9</v>
      </c>
      <c r="S263" s="246" t="str">
        <f t="shared" si="10"/>
        <v>K3G630-AS05-01W</v>
      </c>
      <c r="T263" s="253"/>
      <c r="U263" s="253" t="s">
        <v>389</v>
      </c>
    </row>
    <row r="264" spans="1:21" x14ac:dyDescent="0.3">
      <c r="A264" s="246" t="str">
        <f t="shared" si="12"/>
        <v>630_460_13.5_W</v>
      </c>
      <c r="B264" s="247">
        <v>42583</v>
      </c>
      <c r="C264" s="248" t="s">
        <v>248</v>
      </c>
      <c r="D264" s="249">
        <v>630</v>
      </c>
      <c r="E264" s="249">
        <v>460</v>
      </c>
      <c r="F264" s="249">
        <v>13.5</v>
      </c>
      <c r="G264" s="250">
        <f t="shared" si="11"/>
        <v>18.103770000000001</v>
      </c>
      <c r="H264" s="249">
        <v>0</v>
      </c>
      <c r="I264" s="249" t="s">
        <v>249</v>
      </c>
      <c r="J264" s="251" t="s">
        <v>390</v>
      </c>
      <c r="K264" s="253" t="s">
        <v>555</v>
      </c>
      <c r="L264" s="253" t="s">
        <v>469</v>
      </c>
      <c r="M264" s="254" t="s">
        <v>556</v>
      </c>
      <c r="N264" s="255">
        <v>326</v>
      </c>
      <c r="O264" s="255">
        <v>18.260000000000002</v>
      </c>
      <c r="P264" s="255">
        <v>2200</v>
      </c>
      <c r="Q264" s="255">
        <v>0.94</v>
      </c>
      <c r="R264" s="255">
        <v>88.9</v>
      </c>
      <c r="S264" s="246" t="str">
        <f t="shared" si="10"/>
        <v>K3G630-AT09-01W</v>
      </c>
      <c r="T264" s="253"/>
      <c r="U264" s="253" t="s">
        <v>393</v>
      </c>
    </row>
    <row r="265" spans="1:21" x14ac:dyDescent="0.3">
      <c r="A265" s="246" t="str">
        <f t="shared" si="12"/>
        <v>630_460_3_W</v>
      </c>
      <c r="B265" s="247">
        <v>42583</v>
      </c>
      <c r="C265" s="248" t="s">
        <v>248</v>
      </c>
      <c r="D265" s="249">
        <v>630</v>
      </c>
      <c r="E265" s="249">
        <v>460</v>
      </c>
      <c r="F265" s="249">
        <v>3</v>
      </c>
      <c r="G265" s="250">
        <f t="shared" si="11"/>
        <v>4.0230600000000001</v>
      </c>
      <c r="H265" s="249">
        <v>1</v>
      </c>
      <c r="I265" s="249" t="s">
        <v>249</v>
      </c>
      <c r="J265" s="251" t="s">
        <v>394</v>
      </c>
      <c r="K265" s="253" t="s">
        <v>547</v>
      </c>
      <c r="L265" s="253" t="s">
        <v>471</v>
      </c>
      <c r="M265" s="254" t="s">
        <v>548</v>
      </c>
      <c r="N265" s="255">
        <v>145</v>
      </c>
      <c r="O265" s="255">
        <v>3.91</v>
      </c>
      <c r="P265" s="255">
        <v>1130</v>
      </c>
      <c r="Q265" s="255">
        <v>0.94</v>
      </c>
      <c r="R265" s="255">
        <v>90.7</v>
      </c>
      <c r="S265" s="246" t="str">
        <f t="shared" si="10"/>
        <v>EG1R480-630-13W</v>
      </c>
      <c r="T265" s="253"/>
      <c r="U265" s="253" t="s">
        <v>377</v>
      </c>
    </row>
    <row r="266" spans="1:21" x14ac:dyDescent="0.3">
      <c r="A266" s="246" t="str">
        <f t="shared" si="12"/>
        <v>630_460_6_W</v>
      </c>
      <c r="B266" s="247">
        <v>42583</v>
      </c>
      <c r="C266" s="248" t="s">
        <v>248</v>
      </c>
      <c r="D266" s="249">
        <v>630</v>
      </c>
      <c r="E266" s="249">
        <v>460</v>
      </c>
      <c r="F266" s="249">
        <v>6</v>
      </c>
      <c r="G266" s="250">
        <f t="shared" si="11"/>
        <v>8.0461200000000002</v>
      </c>
      <c r="H266" s="249">
        <v>1</v>
      </c>
      <c r="I266" s="249" t="s">
        <v>249</v>
      </c>
      <c r="J266" s="251" t="s">
        <v>395</v>
      </c>
      <c r="K266" s="253" t="s">
        <v>549</v>
      </c>
      <c r="L266" s="253" t="s">
        <v>471</v>
      </c>
      <c r="M266" s="254" t="s">
        <v>550</v>
      </c>
      <c r="N266" s="255">
        <v>270</v>
      </c>
      <c r="O266" s="255">
        <v>8.61</v>
      </c>
      <c r="P266" s="255">
        <v>1450</v>
      </c>
      <c r="Q266" s="255">
        <v>0.94</v>
      </c>
      <c r="R266" s="255">
        <v>90.5</v>
      </c>
      <c r="S266" s="246" t="str">
        <f t="shared" si="10"/>
        <v>K3G630-AQ01-05W</v>
      </c>
      <c r="T266" s="253"/>
      <c r="U266" s="253" t="s">
        <v>381</v>
      </c>
    </row>
    <row r="267" spans="1:21" x14ac:dyDescent="0.3">
      <c r="A267" s="246" t="str">
        <f t="shared" si="12"/>
        <v>630_460_7.5_W</v>
      </c>
      <c r="B267" s="247">
        <v>42583</v>
      </c>
      <c r="C267" s="248" t="s">
        <v>248</v>
      </c>
      <c r="D267" s="249">
        <v>630</v>
      </c>
      <c r="E267" s="249">
        <v>460</v>
      </c>
      <c r="F267" s="249">
        <v>7.5</v>
      </c>
      <c r="G267" s="250">
        <f t="shared" si="11"/>
        <v>10.057650000000001</v>
      </c>
      <c r="H267" s="249">
        <v>1</v>
      </c>
      <c r="I267" s="249" t="s">
        <v>249</v>
      </c>
      <c r="J267" s="251" t="s">
        <v>396</v>
      </c>
      <c r="K267" s="253" t="s">
        <v>551</v>
      </c>
      <c r="L267" s="253" t="s">
        <v>471</v>
      </c>
      <c r="M267" s="254" t="s">
        <v>552</v>
      </c>
      <c r="N267" s="255">
        <v>275</v>
      </c>
      <c r="O267" s="255">
        <v>9</v>
      </c>
      <c r="P267" s="255">
        <v>1500</v>
      </c>
      <c r="Q267" s="255">
        <v>0.95</v>
      </c>
      <c r="R267" s="255">
        <v>89.1</v>
      </c>
      <c r="S267" s="246" t="str">
        <f t="shared" si="10"/>
        <v>K3G630-AR02-01W</v>
      </c>
      <c r="T267" s="253"/>
      <c r="U267" s="253" t="s">
        <v>385</v>
      </c>
    </row>
    <row r="268" spans="1:21" x14ac:dyDescent="0.3">
      <c r="A268" s="246" t="str">
        <f t="shared" si="12"/>
        <v>630_460_12_W</v>
      </c>
      <c r="B268" s="247">
        <v>42583</v>
      </c>
      <c r="C268" s="248" t="s">
        <v>248</v>
      </c>
      <c r="D268" s="249">
        <v>630</v>
      </c>
      <c r="E268" s="249">
        <v>460</v>
      </c>
      <c r="F268" s="249">
        <v>12</v>
      </c>
      <c r="G268" s="250">
        <f t="shared" si="11"/>
        <v>16.09224</v>
      </c>
      <c r="H268" s="249">
        <v>1</v>
      </c>
      <c r="I268" s="249" t="s">
        <v>249</v>
      </c>
      <c r="J268" s="251" t="s">
        <v>397</v>
      </c>
      <c r="K268" s="253" t="s">
        <v>553</v>
      </c>
      <c r="L268" s="253" t="s">
        <v>471</v>
      </c>
      <c r="M268" s="254" t="s">
        <v>554</v>
      </c>
      <c r="N268" s="255">
        <v>352</v>
      </c>
      <c r="O268" s="255">
        <v>14.78</v>
      </c>
      <c r="P268" s="255">
        <v>1850</v>
      </c>
      <c r="Q268" s="255">
        <v>0.95</v>
      </c>
      <c r="R268" s="255">
        <v>88.9</v>
      </c>
      <c r="S268" s="246" t="str">
        <f t="shared" si="10"/>
        <v>K3G630-AS05-01W</v>
      </c>
      <c r="T268" s="253"/>
      <c r="U268" s="253" t="s">
        <v>389</v>
      </c>
    </row>
    <row r="269" spans="1:21" x14ac:dyDescent="0.3">
      <c r="A269" s="246" t="str">
        <f t="shared" si="12"/>
        <v>630_460_13.5_W</v>
      </c>
      <c r="B269" s="247">
        <v>42583</v>
      </c>
      <c r="C269" s="248" t="s">
        <v>248</v>
      </c>
      <c r="D269" s="249">
        <v>630</v>
      </c>
      <c r="E269" s="249">
        <v>460</v>
      </c>
      <c r="F269" s="249">
        <v>13.5</v>
      </c>
      <c r="G269" s="250">
        <f t="shared" si="11"/>
        <v>18.103770000000001</v>
      </c>
      <c r="H269" s="249">
        <v>1</v>
      </c>
      <c r="I269" s="249" t="s">
        <v>249</v>
      </c>
      <c r="J269" s="251" t="s">
        <v>398</v>
      </c>
      <c r="K269" s="253" t="s">
        <v>555</v>
      </c>
      <c r="L269" s="253" t="s">
        <v>471</v>
      </c>
      <c r="M269" s="254" t="s">
        <v>556</v>
      </c>
      <c r="N269" s="255">
        <v>326</v>
      </c>
      <c r="O269" s="255">
        <v>18.260000000000002</v>
      </c>
      <c r="P269" s="255">
        <v>2200</v>
      </c>
      <c r="Q269" s="255">
        <v>0.94</v>
      </c>
      <c r="R269" s="255">
        <v>88.9</v>
      </c>
      <c r="S269" s="246" t="str">
        <f t="shared" si="10"/>
        <v>K3G630-AT09-01W</v>
      </c>
      <c r="T269" s="253"/>
      <c r="U269" s="253" t="s">
        <v>393</v>
      </c>
    </row>
    <row r="270" spans="1:21" x14ac:dyDescent="0.3">
      <c r="A270" s="246" t="str">
        <f t="shared" si="12"/>
        <v>630_208_6_W</v>
      </c>
      <c r="B270" s="247">
        <v>42814</v>
      </c>
      <c r="C270" s="248" t="s">
        <v>248</v>
      </c>
      <c r="D270" s="249">
        <v>630</v>
      </c>
      <c r="E270" s="249">
        <v>208</v>
      </c>
      <c r="F270" s="249">
        <v>6</v>
      </c>
      <c r="G270" s="250">
        <f t="shared" si="11"/>
        <v>8.0461200000000002</v>
      </c>
      <c r="H270" s="249">
        <v>0</v>
      </c>
      <c r="I270" s="249" t="s">
        <v>249</v>
      </c>
      <c r="J270" s="251" t="s">
        <v>557</v>
      </c>
      <c r="K270" s="253" t="s">
        <v>558</v>
      </c>
      <c r="L270" s="253" t="s">
        <v>469</v>
      </c>
      <c r="M270" s="254" t="s">
        <v>559</v>
      </c>
      <c r="N270" s="255">
        <v>270</v>
      </c>
      <c r="O270" s="255">
        <v>16.829999999999998</v>
      </c>
      <c r="P270" s="255">
        <v>1450</v>
      </c>
      <c r="Q270" s="255">
        <v>0.95</v>
      </c>
      <c r="R270" s="255">
        <v>89.5</v>
      </c>
      <c r="S270" s="246" t="str">
        <f t="shared" si="10"/>
        <v>K3G630-AQ03-19W</v>
      </c>
      <c r="T270" s="253"/>
      <c r="U270" s="253" t="s">
        <v>402</v>
      </c>
    </row>
    <row r="271" spans="1:21" x14ac:dyDescent="0.3">
      <c r="A271" s="246" t="str">
        <f t="shared" si="12"/>
        <v>630_208_6_W</v>
      </c>
      <c r="B271" s="247">
        <v>42583</v>
      </c>
      <c r="C271" s="248" t="s">
        <v>248</v>
      </c>
      <c r="D271" s="249">
        <v>630</v>
      </c>
      <c r="E271" s="249">
        <v>208</v>
      </c>
      <c r="F271" s="249">
        <v>6</v>
      </c>
      <c r="G271" s="250">
        <f t="shared" si="11"/>
        <v>8.0461200000000002</v>
      </c>
      <c r="H271" s="249">
        <v>1</v>
      </c>
      <c r="I271" s="249" t="s">
        <v>249</v>
      </c>
      <c r="J271" s="251" t="s">
        <v>403</v>
      </c>
      <c r="K271" s="253" t="s">
        <v>558</v>
      </c>
      <c r="L271" s="253" t="s">
        <v>471</v>
      </c>
      <c r="M271" s="254" t="s">
        <v>559</v>
      </c>
      <c r="N271" s="255">
        <v>270</v>
      </c>
      <c r="O271" s="255">
        <v>16.829999999999998</v>
      </c>
      <c r="P271" s="255">
        <v>1450</v>
      </c>
      <c r="Q271" s="255">
        <v>0.95</v>
      </c>
      <c r="R271" s="255">
        <v>89.5</v>
      </c>
      <c r="S271" s="246" t="str">
        <f t="shared" si="10"/>
        <v>K3G630-AQ03-19W</v>
      </c>
      <c r="T271" s="253"/>
      <c r="U271" s="253" t="s">
        <v>402</v>
      </c>
    </row>
    <row r="272" spans="1:21" x14ac:dyDescent="0.3">
      <c r="A272" s="246" t="str">
        <f t="shared" si="12"/>
        <v>630_230_6_W</v>
      </c>
      <c r="B272" s="247">
        <v>42814</v>
      </c>
      <c r="C272" s="248" t="s">
        <v>248</v>
      </c>
      <c r="D272" s="249">
        <v>630</v>
      </c>
      <c r="E272" s="249">
        <v>230</v>
      </c>
      <c r="F272" s="249">
        <v>6</v>
      </c>
      <c r="G272" s="250">
        <f t="shared" si="11"/>
        <v>8.0461200000000002</v>
      </c>
      <c r="H272" s="249">
        <v>0</v>
      </c>
      <c r="I272" s="249" t="s">
        <v>249</v>
      </c>
      <c r="J272" s="251" t="s">
        <v>560</v>
      </c>
      <c r="K272" s="253" t="s">
        <v>561</v>
      </c>
      <c r="L272" s="253" t="s">
        <v>469</v>
      </c>
      <c r="M272" s="254" t="s">
        <v>559</v>
      </c>
      <c r="N272" s="255">
        <v>270</v>
      </c>
      <c r="O272" s="255">
        <v>15.22</v>
      </c>
      <c r="P272" s="255">
        <v>1450</v>
      </c>
      <c r="Q272" s="255">
        <v>0.95</v>
      </c>
      <c r="R272" s="255">
        <v>89.5</v>
      </c>
      <c r="S272" s="246" t="str">
        <f t="shared" si="10"/>
        <v>K3G630-AQ03-19W</v>
      </c>
      <c r="T272" s="253"/>
      <c r="U272" s="253" t="s">
        <v>404</v>
      </c>
    </row>
    <row r="273" spans="1:21" x14ac:dyDescent="0.3">
      <c r="A273" s="246" t="str">
        <f t="shared" si="12"/>
        <v>630_230_6_W</v>
      </c>
      <c r="B273" s="247">
        <v>42814</v>
      </c>
      <c r="C273" s="248" t="s">
        <v>248</v>
      </c>
      <c r="D273" s="249">
        <v>630</v>
      </c>
      <c r="E273" s="249">
        <v>230</v>
      </c>
      <c r="F273" s="249">
        <v>6</v>
      </c>
      <c r="G273" s="250">
        <f t="shared" si="11"/>
        <v>8.0461200000000002</v>
      </c>
      <c r="H273" s="249">
        <v>1</v>
      </c>
      <c r="I273" s="249" t="s">
        <v>249</v>
      </c>
      <c r="J273" s="251" t="s">
        <v>562</v>
      </c>
      <c r="K273" s="253" t="s">
        <v>561</v>
      </c>
      <c r="L273" s="253" t="s">
        <v>471</v>
      </c>
      <c r="M273" s="254" t="s">
        <v>559</v>
      </c>
      <c r="N273" s="255">
        <v>270</v>
      </c>
      <c r="O273" s="255">
        <v>15.22</v>
      </c>
      <c r="P273" s="255">
        <v>1450</v>
      </c>
      <c r="Q273" s="255">
        <v>0.95</v>
      </c>
      <c r="R273" s="255">
        <v>89.5</v>
      </c>
      <c r="S273" s="246" t="str">
        <f t="shared" si="10"/>
        <v>K3G630-AQ03-19W</v>
      </c>
      <c r="T273" s="253"/>
      <c r="U273" s="253" t="s">
        <v>404</v>
      </c>
    </row>
    <row r="274" spans="1:21" x14ac:dyDescent="0.3">
      <c r="A274" s="246" t="str">
        <f t="shared" si="12"/>
        <v>710_460_3_W</v>
      </c>
      <c r="B274" s="247">
        <v>42583</v>
      </c>
      <c r="C274" s="248" t="s">
        <v>248</v>
      </c>
      <c r="D274" s="249">
        <v>710</v>
      </c>
      <c r="E274" s="249">
        <v>460</v>
      </c>
      <c r="F274" s="249">
        <v>3</v>
      </c>
      <c r="G274" s="250">
        <f t="shared" si="11"/>
        <v>4.0230600000000001</v>
      </c>
      <c r="H274" s="249">
        <v>0</v>
      </c>
      <c r="I274" s="249" t="s">
        <v>249</v>
      </c>
      <c r="J274" s="251" t="s">
        <v>405</v>
      </c>
      <c r="K274" s="253" t="s">
        <v>563</v>
      </c>
      <c r="L274" s="253" t="s">
        <v>469</v>
      </c>
      <c r="M274" s="254" t="s">
        <v>564</v>
      </c>
      <c r="N274" s="255">
        <v>297</v>
      </c>
      <c r="O274" s="255">
        <v>3.74</v>
      </c>
      <c r="P274" s="255">
        <v>920</v>
      </c>
      <c r="Q274" s="255">
        <v>0.94</v>
      </c>
      <c r="R274" s="255">
        <v>89.3</v>
      </c>
      <c r="S274" s="246" t="str">
        <f t="shared" si="10"/>
        <v>EG1R480-710-13W</v>
      </c>
      <c r="T274" s="253"/>
      <c r="U274" s="253" t="s">
        <v>408</v>
      </c>
    </row>
    <row r="275" spans="1:21" x14ac:dyDescent="0.3">
      <c r="A275" s="246" t="str">
        <f t="shared" si="12"/>
        <v>710_460_6_W</v>
      </c>
      <c r="B275" s="247">
        <v>42583</v>
      </c>
      <c r="C275" s="248" t="s">
        <v>248</v>
      </c>
      <c r="D275" s="249">
        <v>710</v>
      </c>
      <c r="E275" s="249">
        <v>460</v>
      </c>
      <c r="F275" s="249">
        <v>6</v>
      </c>
      <c r="G275" s="250">
        <f t="shared" si="11"/>
        <v>8.0461200000000002</v>
      </c>
      <c r="H275" s="249">
        <v>0</v>
      </c>
      <c r="I275" s="249" t="s">
        <v>249</v>
      </c>
      <c r="J275" s="251" t="s">
        <v>409</v>
      </c>
      <c r="K275" s="253" t="s">
        <v>565</v>
      </c>
      <c r="L275" s="253" t="s">
        <v>469</v>
      </c>
      <c r="M275" s="254" t="s">
        <v>566</v>
      </c>
      <c r="N275" s="255">
        <v>354</v>
      </c>
      <c r="O275" s="255">
        <v>8.17</v>
      </c>
      <c r="P275" s="255">
        <v>1200</v>
      </c>
      <c r="Q275" s="255">
        <v>0.95</v>
      </c>
      <c r="R275" s="255">
        <v>89</v>
      </c>
      <c r="S275" s="246" t="str">
        <f t="shared" si="10"/>
        <v>K3G710-AQ01-09W</v>
      </c>
      <c r="T275" s="253"/>
      <c r="U275" s="253" t="s">
        <v>412</v>
      </c>
    </row>
    <row r="276" spans="1:21" x14ac:dyDescent="0.3">
      <c r="A276" s="246" t="str">
        <f t="shared" si="12"/>
        <v>710_460_7.5_W</v>
      </c>
      <c r="B276" s="247">
        <v>42583</v>
      </c>
      <c r="C276" s="248" t="s">
        <v>248</v>
      </c>
      <c r="D276" s="249">
        <v>710</v>
      </c>
      <c r="E276" s="249">
        <v>460</v>
      </c>
      <c r="F276" s="249">
        <v>7.5</v>
      </c>
      <c r="G276" s="250">
        <f t="shared" si="11"/>
        <v>10.057650000000001</v>
      </c>
      <c r="H276" s="249">
        <v>0</v>
      </c>
      <c r="I276" s="249" t="s">
        <v>249</v>
      </c>
      <c r="J276" s="251" t="s">
        <v>413</v>
      </c>
      <c r="K276" s="253" t="s">
        <v>567</v>
      </c>
      <c r="L276" s="253" t="s">
        <v>469</v>
      </c>
      <c r="M276" s="254" t="s">
        <v>568</v>
      </c>
      <c r="N276" s="255">
        <v>359</v>
      </c>
      <c r="O276" s="255">
        <v>10.26</v>
      </c>
      <c r="P276" s="255">
        <v>1300</v>
      </c>
      <c r="Q276" s="255">
        <v>0.95</v>
      </c>
      <c r="R276" s="255">
        <v>89.2</v>
      </c>
      <c r="S276" s="246" t="str">
        <f t="shared" si="10"/>
        <v>K3G710-AR03-01W</v>
      </c>
      <c r="T276" s="253"/>
      <c r="U276" s="253" t="s">
        <v>416</v>
      </c>
    </row>
    <row r="277" spans="1:21" x14ac:dyDescent="0.3">
      <c r="A277" s="246" t="str">
        <f t="shared" si="12"/>
        <v>710_460_12_W</v>
      </c>
      <c r="B277" s="247">
        <v>42583</v>
      </c>
      <c r="C277" s="248" t="s">
        <v>248</v>
      </c>
      <c r="D277" s="249">
        <v>710</v>
      </c>
      <c r="E277" s="249">
        <v>460</v>
      </c>
      <c r="F277" s="249">
        <v>12</v>
      </c>
      <c r="G277" s="250">
        <f t="shared" si="11"/>
        <v>16.09224</v>
      </c>
      <c r="H277" s="249">
        <v>0</v>
      </c>
      <c r="I277" s="249" t="s">
        <v>249</v>
      </c>
      <c r="J277" s="251" t="s">
        <v>417</v>
      </c>
      <c r="K277" s="253" t="s">
        <v>569</v>
      </c>
      <c r="L277" s="253" t="s">
        <v>469</v>
      </c>
      <c r="M277" s="254" t="s">
        <v>570</v>
      </c>
      <c r="N277" s="255">
        <v>423</v>
      </c>
      <c r="O277" s="255">
        <v>16.170000000000002</v>
      </c>
      <c r="P277" s="255">
        <v>1550</v>
      </c>
      <c r="Q277" s="255">
        <v>0.94</v>
      </c>
      <c r="R277" s="255">
        <v>89.4</v>
      </c>
      <c r="S277" s="246" t="str">
        <f t="shared" ref="S277:S303" si="13">MID(M277,9,50)</f>
        <v>K3G710-AS06-01W</v>
      </c>
      <c r="T277" s="253"/>
      <c r="U277" s="253" t="s">
        <v>420</v>
      </c>
    </row>
    <row r="278" spans="1:21" x14ac:dyDescent="0.3">
      <c r="A278" s="246" t="str">
        <f t="shared" si="12"/>
        <v>710_460_3_W</v>
      </c>
      <c r="B278" s="247">
        <v>42583</v>
      </c>
      <c r="C278" s="248" t="s">
        <v>248</v>
      </c>
      <c r="D278" s="249">
        <v>710</v>
      </c>
      <c r="E278" s="249">
        <v>460</v>
      </c>
      <c r="F278" s="249">
        <v>3</v>
      </c>
      <c r="G278" s="250">
        <f t="shared" si="11"/>
        <v>4.0230600000000001</v>
      </c>
      <c r="H278" s="249">
        <v>1</v>
      </c>
      <c r="I278" s="249" t="s">
        <v>249</v>
      </c>
      <c r="J278" s="251" t="s">
        <v>421</v>
      </c>
      <c r="K278" s="253" t="s">
        <v>563</v>
      </c>
      <c r="L278" s="253" t="s">
        <v>471</v>
      </c>
      <c r="M278" s="254" t="s">
        <v>564</v>
      </c>
      <c r="N278" s="255">
        <v>297</v>
      </c>
      <c r="O278" s="255">
        <v>3.74</v>
      </c>
      <c r="P278" s="255">
        <v>920</v>
      </c>
      <c r="Q278" s="255">
        <v>0.94</v>
      </c>
      <c r="R278" s="255">
        <v>89.3</v>
      </c>
      <c r="S278" s="246" t="str">
        <f t="shared" si="13"/>
        <v>EG1R480-710-13W</v>
      </c>
      <c r="T278" s="253"/>
      <c r="U278" s="253" t="s">
        <v>408</v>
      </c>
    </row>
    <row r="279" spans="1:21" x14ac:dyDescent="0.3">
      <c r="A279" s="246" t="str">
        <f t="shared" si="12"/>
        <v>710_460_6_W</v>
      </c>
      <c r="B279" s="247">
        <v>42583</v>
      </c>
      <c r="C279" s="248" t="s">
        <v>248</v>
      </c>
      <c r="D279" s="249">
        <v>710</v>
      </c>
      <c r="E279" s="249">
        <v>460</v>
      </c>
      <c r="F279" s="249">
        <v>6</v>
      </c>
      <c r="G279" s="250">
        <f t="shared" si="11"/>
        <v>8.0461200000000002</v>
      </c>
      <c r="H279" s="249">
        <v>1</v>
      </c>
      <c r="I279" s="249" t="s">
        <v>249</v>
      </c>
      <c r="J279" s="251" t="s">
        <v>422</v>
      </c>
      <c r="K279" s="253" t="s">
        <v>565</v>
      </c>
      <c r="L279" s="253" t="s">
        <v>471</v>
      </c>
      <c r="M279" s="254" t="s">
        <v>566</v>
      </c>
      <c r="N279" s="255">
        <v>354</v>
      </c>
      <c r="O279" s="255">
        <v>8.17</v>
      </c>
      <c r="P279" s="255">
        <v>1200</v>
      </c>
      <c r="Q279" s="255">
        <v>0.95</v>
      </c>
      <c r="R279" s="255">
        <v>89</v>
      </c>
      <c r="S279" s="246" t="str">
        <f t="shared" si="13"/>
        <v>K3G710-AQ01-09W</v>
      </c>
      <c r="T279" s="253"/>
      <c r="U279" s="253" t="s">
        <v>412</v>
      </c>
    </row>
    <row r="280" spans="1:21" x14ac:dyDescent="0.3">
      <c r="A280" s="246" t="str">
        <f t="shared" si="12"/>
        <v>710_460_7.5_W</v>
      </c>
      <c r="B280" s="247">
        <v>42583</v>
      </c>
      <c r="C280" s="248" t="s">
        <v>248</v>
      </c>
      <c r="D280" s="249">
        <v>710</v>
      </c>
      <c r="E280" s="249">
        <v>460</v>
      </c>
      <c r="F280" s="249">
        <v>7.5</v>
      </c>
      <c r="G280" s="250">
        <f t="shared" si="11"/>
        <v>10.057650000000001</v>
      </c>
      <c r="H280" s="249">
        <v>1</v>
      </c>
      <c r="I280" s="249" t="s">
        <v>249</v>
      </c>
      <c r="J280" s="251" t="s">
        <v>423</v>
      </c>
      <c r="K280" s="253" t="s">
        <v>567</v>
      </c>
      <c r="L280" s="253" t="s">
        <v>471</v>
      </c>
      <c r="M280" s="254" t="s">
        <v>568</v>
      </c>
      <c r="N280" s="255">
        <v>359</v>
      </c>
      <c r="O280" s="255">
        <v>10.26</v>
      </c>
      <c r="P280" s="255">
        <v>1300</v>
      </c>
      <c r="Q280" s="255">
        <v>0.95</v>
      </c>
      <c r="R280" s="255">
        <v>89.2</v>
      </c>
      <c r="S280" s="246" t="str">
        <f t="shared" si="13"/>
        <v>K3G710-AR03-01W</v>
      </c>
      <c r="T280" s="253"/>
      <c r="U280" s="253" t="s">
        <v>416</v>
      </c>
    </row>
    <row r="281" spans="1:21" x14ac:dyDescent="0.3">
      <c r="A281" s="246" t="str">
        <f t="shared" si="12"/>
        <v>710_460_12_W</v>
      </c>
      <c r="B281" s="247">
        <v>42583</v>
      </c>
      <c r="C281" s="248" t="s">
        <v>248</v>
      </c>
      <c r="D281" s="249">
        <v>710</v>
      </c>
      <c r="E281" s="249">
        <v>460</v>
      </c>
      <c r="F281" s="249">
        <v>12</v>
      </c>
      <c r="G281" s="250">
        <f t="shared" si="11"/>
        <v>16.09224</v>
      </c>
      <c r="H281" s="249">
        <v>1</v>
      </c>
      <c r="I281" s="249" t="s">
        <v>249</v>
      </c>
      <c r="J281" s="251" t="s">
        <v>424</v>
      </c>
      <c r="K281" s="253" t="s">
        <v>569</v>
      </c>
      <c r="L281" s="253" t="s">
        <v>471</v>
      </c>
      <c r="M281" s="254" t="s">
        <v>570</v>
      </c>
      <c r="N281" s="255">
        <v>423</v>
      </c>
      <c r="O281" s="255">
        <v>16.170000000000002</v>
      </c>
      <c r="P281" s="255">
        <v>1550</v>
      </c>
      <c r="Q281" s="255">
        <v>0.94</v>
      </c>
      <c r="R281" s="255">
        <v>89.4</v>
      </c>
      <c r="S281" s="246" t="str">
        <f t="shared" si="13"/>
        <v>K3G710-AS06-01W</v>
      </c>
      <c r="T281" s="253"/>
      <c r="U281" s="253" t="s">
        <v>420</v>
      </c>
    </row>
    <row r="282" spans="1:21" x14ac:dyDescent="0.3">
      <c r="A282" s="246" t="str">
        <f t="shared" si="12"/>
        <v>710_208_6_W</v>
      </c>
      <c r="B282" s="247">
        <v>42814</v>
      </c>
      <c r="C282" s="248" t="s">
        <v>248</v>
      </c>
      <c r="D282" s="249">
        <v>710</v>
      </c>
      <c r="E282" s="249">
        <v>208</v>
      </c>
      <c r="F282" s="249">
        <v>6</v>
      </c>
      <c r="G282" s="250">
        <f t="shared" si="11"/>
        <v>8.0461200000000002</v>
      </c>
      <c r="H282" s="249">
        <v>0</v>
      </c>
      <c r="I282" s="249" t="s">
        <v>249</v>
      </c>
      <c r="J282" s="251" t="s">
        <v>571</v>
      </c>
      <c r="K282" s="253" t="s">
        <v>572</v>
      </c>
      <c r="L282" s="253" t="s">
        <v>469</v>
      </c>
      <c r="M282" s="254" t="s">
        <v>573</v>
      </c>
      <c r="N282" s="255">
        <v>354</v>
      </c>
      <c r="O282" s="255">
        <v>17.79</v>
      </c>
      <c r="P282" s="255">
        <v>1180</v>
      </c>
      <c r="Q282" s="255">
        <v>0.95</v>
      </c>
      <c r="R282" s="255">
        <v>88.8</v>
      </c>
      <c r="S282" s="246" t="str">
        <f t="shared" si="13"/>
        <v>K3G710-AQ04-19W</v>
      </c>
      <c r="T282" s="253"/>
      <c r="U282" s="253" t="s">
        <v>428</v>
      </c>
    </row>
    <row r="283" spans="1:21" x14ac:dyDescent="0.3">
      <c r="A283" s="246" t="str">
        <f t="shared" si="12"/>
        <v>710_208_6_W</v>
      </c>
      <c r="B283" s="247">
        <v>42583</v>
      </c>
      <c r="C283" s="248" t="s">
        <v>248</v>
      </c>
      <c r="D283" s="249">
        <v>710</v>
      </c>
      <c r="E283" s="249">
        <v>208</v>
      </c>
      <c r="F283" s="249">
        <v>6</v>
      </c>
      <c r="G283" s="250">
        <f t="shared" si="11"/>
        <v>8.0461200000000002</v>
      </c>
      <c r="H283" s="249">
        <v>1</v>
      </c>
      <c r="I283" s="249" t="s">
        <v>249</v>
      </c>
      <c r="J283" s="251" t="s">
        <v>429</v>
      </c>
      <c r="K283" s="253" t="s">
        <v>572</v>
      </c>
      <c r="L283" s="253" t="s">
        <v>471</v>
      </c>
      <c r="M283" s="254" t="s">
        <v>573</v>
      </c>
      <c r="N283" s="255">
        <v>354</v>
      </c>
      <c r="O283" s="255">
        <v>17.79</v>
      </c>
      <c r="P283" s="255">
        <v>1180</v>
      </c>
      <c r="Q283" s="255">
        <v>0.95</v>
      </c>
      <c r="R283" s="255">
        <v>88.8</v>
      </c>
      <c r="S283" s="246" t="str">
        <f t="shared" si="13"/>
        <v>K3G710-AQ04-19W</v>
      </c>
      <c r="T283" s="253"/>
      <c r="U283" s="253" t="s">
        <v>428</v>
      </c>
    </row>
    <row r="284" spans="1:21" x14ac:dyDescent="0.3">
      <c r="A284" s="246" t="str">
        <f t="shared" si="12"/>
        <v>710_230_6_W</v>
      </c>
      <c r="B284" s="247">
        <v>42814</v>
      </c>
      <c r="C284" s="248" t="s">
        <v>248</v>
      </c>
      <c r="D284" s="249">
        <v>710</v>
      </c>
      <c r="E284" s="249">
        <v>230</v>
      </c>
      <c r="F284" s="249">
        <v>6</v>
      </c>
      <c r="G284" s="250">
        <f t="shared" si="11"/>
        <v>8.0461200000000002</v>
      </c>
      <c r="H284" s="249">
        <v>0</v>
      </c>
      <c r="I284" s="249" t="s">
        <v>249</v>
      </c>
      <c r="J284" s="251" t="s">
        <v>574</v>
      </c>
      <c r="K284" s="253" t="s">
        <v>575</v>
      </c>
      <c r="L284" s="253" t="s">
        <v>469</v>
      </c>
      <c r="M284" s="254" t="s">
        <v>573</v>
      </c>
      <c r="N284" s="255">
        <v>354</v>
      </c>
      <c r="O284" s="255">
        <v>16.09</v>
      </c>
      <c r="P284" s="255">
        <v>1180</v>
      </c>
      <c r="Q284" s="255">
        <v>0.95</v>
      </c>
      <c r="R284" s="255">
        <v>88.8</v>
      </c>
      <c r="S284" s="246" t="str">
        <f t="shared" si="13"/>
        <v>K3G710-AQ04-19W</v>
      </c>
      <c r="T284" s="253"/>
      <c r="U284" s="253" t="s">
        <v>430</v>
      </c>
    </row>
    <row r="285" spans="1:21" x14ac:dyDescent="0.3">
      <c r="A285" s="246" t="str">
        <f t="shared" si="12"/>
        <v>710_230_6_W</v>
      </c>
      <c r="B285" s="247">
        <v>42814</v>
      </c>
      <c r="C285" s="248" t="s">
        <v>248</v>
      </c>
      <c r="D285" s="249">
        <v>710</v>
      </c>
      <c r="E285" s="249">
        <v>230</v>
      </c>
      <c r="F285" s="249">
        <v>6</v>
      </c>
      <c r="G285" s="250">
        <f t="shared" si="11"/>
        <v>8.0461200000000002</v>
      </c>
      <c r="H285" s="249">
        <v>1</v>
      </c>
      <c r="I285" s="249" t="s">
        <v>249</v>
      </c>
      <c r="J285" s="251" t="s">
        <v>576</v>
      </c>
      <c r="K285" s="253" t="s">
        <v>575</v>
      </c>
      <c r="L285" s="253" t="s">
        <v>471</v>
      </c>
      <c r="M285" s="254" t="s">
        <v>573</v>
      </c>
      <c r="N285" s="255">
        <v>354</v>
      </c>
      <c r="O285" s="255">
        <v>16.09</v>
      </c>
      <c r="P285" s="255">
        <v>1180</v>
      </c>
      <c r="Q285" s="255">
        <v>0.95</v>
      </c>
      <c r="R285" s="255">
        <v>88.8</v>
      </c>
      <c r="S285" s="246" t="str">
        <f t="shared" si="13"/>
        <v>K3G710-AQ04-19W</v>
      </c>
      <c r="T285" s="253"/>
      <c r="U285" s="253" t="s">
        <v>430</v>
      </c>
    </row>
    <row r="286" spans="1:21" x14ac:dyDescent="0.3">
      <c r="A286" s="246" t="str">
        <f t="shared" si="12"/>
        <v>800_460_6_W</v>
      </c>
      <c r="B286" s="247">
        <v>42583</v>
      </c>
      <c r="C286" s="248" t="s">
        <v>248</v>
      </c>
      <c r="D286" s="249">
        <v>800</v>
      </c>
      <c r="E286" s="249">
        <v>460</v>
      </c>
      <c r="F286" s="249">
        <v>6</v>
      </c>
      <c r="G286" s="250">
        <f t="shared" si="11"/>
        <v>8.0461200000000002</v>
      </c>
      <c r="H286" s="249">
        <v>0</v>
      </c>
      <c r="I286" s="249" t="s">
        <v>249</v>
      </c>
      <c r="J286" s="251" t="s">
        <v>431</v>
      </c>
      <c r="K286" s="253" t="s">
        <v>577</v>
      </c>
      <c r="L286" s="253" t="s">
        <v>469</v>
      </c>
      <c r="M286" s="254" t="s">
        <v>578</v>
      </c>
      <c r="N286" s="255">
        <v>416</v>
      </c>
      <c r="O286" s="255">
        <v>8.17</v>
      </c>
      <c r="P286" s="255">
        <v>960</v>
      </c>
      <c r="Q286" s="255">
        <v>0.94</v>
      </c>
      <c r="R286" s="255">
        <v>90.8</v>
      </c>
      <c r="S286" s="246" t="str">
        <f t="shared" si="13"/>
        <v>K3G800-AQ03-09W</v>
      </c>
      <c r="T286" s="253"/>
      <c r="U286" s="253" t="s">
        <v>434</v>
      </c>
    </row>
    <row r="287" spans="1:21" x14ac:dyDescent="0.3">
      <c r="A287" s="246" t="str">
        <f t="shared" si="12"/>
        <v>800_460_7.5_W</v>
      </c>
      <c r="B287" s="247">
        <v>42583</v>
      </c>
      <c r="C287" s="248" t="s">
        <v>248</v>
      </c>
      <c r="D287" s="249">
        <v>800</v>
      </c>
      <c r="E287" s="249">
        <v>460</v>
      </c>
      <c r="F287" s="249">
        <v>7.5</v>
      </c>
      <c r="G287" s="250">
        <f t="shared" si="11"/>
        <v>10.057650000000001</v>
      </c>
      <c r="H287" s="249">
        <v>0</v>
      </c>
      <c r="I287" s="249" t="s">
        <v>249</v>
      </c>
      <c r="J287" s="251" t="s">
        <v>435</v>
      </c>
      <c r="K287" s="253" t="s">
        <v>579</v>
      </c>
      <c r="L287" s="253" t="s">
        <v>469</v>
      </c>
      <c r="M287" s="254" t="s">
        <v>580</v>
      </c>
      <c r="N287" s="255">
        <v>416</v>
      </c>
      <c r="O287" s="255">
        <v>10.09</v>
      </c>
      <c r="P287" s="255">
        <v>1050</v>
      </c>
      <c r="Q287" s="255">
        <v>0.95</v>
      </c>
      <c r="R287" s="255">
        <v>90.1</v>
      </c>
      <c r="S287" s="246" t="str">
        <f t="shared" si="13"/>
        <v>K3G800-AR08-01W</v>
      </c>
      <c r="T287" s="253"/>
      <c r="U287" s="253" t="s">
        <v>438</v>
      </c>
    </row>
    <row r="288" spans="1:21" x14ac:dyDescent="0.3">
      <c r="A288" s="246" t="str">
        <f t="shared" si="12"/>
        <v>800_460_12_W</v>
      </c>
      <c r="B288" s="247">
        <v>42583</v>
      </c>
      <c r="C288" s="248" t="s">
        <v>248</v>
      </c>
      <c r="D288" s="249">
        <v>800</v>
      </c>
      <c r="E288" s="249">
        <v>460</v>
      </c>
      <c r="F288" s="249">
        <v>12</v>
      </c>
      <c r="G288" s="250">
        <f t="shared" si="11"/>
        <v>16.09224</v>
      </c>
      <c r="H288" s="249">
        <v>0</v>
      </c>
      <c r="I288" s="249" t="s">
        <v>249</v>
      </c>
      <c r="J288" s="251" t="s">
        <v>439</v>
      </c>
      <c r="K288" s="253" t="s">
        <v>581</v>
      </c>
      <c r="L288" s="253" t="s">
        <v>469</v>
      </c>
      <c r="M288" s="254" t="s">
        <v>582</v>
      </c>
      <c r="N288" s="255">
        <v>431</v>
      </c>
      <c r="O288" s="255">
        <v>15.48</v>
      </c>
      <c r="P288" s="255">
        <v>1370</v>
      </c>
      <c r="Q288" s="255">
        <v>0.94</v>
      </c>
      <c r="R288" s="255">
        <v>90.5</v>
      </c>
      <c r="S288" s="246" t="str">
        <f t="shared" si="13"/>
        <v>K3G800-AS07-01W</v>
      </c>
      <c r="T288" s="253"/>
      <c r="U288" s="253" t="s">
        <v>442</v>
      </c>
    </row>
    <row r="289" spans="1:21" x14ac:dyDescent="0.3">
      <c r="A289" s="246" t="str">
        <f t="shared" si="12"/>
        <v>800_460_6_W</v>
      </c>
      <c r="B289" s="247">
        <v>42583</v>
      </c>
      <c r="C289" s="248" t="s">
        <v>248</v>
      </c>
      <c r="D289" s="249">
        <v>800</v>
      </c>
      <c r="E289" s="249">
        <v>460</v>
      </c>
      <c r="F289" s="249">
        <v>6</v>
      </c>
      <c r="G289" s="250">
        <f t="shared" si="11"/>
        <v>8.0461200000000002</v>
      </c>
      <c r="H289" s="249">
        <v>1</v>
      </c>
      <c r="I289" s="249" t="s">
        <v>249</v>
      </c>
      <c r="J289" s="251" t="s">
        <v>443</v>
      </c>
      <c r="K289" s="253" t="s">
        <v>577</v>
      </c>
      <c r="L289" s="253" t="s">
        <v>471</v>
      </c>
      <c r="M289" s="254" t="s">
        <v>578</v>
      </c>
      <c r="N289" s="255">
        <v>416</v>
      </c>
      <c r="O289" s="255">
        <v>8.17</v>
      </c>
      <c r="P289" s="255">
        <v>960</v>
      </c>
      <c r="Q289" s="255">
        <v>0.94</v>
      </c>
      <c r="R289" s="255">
        <v>90.8</v>
      </c>
      <c r="S289" s="246" t="str">
        <f t="shared" si="13"/>
        <v>K3G800-AQ03-09W</v>
      </c>
      <c r="T289" s="253"/>
      <c r="U289" s="253" t="s">
        <v>434</v>
      </c>
    </row>
    <row r="290" spans="1:21" x14ac:dyDescent="0.3">
      <c r="A290" s="246" t="str">
        <f t="shared" si="12"/>
        <v>800_460_7.5_W</v>
      </c>
      <c r="B290" s="247">
        <v>42583</v>
      </c>
      <c r="C290" s="248" t="s">
        <v>248</v>
      </c>
      <c r="D290" s="249">
        <v>800</v>
      </c>
      <c r="E290" s="249">
        <v>460</v>
      </c>
      <c r="F290" s="249">
        <v>7.5</v>
      </c>
      <c r="G290" s="250">
        <f t="shared" si="11"/>
        <v>10.057650000000001</v>
      </c>
      <c r="H290" s="249">
        <v>1</v>
      </c>
      <c r="I290" s="249" t="s">
        <v>249</v>
      </c>
      <c r="J290" s="251" t="s">
        <v>444</v>
      </c>
      <c r="K290" s="253" t="s">
        <v>579</v>
      </c>
      <c r="L290" s="253" t="s">
        <v>471</v>
      </c>
      <c r="M290" s="254" t="s">
        <v>580</v>
      </c>
      <c r="N290" s="255">
        <v>416</v>
      </c>
      <c r="O290" s="255">
        <v>10.09</v>
      </c>
      <c r="P290" s="255">
        <v>1050</v>
      </c>
      <c r="Q290" s="255">
        <v>0.95</v>
      </c>
      <c r="R290" s="255">
        <v>90.1</v>
      </c>
      <c r="S290" s="246" t="str">
        <f t="shared" si="13"/>
        <v>K3G800-AR08-01W</v>
      </c>
      <c r="T290" s="253"/>
      <c r="U290" s="253" t="s">
        <v>438</v>
      </c>
    </row>
    <row r="291" spans="1:21" x14ac:dyDescent="0.3">
      <c r="A291" s="246" t="str">
        <f t="shared" si="12"/>
        <v>800_460_12_W</v>
      </c>
      <c r="B291" s="247">
        <v>42583</v>
      </c>
      <c r="C291" s="248" t="s">
        <v>248</v>
      </c>
      <c r="D291" s="249">
        <v>800</v>
      </c>
      <c r="E291" s="249">
        <v>460</v>
      </c>
      <c r="F291" s="249">
        <v>12</v>
      </c>
      <c r="G291" s="250">
        <f t="shared" si="11"/>
        <v>16.09224</v>
      </c>
      <c r="H291" s="249">
        <v>1</v>
      </c>
      <c r="I291" s="249" t="s">
        <v>249</v>
      </c>
      <c r="J291" s="251" t="s">
        <v>445</v>
      </c>
      <c r="K291" s="253" t="s">
        <v>581</v>
      </c>
      <c r="L291" s="253" t="s">
        <v>471</v>
      </c>
      <c r="M291" s="254" t="s">
        <v>582</v>
      </c>
      <c r="N291" s="255">
        <v>431</v>
      </c>
      <c r="O291" s="255">
        <v>15.48</v>
      </c>
      <c r="P291" s="255">
        <v>1370</v>
      </c>
      <c r="Q291" s="255">
        <v>0.94</v>
      </c>
      <c r="R291" s="255">
        <v>90.5</v>
      </c>
      <c r="S291" s="246" t="str">
        <f t="shared" si="13"/>
        <v>K3G800-AS07-01W</v>
      </c>
      <c r="T291" s="253"/>
      <c r="U291" s="253" t="s">
        <v>442</v>
      </c>
    </row>
    <row r="292" spans="1:21" x14ac:dyDescent="0.3">
      <c r="A292" s="246" t="str">
        <f t="shared" si="12"/>
        <v>800_208_6_W</v>
      </c>
      <c r="B292" s="247">
        <v>42583</v>
      </c>
      <c r="C292" s="248" t="s">
        <v>248</v>
      </c>
      <c r="D292" s="249">
        <v>800</v>
      </c>
      <c r="E292" s="249">
        <v>208</v>
      </c>
      <c r="F292" s="249">
        <v>6</v>
      </c>
      <c r="G292" s="250">
        <f t="shared" si="11"/>
        <v>8.0461200000000002</v>
      </c>
      <c r="H292" s="249">
        <v>0</v>
      </c>
      <c r="I292" s="249" t="s">
        <v>249</v>
      </c>
      <c r="J292" s="251" t="s">
        <v>446</v>
      </c>
      <c r="K292" s="253" t="s">
        <v>583</v>
      </c>
      <c r="L292" s="253" t="s">
        <v>469</v>
      </c>
      <c r="M292" s="254" t="s">
        <v>584</v>
      </c>
      <c r="N292" s="255">
        <v>416</v>
      </c>
      <c r="O292" s="255">
        <v>16.73</v>
      </c>
      <c r="P292" s="255">
        <v>940</v>
      </c>
      <c r="Q292" s="255">
        <v>0.95</v>
      </c>
      <c r="R292" s="255">
        <v>89.9</v>
      </c>
      <c r="S292" s="246" t="str">
        <f t="shared" si="13"/>
        <v>K3G800-AQ06-19W</v>
      </c>
      <c r="T292" s="253"/>
      <c r="U292" s="253" t="s">
        <v>449</v>
      </c>
    </row>
    <row r="293" spans="1:21" x14ac:dyDescent="0.3">
      <c r="A293" s="246" t="str">
        <f t="shared" si="12"/>
        <v>800_208_6_W</v>
      </c>
      <c r="B293" s="247">
        <v>42583</v>
      </c>
      <c r="C293" s="248" t="s">
        <v>248</v>
      </c>
      <c r="D293" s="249">
        <v>800</v>
      </c>
      <c r="E293" s="249">
        <v>208</v>
      </c>
      <c r="F293" s="249">
        <v>6</v>
      </c>
      <c r="G293" s="250">
        <f t="shared" si="11"/>
        <v>8.0461200000000002</v>
      </c>
      <c r="H293" s="249">
        <v>1</v>
      </c>
      <c r="I293" s="249" t="s">
        <v>249</v>
      </c>
      <c r="J293" s="251" t="s">
        <v>450</v>
      </c>
      <c r="K293" s="253" t="s">
        <v>583</v>
      </c>
      <c r="L293" s="253" t="s">
        <v>471</v>
      </c>
      <c r="M293" s="254" t="s">
        <v>584</v>
      </c>
      <c r="N293" s="255">
        <v>416</v>
      </c>
      <c r="O293" s="255">
        <v>16.73</v>
      </c>
      <c r="P293" s="255">
        <v>940</v>
      </c>
      <c r="Q293" s="255">
        <v>0.95</v>
      </c>
      <c r="R293" s="255">
        <v>89.9</v>
      </c>
      <c r="S293" s="246" t="str">
        <f t="shared" si="13"/>
        <v>K3G800-AQ06-19W</v>
      </c>
      <c r="T293" s="253"/>
      <c r="U293" s="253" t="s">
        <v>449</v>
      </c>
    </row>
    <row r="294" spans="1:21" x14ac:dyDescent="0.3">
      <c r="A294" s="246" t="str">
        <f t="shared" si="12"/>
        <v>800_230_6_W</v>
      </c>
      <c r="B294" s="247">
        <v>42814</v>
      </c>
      <c r="C294" s="248" t="s">
        <v>248</v>
      </c>
      <c r="D294" s="249">
        <v>800</v>
      </c>
      <c r="E294" s="249">
        <v>230</v>
      </c>
      <c r="F294" s="249">
        <v>6</v>
      </c>
      <c r="G294" s="250">
        <f t="shared" si="11"/>
        <v>8.0461200000000002</v>
      </c>
      <c r="H294" s="249">
        <v>0</v>
      </c>
      <c r="I294" s="249" t="s">
        <v>249</v>
      </c>
      <c r="J294" s="251" t="s">
        <v>585</v>
      </c>
      <c r="K294" s="253" t="s">
        <v>586</v>
      </c>
      <c r="L294" s="253" t="s">
        <v>469</v>
      </c>
      <c r="M294" s="254" t="s">
        <v>584</v>
      </c>
      <c r="N294" s="255">
        <v>416</v>
      </c>
      <c r="O294" s="255">
        <v>15.13</v>
      </c>
      <c r="P294" s="255">
        <v>940</v>
      </c>
      <c r="Q294" s="255">
        <v>0.95</v>
      </c>
      <c r="R294" s="255">
        <v>89.9</v>
      </c>
      <c r="S294" s="246" t="str">
        <f t="shared" si="13"/>
        <v>K3G800-AQ06-19W</v>
      </c>
      <c r="T294" s="253"/>
      <c r="U294" s="253" t="s">
        <v>451</v>
      </c>
    </row>
    <row r="295" spans="1:21" x14ac:dyDescent="0.3">
      <c r="A295" s="246" t="str">
        <f t="shared" si="12"/>
        <v>800_230_6_W</v>
      </c>
      <c r="B295" s="247">
        <v>42814</v>
      </c>
      <c r="C295" s="248" t="s">
        <v>248</v>
      </c>
      <c r="D295" s="249">
        <v>800</v>
      </c>
      <c r="E295" s="249">
        <v>230</v>
      </c>
      <c r="F295" s="249">
        <v>6</v>
      </c>
      <c r="G295" s="250">
        <f t="shared" si="11"/>
        <v>8.0461200000000002</v>
      </c>
      <c r="H295" s="249">
        <v>1</v>
      </c>
      <c r="I295" s="249" t="s">
        <v>249</v>
      </c>
      <c r="J295" s="251" t="s">
        <v>587</v>
      </c>
      <c r="K295" s="253" t="s">
        <v>586</v>
      </c>
      <c r="L295" s="253" t="s">
        <v>471</v>
      </c>
      <c r="M295" s="254" t="s">
        <v>584</v>
      </c>
      <c r="N295" s="255">
        <v>416</v>
      </c>
      <c r="O295" s="255">
        <v>15.13</v>
      </c>
      <c r="P295" s="255">
        <v>940</v>
      </c>
      <c r="Q295" s="255">
        <v>0.95</v>
      </c>
      <c r="R295" s="255">
        <v>89.9</v>
      </c>
      <c r="S295" s="246" t="str">
        <f t="shared" si="13"/>
        <v>K3G800-AQ06-19W</v>
      </c>
      <c r="T295" s="253"/>
      <c r="U295" s="253" t="s">
        <v>451</v>
      </c>
    </row>
    <row r="296" spans="1:21" x14ac:dyDescent="0.3">
      <c r="A296" s="246" t="str">
        <f t="shared" si="12"/>
        <v>900_460_6_W</v>
      </c>
      <c r="B296" s="247">
        <v>42583</v>
      </c>
      <c r="C296" s="248" t="s">
        <v>248</v>
      </c>
      <c r="D296" s="249">
        <v>900</v>
      </c>
      <c r="E296" s="249">
        <v>460</v>
      </c>
      <c r="F296" s="249">
        <v>6</v>
      </c>
      <c r="G296" s="250">
        <f t="shared" si="11"/>
        <v>8.0461200000000002</v>
      </c>
      <c r="H296" s="249">
        <v>0</v>
      </c>
      <c r="I296" s="249" t="s">
        <v>249</v>
      </c>
      <c r="J296" s="251" t="s">
        <v>452</v>
      </c>
      <c r="K296" s="253" t="s">
        <v>588</v>
      </c>
      <c r="L296" s="253" t="s">
        <v>469</v>
      </c>
      <c r="M296" s="254" t="s">
        <v>589</v>
      </c>
      <c r="N296" s="255">
        <v>473</v>
      </c>
      <c r="O296" s="255">
        <v>7.39</v>
      </c>
      <c r="P296" s="255">
        <v>800</v>
      </c>
      <c r="Q296" s="255">
        <v>0.94</v>
      </c>
      <c r="R296" s="255">
        <v>91.2</v>
      </c>
      <c r="S296" s="246" t="str">
        <f t="shared" si="13"/>
        <v>K3G900-AQ01-09W</v>
      </c>
      <c r="T296" s="253"/>
      <c r="U296" s="253" t="s">
        <v>455</v>
      </c>
    </row>
    <row r="297" spans="1:21" x14ac:dyDescent="0.3">
      <c r="A297" s="246" t="str">
        <f t="shared" si="12"/>
        <v>900_460_12_W</v>
      </c>
      <c r="B297" s="247">
        <v>42583</v>
      </c>
      <c r="C297" s="248" t="s">
        <v>248</v>
      </c>
      <c r="D297" s="249">
        <v>900</v>
      </c>
      <c r="E297" s="249">
        <v>460</v>
      </c>
      <c r="F297" s="249">
        <v>12</v>
      </c>
      <c r="G297" s="250">
        <f t="shared" si="11"/>
        <v>16.09224</v>
      </c>
      <c r="H297" s="249">
        <v>0</v>
      </c>
      <c r="I297" s="249" t="s">
        <v>249</v>
      </c>
      <c r="J297" s="251" t="s">
        <v>456</v>
      </c>
      <c r="K297" s="253" t="s">
        <v>590</v>
      </c>
      <c r="L297" s="253" t="s">
        <v>469</v>
      </c>
      <c r="M297" s="254" t="s">
        <v>591</v>
      </c>
      <c r="N297" s="255">
        <v>484</v>
      </c>
      <c r="O297" s="255">
        <v>11.74</v>
      </c>
      <c r="P297" s="255">
        <v>1050</v>
      </c>
      <c r="Q297" s="255">
        <v>0.93</v>
      </c>
      <c r="R297" s="255">
        <v>90.7</v>
      </c>
      <c r="S297" s="246" t="str">
        <f t="shared" si="13"/>
        <v>K3G900-AS08-01W</v>
      </c>
      <c r="T297" s="253"/>
      <c r="U297" s="253" t="s">
        <v>459</v>
      </c>
    </row>
    <row r="298" spans="1:21" x14ac:dyDescent="0.3">
      <c r="A298" s="246" t="str">
        <f t="shared" si="12"/>
        <v>900_460_6_W</v>
      </c>
      <c r="B298" s="247">
        <v>42583</v>
      </c>
      <c r="C298" s="248" t="s">
        <v>248</v>
      </c>
      <c r="D298" s="249">
        <v>900</v>
      </c>
      <c r="E298" s="249">
        <v>460</v>
      </c>
      <c r="F298" s="249">
        <v>6</v>
      </c>
      <c r="G298" s="250">
        <f t="shared" si="11"/>
        <v>8.0461200000000002</v>
      </c>
      <c r="H298" s="249">
        <v>1</v>
      </c>
      <c r="I298" s="249" t="s">
        <v>249</v>
      </c>
      <c r="J298" s="251" t="s">
        <v>460</v>
      </c>
      <c r="K298" s="253" t="s">
        <v>588</v>
      </c>
      <c r="L298" s="253" t="s">
        <v>471</v>
      </c>
      <c r="M298" s="254" t="s">
        <v>589</v>
      </c>
      <c r="N298" s="255">
        <v>473</v>
      </c>
      <c r="O298" s="255">
        <v>7.39</v>
      </c>
      <c r="P298" s="255">
        <v>800</v>
      </c>
      <c r="Q298" s="255">
        <v>0.94</v>
      </c>
      <c r="R298" s="255">
        <v>91.2</v>
      </c>
      <c r="S298" s="246" t="str">
        <f t="shared" si="13"/>
        <v>K3G900-AQ01-09W</v>
      </c>
      <c r="T298" s="253"/>
      <c r="U298" s="253" t="s">
        <v>455</v>
      </c>
    </row>
    <row r="299" spans="1:21" x14ac:dyDescent="0.3">
      <c r="A299" s="246" t="str">
        <f t="shared" si="12"/>
        <v>900_460_12_W</v>
      </c>
      <c r="B299" s="247">
        <v>42583</v>
      </c>
      <c r="C299" s="248" t="s">
        <v>248</v>
      </c>
      <c r="D299" s="249">
        <v>900</v>
      </c>
      <c r="E299" s="249">
        <v>460</v>
      </c>
      <c r="F299" s="249">
        <v>12</v>
      </c>
      <c r="G299" s="250">
        <f t="shared" si="11"/>
        <v>16.09224</v>
      </c>
      <c r="H299" s="249">
        <v>1</v>
      </c>
      <c r="I299" s="249" t="s">
        <v>249</v>
      </c>
      <c r="J299" s="251" t="s">
        <v>461</v>
      </c>
      <c r="K299" s="253" t="s">
        <v>590</v>
      </c>
      <c r="L299" s="253" t="s">
        <v>471</v>
      </c>
      <c r="M299" s="254" t="s">
        <v>591</v>
      </c>
      <c r="N299" s="255">
        <v>484</v>
      </c>
      <c r="O299" s="255">
        <v>11.74</v>
      </c>
      <c r="P299" s="255">
        <v>1050</v>
      </c>
      <c r="Q299" s="255">
        <v>0.93</v>
      </c>
      <c r="R299" s="255">
        <v>90.7</v>
      </c>
      <c r="S299" s="246" t="str">
        <f t="shared" si="13"/>
        <v>K3G900-AS08-01W</v>
      </c>
      <c r="T299" s="253"/>
      <c r="U299" s="253" t="s">
        <v>459</v>
      </c>
    </row>
    <row r="300" spans="1:21" x14ac:dyDescent="0.3">
      <c r="A300" s="246" t="str">
        <f t="shared" si="12"/>
        <v>900_208_6_W</v>
      </c>
      <c r="B300" s="247">
        <v>42583</v>
      </c>
      <c r="C300" s="248" t="s">
        <v>248</v>
      </c>
      <c r="D300" s="249">
        <v>900</v>
      </c>
      <c r="E300" s="249">
        <v>208</v>
      </c>
      <c r="F300" s="249">
        <v>6</v>
      </c>
      <c r="G300" s="250">
        <f t="shared" si="11"/>
        <v>8.0461200000000002</v>
      </c>
      <c r="H300" s="249">
        <v>0</v>
      </c>
      <c r="I300" s="249" t="s">
        <v>249</v>
      </c>
      <c r="J300" s="251" t="s">
        <v>462</v>
      </c>
      <c r="K300" s="253" t="s">
        <v>592</v>
      </c>
      <c r="L300" s="253" t="s">
        <v>469</v>
      </c>
      <c r="M300" s="254" t="s">
        <v>593</v>
      </c>
      <c r="N300" s="255">
        <v>473</v>
      </c>
      <c r="O300" s="255">
        <v>16.25</v>
      </c>
      <c r="P300" s="255">
        <v>780</v>
      </c>
      <c r="Q300" s="255">
        <v>0.95</v>
      </c>
      <c r="R300" s="255">
        <v>90.2</v>
      </c>
      <c r="S300" s="246" t="str">
        <f t="shared" si="13"/>
        <v>K3G900-AQ07-19W</v>
      </c>
      <c r="T300" s="253"/>
      <c r="U300" s="253" t="s">
        <v>465</v>
      </c>
    </row>
    <row r="301" spans="1:21" x14ac:dyDescent="0.3">
      <c r="A301" s="246" t="str">
        <f t="shared" si="12"/>
        <v>900_208_6_W</v>
      </c>
      <c r="B301" s="247">
        <v>42583</v>
      </c>
      <c r="C301" s="248" t="s">
        <v>248</v>
      </c>
      <c r="D301" s="249">
        <v>900</v>
      </c>
      <c r="E301" s="249">
        <v>208</v>
      </c>
      <c r="F301" s="249">
        <v>6</v>
      </c>
      <c r="G301" s="250">
        <f t="shared" si="11"/>
        <v>8.0461200000000002</v>
      </c>
      <c r="H301" s="249">
        <v>1</v>
      </c>
      <c r="I301" s="249" t="s">
        <v>249</v>
      </c>
      <c r="J301" s="251" t="s">
        <v>466</v>
      </c>
      <c r="K301" s="253" t="s">
        <v>592</v>
      </c>
      <c r="L301" s="253" t="s">
        <v>471</v>
      </c>
      <c r="M301" s="254" t="s">
        <v>593</v>
      </c>
      <c r="N301" s="255">
        <v>473</v>
      </c>
      <c r="O301" s="255">
        <v>16.25</v>
      </c>
      <c r="P301" s="255">
        <v>780</v>
      </c>
      <c r="Q301" s="255">
        <v>0.95</v>
      </c>
      <c r="R301" s="255">
        <v>90.2</v>
      </c>
      <c r="S301" s="246" t="str">
        <f t="shared" si="13"/>
        <v>K3G900-AQ07-19W</v>
      </c>
      <c r="T301" s="253"/>
      <c r="U301" s="253" t="s">
        <v>465</v>
      </c>
    </row>
    <row r="302" spans="1:21" x14ac:dyDescent="0.3">
      <c r="A302" s="246" t="str">
        <f t="shared" si="12"/>
        <v>900_230_6_W</v>
      </c>
      <c r="B302" s="247">
        <v>42814</v>
      </c>
      <c r="C302" s="248" t="s">
        <v>248</v>
      </c>
      <c r="D302" s="249">
        <v>900</v>
      </c>
      <c r="E302" s="249">
        <v>230</v>
      </c>
      <c r="F302" s="249">
        <v>6</v>
      </c>
      <c r="G302" s="250">
        <f t="shared" si="11"/>
        <v>8.0461200000000002</v>
      </c>
      <c r="H302" s="249">
        <v>0</v>
      </c>
      <c r="I302" s="249" t="s">
        <v>249</v>
      </c>
      <c r="J302" s="251" t="s">
        <v>594</v>
      </c>
      <c r="K302" s="253" t="s">
        <v>595</v>
      </c>
      <c r="L302" s="253" t="s">
        <v>469</v>
      </c>
      <c r="M302" s="254" t="s">
        <v>593</v>
      </c>
      <c r="N302" s="255">
        <v>473</v>
      </c>
      <c r="O302" s="255">
        <v>14.7</v>
      </c>
      <c r="P302" s="255">
        <v>780</v>
      </c>
      <c r="Q302" s="255">
        <v>0.95</v>
      </c>
      <c r="R302" s="255">
        <v>90.2</v>
      </c>
      <c r="S302" s="246" t="str">
        <f t="shared" si="13"/>
        <v>K3G900-AQ07-19W</v>
      </c>
      <c r="T302" s="253"/>
      <c r="U302" s="253" t="s">
        <v>467</v>
      </c>
    </row>
    <row r="303" spans="1:21" x14ac:dyDescent="0.3">
      <c r="A303" s="246" t="str">
        <f t="shared" si="12"/>
        <v>900_230_6_W</v>
      </c>
      <c r="B303" s="247">
        <v>42814</v>
      </c>
      <c r="C303" s="248" t="s">
        <v>248</v>
      </c>
      <c r="D303" s="249">
        <v>900</v>
      </c>
      <c r="E303" s="249">
        <v>230</v>
      </c>
      <c r="F303" s="249">
        <v>6</v>
      </c>
      <c r="G303" s="250">
        <f t="shared" si="11"/>
        <v>8.0461200000000002</v>
      </c>
      <c r="H303" s="249">
        <v>1</v>
      </c>
      <c r="I303" s="249" t="s">
        <v>249</v>
      </c>
      <c r="J303" s="251" t="s">
        <v>596</v>
      </c>
      <c r="K303" s="253" t="s">
        <v>595</v>
      </c>
      <c r="L303" s="253" t="s">
        <v>471</v>
      </c>
      <c r="M303" s="254" t="s">
        <v>593</v>
      </c>
      <c r="N303" s="255">
        <v>473</v>
      </c>
      <c r="O303" s="255">
        <v>14.7</v>
      </c>
      <c r="P303" s="255">
        <v>780</v>
      </c>
      <c r="Q303" s="255">
        <v>0.95</v>
      </c>
      <c r="R303" s="255">
        <v>90.2</v>
      </c>
      <c r="S303" s="246" t="str">
        <f t="shared" si="13"/>
        <v>K3G900-AQ07-19W</v>
      </c>
      <c r="T303" s="253"/>
      <c r="U303" s="253" t="s">
        <v>467</v>
      </c>
    </row>
  </sheetData>
  <autoFilter ref="A15:U303" xr:uid="{FF5DDF67-8BB5-424C-A0FE-0B47AC614DDF}"/>
  <mergeCells count="4">
    <mergeCell ref="B1:D1"/>
    <mergeCell ref="G1:H1"/>
    <mergeCell ref="K1:L1"/>
    <mergeCell ref="B2:I3"/>
  </mergeCells>
  <conditionalFormatting sqref="J194:J303">
    <cfRule type="duplicateValues" dxfId="0" priority="1"/>
  </conditionalFormatting>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A63DF-F346-4768-BC15-BD665C63A83A}">
  <dimension ref="B1:K73"/>
  <sheetViews>
    <sheetView zoomScale="85" zoomScaleNormal="85" workbookViewId="0">
      <selection activeCell="C19" sqref="C19"/>
    </sheetView>
  </sheetViews>
  <sheetFormatPr defaultRowHeight="14.4" x14ac:dyDescent="0.3"/>
  <cols>
    <col min="1" max="1" width="1" customWidth="1"/>
    <col min="2" max="2" width="22.33203125" customWidth="1"/>
    <col min="3" max="6" width="18.77734375" customWidth="1"/>
    <col min="9" max="9" width="66.21875" bestFit="1" customWidth="1"/>
    <col min="11" max="11" width="77.21875" bestFit="1" customWidth="1"/>
  </cols>
  <sheetData>
    <row r="1" spans="2:11" ht="6" customHeight="1" thickBot="1" x14ac:dyDescent="0.35">
      <c r="B1" s="496"/>
      <c r="C1" s="496"/>
      <c r="D1" s="496"/>
      <c r="E1" s="496"/>
      <c r="F1" s="496"/>
      <c r="G1" s="496"/>
      <c r="H1" s="496"/>
      <c r="I1" s="496"/>
      <c r="J1" s="496"/>
      <c r="K1" s="496"/>
    </row>
    <row r="2" spans="2:11" x14ac:dyDescent="0.3">
      <c r="B2" s="610" t="s">
        <v>1902</v>
      </c>
      <c r="C2" s="611"/>
      <c r="D2" s="611"/>
      <c r="E2" s="611"/>
      <c r="F2" s="611"/>
      <c r="G2" s="612"/>
      <c r="H2" s="501"/>
      <c r="I2" s="496"/>
      <c r="J2" s="496"/>
      <c r="K2" s="496"/>
    </row>
    <row r="3" spans="2:11" ht="15" thickBot="1" x14ac:dyDescent="0.35">
      <c r="B3" s="613"/>
      <c r="C3" s="614"/>
      <c r="D3" s="614"/>
      <c r="E3" s="614"/>
      <c r="F3" s="614"/>
      <c r="G3" s="615"/>
      <c r="H3" s="501"/>
      <c r="I3" s="496"/>
      <c r="J3" s="496"/>
      <c r="K3" s="496"/>
    </row>
    <row r="4" spans="2:11" ht="15" thickBot="1" x14ac:dyDescent="0.35">
      <c r="B4" s="502"/>
      <c r="C4" s="502"/>
      <c r="D4" s="502"/>
      <c r="E4" s="502"/>
      <c r="F4" s="502"/>
      <c r="G4" s="502"/>
      <c r="H4" s="502"/>
      <c r="I4" s="496"/>
      <c r="J4" s="496"/>
      <c r="K4" s="496"/>
    </row>
    <row r="5" spans="2:11" ht="15" thickBot="1" x14ac:dyDescent="0.35">
      <c r="B5" s="529" t="s">
        <v>1903</v>
      </c>
      <c r="C5" s="529" t="s">
        <v>1904</v>
      </c>
      <c r="D5" s="529" t="s">
        <v>1905</v>
      </c>
      <c r="E5" s="529" t="s">
        <v>1906</v>
      </c>
      <c r="F5" s="530" t="s">
        <v>1907</v>
      </c>
      <c r="G5" s="616" t="s">
        <v>1908</v>
      </c>
      <c r="H5" s="546"/>
      <c r="I5" s="506"/>
      <c r="J5" s="496"/>
      <c r="K5" s="496"/>
    </row>
    <row r="6" spans="2:11" ht="15" customHeight="1" thickTop="1" x14ac:dyDescent="0.3">
      <c r="B6" s="531" t="s">
        <v>1909</v>
      </c>
      <c r="C6" s="534">
        <f>IF('Excel Calc'!F9&gt;=144,0,'Excel Calc'!B17-('Excel Calc'!V8/2)-('Excel Calc'!F7)+'Excel Calc'!F22)</f>
        <v>0</v>
      </c>
      <c r="D6" s="524">
        <f>IF(C6=0,0,'Excel Calc'!F6+'Excel Calc'!F20)</f>
        <v>0</v>
      </c>
      <c r="E6" s="524">
        <f>IF(C6=0,0,'Excel Calc'!F23)</f>
        <v>0</v>
      </c>
      <c r="F6" s="525">
        <f>IF(C6=0,0,'Excel Calc'!F21)</f>
        <v>0</v>
      </c>
      <c r="G6" s="617"/>
      <c r="H6" s="616" t="s">
        <v>1974</v>
      </c>
      <c r="I6" s="543" t="s">
        <v>1975</v>
      </c>
      <c r="J6" s="627"/>
      <c r="K6" s="623"/>
    </row>
    <row r="7" spans="2:11" x14ac:dyDescent="0.3">
      <c r="B7" s="532" t="s">
        <v>1910</v>
      </c>
      <c r="C7" s="535">
        <f>IF('Excel Calc'!F9&gt;=144,0,'Excel Calc'!B17-('Excel Calc'!V8/2)-'Excel Calc'!F19)</f>
        <v>0</v>
      </c>
      <c r="D7" s="523">
        <f>IF(C7=0,0,'Excel Calc'!F6+'Excel Calc'!F20)</f>
        <v>0</v>
      </c>
      <c r="E7" s="523">
        <f>IF(C7=0,0,'Excel Calc'!F23)</f>
        <v>0</v>
      </c>
      <c r="F7" s="526">
        <f>IF(C7=0,0,'Excel Calc'!F21)</f>
        <v>0</v>
      </c>
      <c r="G7" s="617"/>
      <c r="H7" s="621"/>
      <c r="I7" s="544" t="s">
        <v>1976</v>
      </c>
      <c r="J7" s="628"/>
      <c r="K7" s="624"/>
    </row>
    <row r="8" spans="2:11" x14ac:dyDescent="0.3">
      <c r="B8" s="532" t="s">
        <v>1911</v>
      </c>
      <c r="C8" s="535">
        <f>IF('Excel Calc'!F9&gt;=144,0,'Excel Calc'!B17+('Excel Calc'!V8/2)+'Excel Calc'!F19)</f>
        <v>0</v>
      </c>
      <c r="D8" s="523">
        <f>IF(C8=0,0,'Excel Calc'!F6+'Excel Calc'!F20)</f>
        <v>0</v>
      </c>
      <c r="E8" s="523">
        <f>IF(C8=0,0,'Excel Calc'!F23)</f>
        <v>0</v>
      </c>
      <c r="F8" s="526">
        <f>IF(C8=0,0,'Excel Calc'!F21)</f>
        <v>0</v>
      </c>
      <c r="G8" s="617"/>
      <c r="H8" s="621"/>
      <c r="I8" s="545" t="s">
        <v>1981</v>
      </c>
      <c r="J8" s="628"/>
      <c r="K8" s="625"/>
    </row>
    <row r="9" spans="2:11" ht="15" thickBot="1" x14ac:dyDescent="0.35">
      <c r="B9" s="533" t="s">
        <v>1912</v>
      </c>
      <c r="C9" s="536">
        <f>IF('Excel Calc'!F9&gt;=144,0,IF(FANSARRAY=1,'Excel Calc'!B17+('Excel Calc'!V8/2)+('Excel Calc'!F7)-'Excel Calc'!F22,'Excel Calc'!B17+('Excel Calc'!V8/2)+('Excel Calc'!F8)-'Excel Calc'!F22))</f>
        <v>0</v>
      </c>
      <c r="D9" s="527">
        <f>IF(C9=0,0,'Excel Calc'!F6+'Excel Calc'!F20)</f>
        <v>0</v>
      </c>
      <c r="E9" s="527">
        <f>IF(C9=0,0,'Excel Calc'!F23)</f>
        <v>0</v>
      </c>
      <c r="F9" s="528">
        <f>IF(C9=0,0,'Excel Calc'!F21)</f>
        <v>0</v>
      </c>
      <c r="G9" s="617"/>
      <c r="H9" s="621"/>
      <c r="I9" s="545" t="s">
        <v>1982</v>
      </c>
      <c r="J9" s="627"/>
      <c r="K9" s="626"/>
    </row>
    <row r="10" spans="2:11" x14ac:dyDescent="0.3">
      <c r="B10" s="504" t="s">
        <v>1913</v>
      </c>
      <c r="C10" s="553">
        <f>IF('Excel Calc'!F9&gt;=144,0,IF(FANSARRAY=1,0,'Excel Calc'!B17+'Excel Calc'!B14-('Excel Calc'!V8/2)-('Excel Calc'!F8)+'Excel Calc'!F22))</f>
        <v>0</v>
      </c>
      <c r="D10" s="524">
        <f>IF(C10=0,0,'Excel Calc'!F6+'Excel Calc'!F20)</f>
        <v>0</v>
      </c>
      <c r="E10" s="524">
        <f>IF(C10=0,0,'Excel Calc'!F23)</f>
        <v>0</v>
      </c>
      <c r="F10" s="525">
        <f>IF(C10=0,0,'Excel Calc'!F21)</f>
        <v>0</v>
      </c>
      <c r="G10" s="617"/>
      <c r="H10" s="621"/>
      <c r="I10" s="547" t="s">
        <v>1977</v>
      </c>
      <c r="J10" s="628"/>
    </row>
    <row r="11" spans="2:11" x14ac:dyDescent="0.3">
      <c r="B11" s="508" t="s">
        <v>1914</v>
      </c>
      <c r="C11" s="554">
        <f>IF('Excel Calc'!F9&gt;=144,0,IF(FANSARRAY=1,0,'Excel Calc'!B17+'Excel Calc'!B14-('Excel Calc'!V8/2)-'Excel Calc'!F19))</f>
        <v>0</v>
      </c>
      <c r="D11" s="523">
        <f>IF(C11=0,0,'Excel Calc'!F6+'Excel Calc'!F20)</f>
        <v>0</v>
      </c>
      <c r="E11" s="523">
        <f>IF(C11=0,0,'Excel Calc'!F23)</f>
        <v>0</v>
      </c>
      <c r="F11" s="526">
        <f>IF(C11=0,0,'Excel Calc'!F21)</f>
        <v>0</v>
      </c>
      <c r="G11" s="617"/>
      <c r="H11" s="621"/>
      <c r="I11" s="548" t="s">
        <v>1978</v>
      </c>
      <c r="J11" s="628"/>
    </row>
    <row r="12" spans="2:11" x14ac:dyDescent="0.3">
      <c r="B12" s="508" t="s">
        <v>1915</v>
      </c>
      <c r="C12" s="554">
        <f>IF('Excel Calc'!F9&gt;=144,0,IF(FANSARRAY=1,0,'Excel Calc'!B17+'Excel Calc'!B14+('Excel Calc'!V8/2)+'Excel Calc'!F19))</f>
        <v>0</v>
      </c>
      <c r="D12" s="523">
        <f>IF(C12=0,0,'Excel Calc'!F6+'Excel Calc'!F20)</f>
        <v>0</v>
      </c>
      <c r="E12" s="523">
        <f>IF(C12=0,0,'Excel Calc'!F23)</f>
        <v>0</v>
      </c>
      <c r="F12" s="526">
        <f>IF(C12=0,0,'Excel Calc'!F21)</f>
        <v>0</v>
      </c>
      <c r="G12" s="617"/>
      <c r="H12" s="621"/>
      <c r="I12" s="548" t="s">
        <v>1979</v>
      </c>
      <c r="J12" s="628"/>
      <c r="K12" s="512"/>
    </row>
    <row r="13" spans="2:11" ht="15" thickBot="1" x14ac:dyDescent="0.35">
      <c r="B13" s="520" t="s">
        <v>1916</v>
      </c>
      <c r="C13" s="555">
        <f>IF('Excel Calc'!F9&gt;=144,0,IF(FANSARRAY=1,0,'Excel Calc'!B17+'Excel Calc'!B14+('Excel Calc'!V8/2)+'Excel Calc'!F7-'Excel Calc'!F22))</f>
        <v>0</v>
      </c>
      <c r="D13" s="527">
        <f>IF(C13=0,0,'Excel Calc'!F6+'Excel Calc'!F20)</f>
        <v>0</v>
      </c>
      <c r="E13" s="527">
        <f>IF(C13=0,0,'Excel Calc'!F23)</f>
        <v>0</v>
      </c>
      <c r="F13" s="528">
        <f>IF(C13=0,0,'Excel Calc'!F21)</f>
        <v>0</v>
      </c>
      <c r="G13" s="617"/>
      <c r="H13" s="622"/>
      <c r="I13" s="549" t="s">
        <v>1980</v>
      </c>
      <c r="J13" s="628"/>
    </row>
    <row r="14" spans="2:11" ht="14.4" customHeight="1" x14ac:dyDescent="0.3">
      <c r="B14" s="504" t="s">
        <v>1917</v>
      </c>
      <c r="C14" s="538">
        <f>IF('Excel Calc'!F9&lt;144,0,'Excel Calc'!B17-('Excel Calc'!V8/2)-('Excel Calc'!F7)+'Excel Calc'!F22)</f>
        <v>3.5625</v>
      </c>
      <c r="D14" s="524">
        <f>IF(C14=0,0,'Excel Calc'!F6+'Excel Calc'!F20)</f>
        <v>4</v>
      </c>
      <c r="E14" s="524">
        <f>IF(C14=0,0,'Excel Calc'!F53)</f>
        <v>6</v>
      </c>
      <c r="F14" s="525">
        <f>IF(C14=0,0,'Excel Calc'!F54)</f>
        <v>15</v>
      </c>
      <c r="G14" s="617"/>
      <c r="H14" s="616" t="s">
        <v>1983</v>
      </c>
      <c r="I14" s="543" t="s">
        <v>1984</v>
      </c>
      <c r="J14" s="628"/>
    </row>
    <row r="15" spans="2:11" x14ac:dyDescent="0.3">
      <c r="B15" s="508" t="s">
        <v>1918</v>
      </c>
      <c r="C15" s="537">
        <f>IF('Excel Calc'!F9&lt;144,0,'Excel Calc'!B17-('Excel Calc'!V8/2)-'Excel Calc'!F19)</f>
        <v>5.0625</v>
      </c>
      <c r="D15" s="523">
        <f>IF(C15=0,0,'Excel Calc'!F6+'Excel Calc'!F20)</f>
        <v>4</v>
      </c>
      <c r="E15" s="523">
        <f>IF(C15=0,0,'Excel Calc'!F53)</f>
        <v>6</v>
      </c>
      <c r="F15" s="526">
        <f>IF(C15=0,0,'Excel Calc'!F54)</f>
        <v>15</v>
      </c>
      <c r="G15" s="617"/>
      <c r="H15" s="621"/>
      <c r="I15" s="544" t="s">
        <v>1985</v>
      </c>
      <c r="J15" s="628"/>
    </row>
    <row r="16" spans="2:11" x14ac:dyDescent="0.3">
      <c r="B16" s="508" t="s">
        <v>1919</v>
      </c>
      <c r="C16" s="537">
        <f>IF('Excel Calc'!F9&lt;144,0,'Excel Calc'!B17+('Excel Calc'!V8/2)+'Excel Calc'!F19)</f>
        <v>32.9375</v>
      </c>
      <c r="D16" s="523">
        <f>IF(C16=0,0,'Excel Calc'!F6+'Excel Calc'!F20)</f>
        <v>4</v>
      </c>
      <c r="E16" s="523">
        <f>IF(C16=0,0,'Excel Calc'!F53)</f>
        <v>6</v>
      </c>
      <c r="F16" s="526">
        <f>IF(C16=0,0,'Excel Calc'!F54)</f>
        <v>15</v>
      </c>
      <c r="G16" s="617"/>
      <c r="H16" s="621"/>
      <c r="I16" s="545" t="s">
        <v>1986</v>
      </c>
      <c r="J16" s="628"/>
      <c r="K16" s="512"/>
    </row>
    <row r="17" spans="2:11" ht="15" thickBot="1" x14ac:dyDescent="0.35">
      <c r="B17" s="520" t="s">
        <v>1920</v>
      </c>
      <c r="C17" s="539">
        <f>IF('Excel Calc'!F9&lt;144,0,IF(FANSARRAY=1,'Excel Calc'!B17+('Excel Calc'!V8/2)+('Excel Calc'!F7)-'Excel Calc'!F22,'Excel Calc'!B17+('Excel Calc'!V8/2)+('Excel Calc'!F8)-'Excel Calc'!F22))</f>
        <v>38.9375</v>
      </c>
      <c r="D17" s="527">
        <f>IF(C17=0,0,'Excel Calc'!F6+'Excel Calc'!F20)</f>
        <v>4</v>
      </c>
      <c r="E17" s="527">
        <f>IF(C17=0,0,'Excel Calc'!F53)</f>
        <v>6</v>
      </c>
      <c r="F17" s="528">
        <f>IF(C17=0,0,'Excel Calc'!F54)</f>
        <v>15</v>
      </c>
      <c r="G17" s="617"/>
      <c r="H17" s="621"/>
      <c r="I17" s="545" t="s">
        <v>1987</v>
      </c>
      <c r="J17" s="628"/>
      <c r="K17" s="512"/>
    </row>
    <row r="18" spans="2:11" x14ac:dyDescent="0.3">
      <c r="B18" s="504" t="s">
        <v>1921</v>
      </c>
      <c r="C18" s="553">
        <f>IF('Excel Calc'!F9&lt;144,0,IF(FANSARRAY=1,0,'Excel Calc'!B17+'Excel Calc'!B14-('Excel Calc'!V8/2)-('Excel Calc'!F8)+'Excel Calc'!F22))</f>
        <v>41.0625</v>
      </c>
      <c r="D18" s="524">
        <f>IF(C18=0,0,'Excel Calc'!F6+'Excel Calc'!F20)</f>
        <v>4</v>
      </c>
      <c r="E18" s="524">
        <f>IF(C18=0,0,'Excel Calc'!F53)</f>
        <v>6</v>
      </c>
      <c r="F18" s="525">
        <f>IF(C18=0,0,'Excel Calc'!F54)</f>
        <v>15</v>
      </c>
      <c r="G18" s="617"/>
      <c r="H18" s="621"/>
      <c r="I18" s="547" t="s">
        <v>1988</v>
      </c>
      <c r="J18" s="628"/>
      <c r="K18" s="512"/>
    </row>
    <row r="19" spans="2:11" x14ac:dyDescent="0.3">
      <c r="B19" s="508" t="s">
        <v>1922</v>
      </c>
      <c r="C19" s="554">
        <f>IF('Excel Calc'!F9&lt;144,0,IF(FANSARRAY=1,0,'Excel Calc'!B17+'Excel Calc'!B14-('Excel Calc'!V8/2)-'Excel Calc'!F19))</f>
        <v>47.0625</v>
      </c>
      <c r="D19" s="523">
        <f>IF(C19=0,0,'Excel Calc'!F6+'Excel Calc'!F20)</f>
        <v>4</v>
      </c>
      <c r="E19" s="523">
        <f>IF(C19=0,0,'Excel Calc'!F53)</f>
        <v>6</v>
      </c>
      <c r="F19" s="526">
        <f>IF(C19=0,0,'Excel Calc'!F54)</f>
        <v>15</v>
      </c>
      <c r="G19" s="617"/>
      <c r="H19" s="621"/>
      <c r="I19" s="548" t="s">
        <v>1989</v>
      </c>
      <c r="J19" s="628"/>
      <c r="K19" s="512"/>
    </row>
    <row r="20" spans="2:11" x14ac:dyDescent="0.3">
      <c r="B20" s="508" t="s">
        <v>1923</v>
      </c>
      <c r="C20" s="554">
        <f>IF('Excel Calc'!F9&lt;144,0,IF(FANSARRAY=1,0,'Excel Calc'!B17+'Excel Calc'!B14+('Excel Calc'!V8/2)+'Excel Calc'!F19))</f>
        <v>74.9375</v>
      </c>
      <c r="D20" s="523">
        <f>IF(C20=0,0,'Excel Calc'!F6+'Excel Calc'!F20)</f>
        <v>4</v>
      </c>
      <c r="E20" s="523">
        <f>IF(C20=0,0,'Excel Calc'!F53)</f>
        <v>6</v>
      </c>
      <c r="F20" s="526">
        <f>IF(C20=0,0,'Excel Calc'!F54)</f>
        <v>15</v>
      </c>
      <c r="G20" s="617"/>
      <c r="H20" s="621"/>
      <c r="I20" s="548" t="s">
        <v>1990</v>
      </c>
      <c r="J20" s="628"/>
      <c r="K20" s="512"/>
    </row>
    <row r="21" spans="2:11" ht="15" thickBot="1" x14ac:dyDescent="0.35">
      <c r="B21" s="520" t="s">
        <v>1924</v>
      </c>
      <c r="C21" s="555">
        <f>IF('Excel Calc'!F9&lt;144,0,IF(FANSARRAY=1,0,'Excel Calc'!B17+'Excel Calc'!B14+('Excel Calc'!V8/2)+'Excel Calc'!F7-'Excel Calc'!F22))</f>
        <v>76.4375</v>
      </c>
      <c r="D21" s="527">
        <f>IF(C21=0,0,'Excel Calc'!F6+'Excel Calc'!F20)</f>
        <v>4</v>
      </c>
      <c r="E21" s="527">
        <f>IF(C21=0,0,'Excel Calc'!F53)</f>
        <v>6</v>
      </c>
      <c r="F21" s="528">
        <f>IF(C21=0,0,'Excel Calc'!F54)</f>
        <v>15</v>
      </c>
      <c r="G21" s="619"/>
      <c r="H21" s="621"/>
      <c r="I21" s="549" t="s">
        <v>1991</v>
      </c>
      <c r="J21" s="495"/>
      <c r="K21" s="512"/>
    </row>
    <row r="22" spans="2:11" x14ac:dyDescent="0.3">
      <c r="B22" s="504" t="s">
        <v>1925</v>
      </c>
      <c r="C22" s="538">
        <f>IF('Excel Calc'!F9&lt;144,0,'Excel Calc'!B17-('Excel Calc'!V8/2)-('Excel Calc'!F7)+'Excel Calc'!F22)</f>
        <v>3.5625</v>
      </c>
      <c r="D22" s="524">
        <f>IF(C22=0,0,'Excel Calc'!F58+'Excel Calc'!F20)</f>
        <v>82</v>
      </c>
      <c r="E22" s="524">
        <f>IF(C22=0,0,'Excel Calc'!F56)</f>
        <v>6</v>
      </c>
      <c r="F22" s="525">
        <f>IF(C22=0,0,'Excel Calc'!F57)</f>
        <v>14.8</v>
      </c>
      <c r="G22" s="619"/>
      <c r="H22" s="621"/>
      <c r="I22" s="543" t="s">
        <v>1992</v>
      </c>
      <c r="J22" s="495"/>
      <c r="K22" s="512"/>
    </row>
    <row r="23" spans="2:11" x14ac:dyDescent="0.3">
      <c r="B23" s="508" t="s">
        <v>1926</v>
      </c>
      <c r="C23" s="537">
        <f>IF('Excel Calc'!F9&lt;144,0,'Excel Calc'!B17-('Excel Calc'!V8/2)-'Excel Calc'!F19)</f>
        <v>5.0625</v>
      </c>
      <c r="D23" s="523">
        <f>IF(C23=0,0,'Excel Calc'!F58+'Excel Calc'!F20)</f>
        <v>82</v>
      </c>
      <c r="E23" s="523">
        <f>IF(C23=0,0,'Excel Calc'!F56)</f>
        <v>6</v>
      </c>
      <c r="F23" s="526">
        <f>IF(C23=0,0,'Excel Calc'!F57)</f>
        <v>14.8</v>
      </c>
      <c r="G23" s="619"/>
      <c r="H23" s="621"/>
      <c r="I23" s="544" t="s">
        <v>1993</v>
      </c>
      <c r="J23" s="495"/>
      <c r="K23" s="512"/>
    </row>
    <row r="24" spans="2:11" x14ac:dyDescent="0.3">
      <c r="B24" s="508" t="s">
        <v>1927</v>
      </c>
      <c r="C24" s="537">
        <f>IF('Excel Calc'!F9&lt;144,0,'Excel Calc'!B17+('Excel Calc'!V8/2)+'Excel Calc'!F19)</f>
        <v>32.9375</v>
      </c>
      <c r="D24" s="523">
        <f>IF(C24=0,0,'Excel Calc'!F58+'Excel Calc'!F20)</f>
        <v>82</v>
      </c>
      <c r="E24" s="523">
        <f>IF(C24=0,0,'Excel Calc'!F56)</f>
        <v>6</v>
      </c>
      <c r="F24" s="526">
        <f>IF(C24=0,0,'Excel Calc'!F57)</f>
        <v>14.8</v>
      </c>
      <c r="G24" s="619"/>
      <c r="H24" s="621"/>
      <c r="I24" s="545" t="s">
        <v>1994</v>
      </c>
      <c r="J24" s="495"/>
      <c r="K24" s="512"/>
    </row>
    <row r="25" spans="2:11" ht="15" thickBot="1" x14ac:dyDescent="0.35">
      <c r="B25" s="550" t="s">
        <v>1928</v>
      </c>
      <c r="C25" s="539">
        <f>IF('Excel Calc'!F9&lt;144,0,IF(FANSARRAY=1,'Excel Calc'!B17+('Excel Calc'!V8/2)+('Excel Calc'!F7)-'Excel Calc'!F22,'Excel Calc'!B17+('Excel Calc'!V8/2)+('Excel Calc'!F8)-'Excel Calc'!F22))</f>
        <v>38.9375</v>
      </c>
      <c r="D25" s="527">
        <f>IF(C25=0,0,'Excel Calc'!F58+'Excel Calc'!F20)</f>
        <v>82</v>
      </c>
      <c r="E25" s="527">
        <f>IF(C25=0,0,'Excel Calc'!F56)</f>
        <v>6</v>
      </c>
      <c r="F25" s="528">
        <f>IF(C25=0,0,'Excel Calc'!F57)</f>
        <v>14.8</v>
      </c>
      <c r="G25" s="619"/>
      <c r="H25" s="621"/>
      <c r="I25" s="545" t="s">
        <v>1995</v>
      </c>
      <c r="J25" s="495"/>
      <c r="K25" s="512"/>
    </row>
    <row r="26" spans="2:11" x14ac:dyDescent="0.3">
      <c r="B26" s="504" t="s">
        <v>1970</v>
      </c>
      <c r="C26" s="556">
        <f>IF('Excel Calc'!F9&lt;144,0,IF(FANSARRAY=1,0,'Excel Calc'!B17+'Excel Calc'!B14-('Excel Calc'!V8/2)-('Excel Calc'!F8)+'Excel Calc'!F22))</f>
        <v>41.0625</v>
      </c>
      <c r="D26" s="551">
        <f>IF(C26=0,0,'Excel Calc'!F58+'Excel Calc'!F20)</f>
        <v>82</v>
      </c>
      <c r="E26" s="551">
        <f>IF(C26=0,0,'Excel Calc'!F56)</f>
        <v>6</v>
      </c>
      <c r="F26" s="552">
        <f>IF(C26=0,0,'Excel Calc'!F57)</f>
        <v>14.8</v>
      </c>
      <c r="G26" s="619"/>
      <c r="H26" s="621"/>
      <c r="I26" s="547" t="s">
        <v>1996</v>
      </c>
      <c r="J26" s="495"/>
      <c r="K26" s="512"/>
    </row>
    <row r="27" spans="2:11" x14ac:dyDescent="0.3">
      <c r="B27" s="508" t="s">
        <v>1971</v>
      </c>
      <c r="C27" s="557">
        <f>IF('Excel Calc'!F9&lt;144,0,IF(FANSARRAY=1,0,'Excel Calc'!B17+'Excel Calc'!B14-('Excel Calc'!V8/2)-'Excel Calc'!F19))</f>
        <v>47.0625</v>
      </c>
      <c r="D27" s="540">
        <f>IF(C27=0,0,'Excel Calc'!F58+'Excel Calc'!F20)</f>
        <v>82</v>
      </c>
      <c r="E27" s="540">
        <f>IF(C27=0,0,'Excel Calc'!F56)</f>
        <v>6</v>
      </c>
      <c r="F27" s="541">
        <f>IF(C27=0,0,'Excel Calc'!F57)</f>
        <v>14.8</v>
      </c>
      <c r="G27" s="619"/>
      <c r="H27" s="621"/>
      <c r="I27" s="548" t="s">
        <v>1997</v>
      </c>
      <c r="J27" s="495"/>
      <c r="K27" s="512"/>
    </row>
    <row r="28" spans="2:11" x14ac:dyDescent="0.3">
      <c r="B28" s="508" t="s">
        <v>1972</v>
      </c>
      <c r="C28" s="557">
        <f>IF('Excel Calc'!F9&lt;144,0,IF(FANSARRAY=1,0,'Excel Calc'!B17+'Excel Calc'!B14+('Excel Calc'!V8/2)+'Excel Calc'!F19))</f>
        <v>74.9375</v>
      </c>
      <c r="D28" s="540">
        <f>IF(C28=0,0,'Excel Calc'!F58+'Excel Calc'!F20)</f>
        <v>82</v>
      </c>
      <c r="E28" s="540">
        <f>IF(C28=0,0,'Excel Calc'!F56)</f>
        <v>6</v>
      </c>
      <c r="F28" s="541">
        <f>IF(C28=0,0,'Excel Calc'!F57)</f>
        <v>14.8</v>
      </c>
      <c r="G28" s="619"/>
      <c r="H28" s="621"/>
      <c r="I28" s="548" t="s">
        <v>1998</v>
      </c>
      <c r="J28" s="495"/>
      <c r="K28" s="512"/>
    </row>
    <row r="29" spans="2:11" ht="15" thickBot="1" x14ac:dyDescent="0.35">
      <c r="B29" s="520" t="s">
        <v>1973</v>
      </c>
      <c r="C29" s="555">
        <f>IF('Excel Calc'!F9&lt;144,0,IF(FANSARRAY=1,0,'Excel Calc'!B17+'Excel Calc'!B14+('Excel Calc'!V8/2)+'Excel Calc'!F7-'Excel Calc'!F22))</f>
        <v>76.4375</v>
      </c>
      <c r="D29" s="527">
        <f>IF(C29=0,0,'Excel Calc'!F58+'Excel Calc'!F20)</f>
        <v>82</v>
      </c>
      <c r="E29" s="527">
        <f>IF(C29=0,0,'Excel Calc'!F56)</f>
        <v>6</v>
      </c>
      <c r="F29" s="528">
        <f>IF(C29=0,0,'Excel Calc'!F57)</f>
        <v>14.8</v>
      </c>
      <c r="G29" s="620"/>
      <c r="H29" s="622"/>
      <c r="I29" s="549" t="s">
        <v>1999</v>
      </c>
      <c r="J29" s="495"/>
      <c r="K29" s="496"/>
    </row>
    <row r="30" spans="2:11" ht="15" thickBot="1" x14ac:dyDescent="0.35">
      <c r="B30" s="521"/>
      <c r="C30" s="522"/>
      <c r="D30" s="522"/>
      <c r="E30" s="522"/>
      <c r="F30" s="522"/>
      <c r="G30" s="513"/>
      <c r="H30" s="518"/>
      <c r="I30" s="501"/>
      <c r="J30" s="496"/>
      <c r="K30" s="496"/>
    </row>
    <row r="31" spans="2:11" ht="15" thickBot="1" x14ac:dyDescent="0.35">
      <c r="B31" s="499" t="s">
        <v>1903</v>
      </c>
      <c r="C31" s="499" t="s">
        <v>1904</v>
      </c>
      <c r="D31" s="499" t="s">
        <v>1905</v>
      </c>
      <c r="E31" s="499" t="s">
        <v>1906</v>
      </c>
      <c r="F31" s="516" t="s">
        <v>1907</v>
      </c>
      <c r="G31" s="616" t="s">
        <v>1929</v>
      </c>
      <c r="H31" s="542"/>
      <c r="I31" s="501"/>
      <c r="J31" s="496"/>
      <c r="K31" s="496"/>
    </row>
    <row r="32" spans="2:11" x14ac:dyDescent="0.3">
      <c r="B32" s="504" t="s">
        <v>1930</v>
      </c>
      <c r="C32" s="498">
        <v>0</v>
      </c>
      <c r="D32" s="498">
        <v>0</v>
      </c>
      <c r="E32" s="498">
        <v>0</v>
      </c>
      <c r="F32" s="514">
        <v>0</v>
      </c>
      <c r="G32" s="617"/>
      <c r="H32" s="502"/>
      <c r="I32" s="506" t="s">
        <v>1490</v>
      </c>
      <c r="J32" s="496"/>
      <c r="K32" s="496"/>
    </row>
    <row r="33" spans="2:11" x14ac:dyDescent="0.3">
      <c r="B33" s="508" t="s">
        <v>1931</v>
      </c>
      <c r="C33" s="497">
        <v>0</v>
      </c>
      <c r="D33" s="497">
        <v>0</v>
      </c>
      <c r="E33" s="497">
        <v>0</v>
      </c>
      <c r="F33" s="519">
        <v>0</v>
      </c>
      <c r="G33" s="617"/>
      <c r="H33" s="502"/>
      <c r="I33" s="506" t="s">
        <v>1490</v>
      </c>
      <c r="J33" s="496"/>
      <c r="K33" s="496"/>
    </row>
    <row r="34" spans="2:11" x14ac:dyDescent="0.3">
      <c r="B34" s="508" t="s">
        <v>1932</v>
      </c>
      <c r="C34" s="497">
        <v>0</v>
      </c>
      <c r="D34" s="497">
        <v>0</v>
      </c>
      <c r="E34" s="497">
        <v>0</v>
      </c>
      <c r="F34" s="519">
        <v>0</v>
      </c>
      <c r="G34" s="617"/>
      <c r="H34" s="502"/>
      <c r="I34" s="506" t="s">
        <v>1490</v>
      </c>
      <c r="J34" s="496"/>
      <c r="K34" s="496"/>
    </row>
    <row r="35" spans="2:11" x14ac:dyDescent="0.3">
      <c r="B35" s="508" t="s">
        <v>1933</v>
      </c>
      <c r="C35" s="497">
        <v>0</v>
      </c>
      <c r="D35" s="497">
        <v>0</v>
      </c>
      <c r="E35" s="497">
        <v>0</v>
      </c>
      <c r="F35" s="519">
        <v>0</v>
      </c>
      <c r="G35" s="617"/>
      <c r="H35" s="502"/>
      <c r="I35" s="506" t="s">
        <v>1490</v>
      </c>
      <c r="J35" s="496"/>
      <c r="K35" s="496"/>
    </row>
    <row r="36" spans="2:11" x14ac:dyDescent="0.3">
      <c r="B36" s="508" t="s">
        <v>1934</v>
      </c>
      <c r="C36" s="497">
        <v>0</v>
      </c>
      <c r="D36" s="497">
        <v>0</v>
      </c>
      <c r="E36" s="497">
        <v>0</v>
      </c>
      <c r="F36" s="519">
        <v>0</v>
      </c>
      <c r="G36" s="617"/>
      <c r="H36" s="502"/>
      <c r="I36" s="506" t="s">
        <v>1490</v>
      </c>
      <c r="J36" s="496"/>
      <c r="K36" s="496"/>
    </row>
    <row r="37" spans="2:11" x14ac:dyDescent="0.3">
      <c r="B37" s="508" t="s">
        <v>1935</v>
      </c>
      <c r="C37" s="497">
        <v>0</v>
      </c>
      <c r="D37" s="497">
        <v>0</v>
      </c>
      <c r="E37" s="497">
        <v>0</v>
      </c>
      <c r="F37" s="519">
        <v>0</v>
      </c>
      <c r="G37" s="617"/>
      <c r="H37" s="502"/>
      <c r="I37" s="506" t="s">
        <v>1490</v>
      </c>
    </row>
    <row r="38" spans="2:11" x14ac:dyDescent="0.3">
      <c r="B38" s="508" t="s">
        <v>1936</v>
      </c>
      <c r="C38" s="497">
        <v>0</v>
      </c>
      <c r="D38" s="497">
        <v>0</v>
      </c>
      <c r="E38" s="497">
        <v>0</v>
      </c>
      <c r="F38" s="519">
        <v>0</v>
      </c>
      <c r="G38" s="617"/>
      <c r="H38" s="502"/>
      <c r="I38" s="506" t="s">
        <v>1490</v>
      </c>
    </row>
    <row r="39" spans="2:11" x14ac:dyDescent="0.3">
      <c r="B39" s="508" t="s">
        <v>1937</v>
      </c>
      <c r="C39" s="497">
        <v>0</v>
      </c>
      <c r="D39" s="497">
        <v>0</v>
      </c>
      <c r="E39" s="497">
        <v>0</v>
      </c>
      <c r="F39" s="519">
        <v>0</v>
      </c>
      <c r="G39" s="617"/>
      <c r="H39" s="502"/>
      <c r="I39" s="506" t="s">
        <v>1490</v>
      </c>
    </row>
    <row r="40" spans="2:11" x14ac:dyDescent="0.3">
      <c r="B40" s="508" t="s">
        <v>1938</v>
      </c>
      <c r="C40" s="497">
        <v>0</v>
      </c>
      <c r="D40" s="497">
        <v>0</v>
      </c>
      <c r="E40" s="497">
        <v>0</v>
      </c>
      <c r="F40" s="519">
        <v>0</v>
      </c>
      <c r="G40" s="617"/>
      <c r="H40" s="502"/>
      <c r="I40" s="506" t="s">
        <v>1490</v>
      </c>
    </row>
    <row r="41" spans="2:11" x14ac:dyDescent="0.3">
      <c r="B41" s="508" t="s">
        <v>1939</v>
      </c>
      <c r="C41" s="497">
        <v>0</v>
      </c>
      <c r="D41" s="497">
        <v>0</v>
      </c>
      <c r="E41" s="500">
        <v>0</v>
      </c>
      <c r="F41" s="515">
        <v>0</v>
      </c>
      <c r="G41" s="617"/>
      <c r="H41" s="502"/>
      <c r="I41" s="506" t="s">
        <v>1490</v>
      </c>
    </row>
    <row r="42" spans="2:11" x14ac:dyDescent="0.3">
      <c r="B42" s="508" t="s">
        <v>1940</v>
      </c>
      <c r="C42" s="497">
        <v>0</v>
      </c>
      <c r="D42" s="497">
        <v>0</v>
      </c>
      <c r="E42" s="500">
        <v>0</v>
      </c>
      <c r="F42" s="515">
        <v>0</v>
      </c>
      <c r="G42" s="617"/>
      <c r="H42" s="502"/>
      <c r="I42" s="506" t="s">
        <v>1490</v>
      </c>
    </row>
    <row r="43" spans="2:11" x14ac:dyDescent="0.3">
      <c r="B43" s="508" t="s">
        <v>1941</v>
      </c>
      <c r="C43" s="497">
        <v>0</v>
      </c>
      <c r="D43" s="497">
        <v>0</v>
      </c>
      <c r="E43" s="500">
        <v>0</v>
      </c>
      <c r="F43" s="515">
        <v>0</v>
      </c>
      <c r="G43" s="617"/>
      <c r="H43" s="502"/>
      <c r="I43" s="506" t="s">
        <v>1490</v>
      </c>
    </row>
    <row r="44" spans="2:11" x14ac:dyDescent="0.3">
      <c r="B44" s="508" t="s">
        <v>1942</v>
      </c>
      <c r="C44" s="497">
        <v>0</v>
      </c>
      <c r="D44" s="497">
        <v>0</v>
      </c>
      <c r="E44" s="500">
        <v>0</v>
      </c>
      <c r="F44" s="515">
        <v>0</v>
      </c>
      <c r="G44" s="617"/>
      <c r="H44" s="502"/>
      <c r="I44" s="506" t="s">
        <v>1490</v>
      </c>
    </row>
    <row r="45" spans="2:11" x14ac:dyDescent="0.3">
      <c r="B45" s="508" t="s">
        <v>1943</v>
      </c>
      <c r="C45" s="497">
        <v>0</v>
      </c>
      <c r="D45" s="497">
        <v>0</v>
      </c>
      <c r="E45" s="500">
        <v>0</v>
      </c>
      <c r="F45" s="515">
        <v>0</v>
      </c>
      <c r="G45" s="617"/>
      <c r="H45" s="502"/>
      <c r="I45" s="506" t="s">
        <v>1490</v>
      </c>
    </row>
    <row r="46" spans="2:11" ht="15" thickBot="1" x14ac:dyDescent="0.35">
      <c r="B46" s="508" t="s">
        <v>1944</v>
      </c>
      <c r="C46" s="497">
        <v>0</v>
      </c>
      <c r="D46" s="497">
        <v>0</v>
      </c>
      <c r="E46" s="500">
        <v>0</v>
      </c>
      <c r="F46" s="515">
        <v>0</v>
      </c>
      <c r="G46" s="618"/>
      <c r="H46" s="502"/>
      <c r="I46" s="506" t="s">
        <v>1490</v>
      </c>
    </row>
    <row r="47" spans="2:11" ht="15" thickBot="1" x14ac:dyDescent="0.35">
      <c r="B47" s="510"/>
      <c r="C47" s="505"/>
      <c r="D47" s="505"/>
      <c r="E47" s="505"/>
      <c r="F47" s="505"/>
      <c r="G47" s="518"/>
      <c r="H47" s="518"/>
      <c r="I47" s="501"/>
    </row>
    <row r="48" spans="2:11" ht="15" thickBot="1" x14ac:dyDescent="0.35">
      <c r="B48" s="499" t="s">
        <v>1903</v>
      </c>
      <c r="C48" s="499" t="s">
        <v>1904</v>
      </c>
      <c r="D48" s="499" t="s">
        <v>1945</v>
      </c>
      <c r="E48" s="499" t="s">
        <v>1946</v>
      </c>
      <c r="F48" s="507" t="s">
        <v>1947</v>
      </c>
      <c r="G48" s="616" t="s">
        <v>1948</v>
      </c>
      <c r="H48" s="542"/>
      <c r="I48" s="501"/>
    </row>
    <row r="49" spans="2:9" x14ac:dyDescent="0.3">
      <c r="B49" s="511" t="s">
        <v>1949</v>
      </c>
      <c r="C49" s="498">
        <v>0</v>
      </c>
      <c r="D49" s="498">
        <v>0</v>
      </c>
      <c r="E49" s="498">
        <v>0</v>
      </c>
      <c r="F49" s="498">
        <v>0</v>
      </c>
      <c r="G49" s="617"/>
      <c r="H49" s="502"/>
      <c r="I49" s="506" t="s">
        <v>1490</v>
      </c>
    </row>
    <row r="50" spans="2:9" x14ac:dyDescent="0.3">
      <c r="B50" s="509" t="s">
        <v>1950</v>
      </c>
      <c r="C50" s="497">
        <v>0</v>
      </c>
      <c r="D50" s="497">
        <v>0</v>
      </c>
      <c r="E50" s="497">
        <v>0</v>
      </c>
      <c r="F50" s="497">
        <v>0</v>
      </c>
      <c r="G50" s="617"/>
      <c r="H50" s="502"/>
      <c r="I50" s="506" t="s">
        <v>1490</v>
      </c>
    </row>
    <row r="51" spans="2:9" x14ac:dyDescent="0.3">
      <c r="B51" s="509" t="s">
        <v>1951</v>
      </c>
      <c r="C51" s="497">
        <v>0</v>
      </c>
      <c r="D51" s="497">
        <v>0</v>
      </c>
      <c r="E51" s="497">
        <v>0</v>
      </c>
      <c r="F51" s="497">
        <v>0</v>
      </c>
      <c r="G51" s="617"/>
      <c r="H51" s="502"/>
      <c r="I51" s="506" t="s">
        <v>1490</v>
      </c>
    </row>
    <row r="52" spans="2:9" x14ac:dyDescent="0.3">
      <c r="B52" s="509" t="s">
        <v>1952</v>
      </c>
      <c r="C52" s="497">
        <v>0</v>
      </c>
      <c r="D52" s="497">
        <v>0</v>
      </c>
      <c r="E52" s="497">
        <v>0</v>
      </c>
      <c r="F52" s="497">
        <v>0</v>
      </c>
      <c r="G52" s="617"/>
      <c r="H52" s="502"/>
      <c r="I52" s="506" t="s">
        <v>1490</v>
      </c>
    </row>
    <row r="53" spans="2:9" x14ac:dyDescent="0.3">
      <c r="B53" s="509" t="s">
        <v>1953</v>
      </c>
      <c r="C53" s="497">
        <v>0</v>
      </c>
      <c r="D53" s="497">
        <v>0</v>
      </c>
      <c r="E53" s="497">
        <v>0</v>
      </c>
      <c r="F53" s="497">
        <v>0</v>
      </c>
      <c r="G53" s="617"/>
      <c r="H53" s="502"/>
      <c r="I53" s="506" t="s">
        <v>1490</v>
      </c>
    </row>
    <row r="54" spans="2:9" x14ac:dyDescent="0.3">
      <c r="B54" s="509" t="s">
        <v>1954</v>
      </c>
      <c r="C54" s="497">
        <v>0</v>
      </c>
      <c r="D54" s="497">
        <v>0</v>
      </c>
      <c r="E54" s="497">
        <v>0</v>
      </c>
      <c r="F54" s="497">
        <v>0</v>
      </c>
      <c r="G54" s="617"/>
      <c r="H54" s="502"/>
      <c r="I54" s="506" t="s">
        <v>1490</v>
      </c>
    </row>
    <row r="55" spans="2:9" x14ac:dyDescent="0.3">
      <c r="B55" s="509" t="s">
        <v>1955</v>
      </c>
      <c r="C55" s="497">
        <v>0</v>
      </c>
      <c r="D55" s="497">
        <v>0</v>
      </c>
      <c r="E55" s="497">
        <v>0</v>
      </c>
      <c r="F55" s="497">
        <v>0</v>
      </c>
      <c r="G55" s="617"/>
      <c r="H55" s="502"/>
      <c r="I55" s="506" t="s">
        <v>1490</v>
      </c>
    </row>
    <row r="56" spans="2:9" x14ac:dyDescent="0.3">
      <c r="B56" s="509" t="s">
        <v>1956</v>
      </c>
      <c r="C56" s="497">
        <v>0</v>
      </c>
      <c r="D56" s="497">
        <v>0</v>
      </c>
      <c r="E56" s="497">
        <v>0</v>
      </c>
      <c r="F56" s="497">
        <v>0</v>
      </c>
      <c r="G56" s="617"/>
      <c r="H56" s="502"/>
      <c r="I56" s="506" t="s">
        <v>1490</v>
      </c>
    </row>
    <row r="57" spans="2:9" x14ac:dyDescent="0.3">
      <c r="B57" s="509" t="s">
        <v>1957</v>
      </c>
      <c r="C57" s="497">
        <v>0</v>
      </c>
      <c r="D57" s="497">
        <v>0</v>
      </c>
      <c r="E57" s="497">
        <v>0</v>
      </c>
      <c r="F57" s="497">
        <v>0</v>
      </c>
      <c r="G57" s="617"/>
      <c r="H57" s="502"/>
      <c r="I57" s="506" t="s">
        <v>1490</v>
      </c>
    </row>
    <row r="58" spans="2:9" ht="15" thickBot="1" x14ac:dyDescent="0.35">
      <c r="B58" s="509" t="s">
        <v>1958</v>
      </c>
      <c r="C58" s="500">
        <v>0</v>
      </c>
      <c r="D58" s="500">
        <v>0</v>
      </c>
      <c r="E58" s="500">
        <v>0</v>
      </c>
      <c r="F58" s="500">
        <v>0</v>
      </c>
      <c r="G58" s="618"/>
      <c r="H58" s="502"/>
      <c r="I58" s="506" t="s">
        <v>1490</v>
      </c>
    </row>
    <row r="59" spans="2:9" ht="15" thickBot="1" x14ac:dyDescent="0.35">
      <c r="B59" s="494"/>
      <c r="C59" s="494"/>
      <c r="D59" s="494"/>
      <c r="E59" s="494"/>
      <c r="F59" s="494"/>
      <c r="G59" s="501"/>
      <c r="H59" s="501"/>
      <c r="I59" s="501"/>
    </row>
    <row r="60" spans="2:9" ht="15" thickBot="1" x14ac:dyDescent="0.35">
      <c r="B60" s="499" t="s">
        <v>1903</v>
      </c>
      <c r="C60" s="499" t="s">
        <v>1904</v>
      </c>
      <c r="D60" s="499" t="s">
        <v>1945</v>
      </c>
      <c r="E60" s="499" t="s">
        <v>1946</v>
      </c>
      <c r="F60" s="507" t="s">
        <v>1947</v>
      </c>
      <c r="G60" s="616" t="s">
        <v>1959</v>
      </c>
      <c r="H60" s="542"/>
      <c r="I60" s="501"/>
    </row>
    <row r="61" spans="2:9" x14ac:dyDescent="0.3">
      <c r="B61" s="511" t="s">
        <v>1960</v>
      </c>
      <c r="C61" s="498">
        <v>0</v>
      </c>
      <c r="D61" s="498">
        <v>0</v>
      </c>
      <c r="E61" s="498">
        <v>0</v>
      </c>
      <c r="F61" s="498">
        <v>0</v>
      </c>
      <c r="G61" s="617"/>
      <c r="H61" s="502"/>
      <c r="I61" s="506" t="s">
        <v>1490</v>
      </c>
    </row>
    <row r="62" spans="2:9" x14ac:dyDescent="0.3">
      <c r="B62" s="509" t="s">
        <v>1961</v>
      </c>
      <c r="C62" s="497">
        <v>0</v>
      </c>
      <c r="D62" s="497">
        <v>0</v>
      </c>
      <c r="E62" s="497">
        <v>0</v>
      </c>
      <c r="F62" s="497">
        <v>0</v>
      </c>
      <c r="G62" s="617"/>
      <c r="H62" s="502"/>
      <c r="I62" s="506" t="s">
        <v>1490</v>
      </c>
    </row>
    <row r="63" spans="2:9" x14ac:dyDescent="0.3">
      <c r="B63" s="509" t="s">
        <v>1962</v>
      </c>
      <c r="C63" s="497">
        <v>0</v>
      </c>
      <c r="D63" s="497">
        <v>0</v>
      </c>
      <c r="E63" s="497">
        <v>0</v>
      </c>
      <c r="F63" s="497">
        <v>0</v>
      </c>
      <c r="G63" s="617"/>
      <c r="H63" s="502"/>
      <c r="I63" s="506" t="s">
        <v>1490</v>
      </c>
    </row>
    <row r="64" spans="2:9" x14ac:dyDescent="0.3">
      <c r="B64" s="509" t="s">
        <v>1963</v>
      </c>
      <c r="C64" s="497">
        <v>0</v>
      </c>
      <c r="D64" s="497">
        <v>0</v>
      </c>
      <c r="E64" s="497">
        <v>0</v>
      </c>
      <c r="F64" s="497">
        <v>0</v>
      </c>
      <c r="G64" s="617"/>
      <c r="H64" s="502"/>
      <c r="I64" s="506" t="s">
        <v>1490</v>
      </c>
    </row>
    <row r="65" spans="2:9" x14ac:dyDescent="0.3">
      <c r="B65" s="509" t="s">
        <v>1964</v>
      </c>
      <c r="C65" s="497">
        <v>0</v>
      </c>
      <c r="D65" s="497">
        <v>0</v>
      </c>
      <c r="E65" s="497">
        <v>0</v>
      </c>
      <c r="F65" s="497">
        <v>0</v>
      </c>
      <c r="G65" s="617"/>
      <c r="H65" s="502"/>
      <c r="I65" s="506" t="s">
        <v>1490</v>
      </c>
    </row>
    <row r="66" spans="2:9" x14ac:dyDescent="0.3">
      <c r="B66" s="509" t="s">
        <v>1965</v>
      </c>
      <c r="C66" s="497">
        <v>0</v>
      </c>
      <c r="D66" s="497">
        <v>0</v>
      </c>
      <c r="E66" s="497">
        <v>0</v>
      </c>
      <c r="F66" s="497">
        <v>0</v>
      </c>
      <c r="G66" s="617"/>
      <c r="H66" s="502"/>
      <c r="I66" s="506" t="s">
        <v>1490</v>
      </c>
    </row>
    <row r="67" spans="2:9" x14ac:dyDescent="0.3">
      <c r="B67" s="509" t="s">
        <v>1966</v>
      </c>
      <c r="C67" s="497">
        <v>0</v>
      </c>
      <c r="D67" s="497">
        <v>0</v>
      </c>
      <c r="E67" s="497">
        <v>0</v>
      </c>
      <c r="F67" s="497">
        <v>0</v>
      </c>
      <c r="G67" s="617"/>
      <c r="H67" s="502"/>
      <c r="I67" s="506" t="s">
        <v>1490</v>
      </c>
    </row>
    <row r="68" spans="2:9" x14ac:dyDescent="0.3">
      <c r="B68" s="509" t="s">
        <v>1967</v>
      </c>
      <c r="C68" s="497">
        <v>0</v>
      </c>
      <c r="D68" s="497">
        <v>0</v>
      </c>
      <c r="E68" s="497">
        <v>0</v>
      </c>
      <c r="F68" s="497">
        <v>0</v>
      </c>
      <c r="G68" s="617"/>
      <c r="H68" s="502"/>
      <c r="I68" s="506" t="s">
        <v>1490</v>
      </c>
    </row>
    <row r="69" spans="2:9" x14ac:dyDescent="0.3">
      <c r="B69" s="509" t="s">
        <v>1968</v>
      </c>
      <c r="C69" s="497">
        <v>0</v>
      </c>
      <c r="D69" s="497">
        <v>0</v>
      </c>
      <c r="E69" s="497">
        <v>0</v>
      </c>
      <c r="F69" s="497">
        <v>0</v>
      </c>
      <c r="G69" s="617"/>
      <c r="H69" s="502"/>
      <c r="I69" s="506" t="s">
        <v>1490</v>
      </c>
    </row>
    <row r="70" spans="2:9" ht="15" thickBot="1" x14ac:dyDescent="0.35">
      <c r="B70" s="509" t="s">
        <v>1969</v>
      </c>
      <c r="C70" s="503">
        <v>0</v>
      </c>
      <c r="D70" s="497">
        <v>0</v>
      </c>
      <c r="E70" s="500">
        <v>0</v>
      </c>
      <c r="F70" s="500">
        <v>0</v>
      </c>
      <c r="G70" s="617"/>
      <c r="H70" s="502"/>
      <c r="I70" s="506" t="s">
        <v>1490</v>
      </c>
    </row>
    <row r="71" spans="2:9" x14ac:dyDescent="0.3">
      <c r="B71" s="510"/>
      <c r="C71" s="505"/>
      <c r="D71" s="505"/>
      <c r="E71" s="505"/>
      <c r="F71" s="505"/>
      <c r="G71" s="517"/>
      <c r="H71" s="518"/>
      <c r="I71" s="496"/>
    </row>
    <row r="72" spans="2:9" x14ac:dyDescent="0.3">
      <c r="B72" s="501"/>
      <c r="C72" s="501"/>
      <c r="D72" s="501"/>
      <c r="E72" s="501"/>
      <c r="F72" s="501"/>
      <c r="G72" s="501"/>
      <c r="H72" s="501"/>
      <c r="I72" s="496"/>
    </row>
    <row r="73" spans="2:9" x14ac:dyDescent="0.3">
      <c r="B73" s="501"/>
      <c r="C73" s="501"/>
      <c r="D73" s="501"/>
      <c r="E73" s="501"/>
      <c r="F73" s="501"/>
      <c r="G73" s="501"/>
      <c r="H73" s="501"/>
      <c r="I73" s="496"/>
    </row>
  </sheetData>
  <mergeCells count="11">
    <mergeCell ref="K6:K7"/>
    <mergeCell ref="K8:K9"/>
    <mergeCell ref="H6:H13"/>
    <mergeCell ref="G60:G70"/>
    <mergeCell ref="J6:J8"/>
    <mergeCell ref="J9:J20"/>
    <mergeCell ref="B2:G3"/>
    <mergeCell ref="G31:G46"/>
    <mergeCell ref="G48:G58"/>
    <mergeCell ref="G5:G29"/>
    <mergeCell ref="H14:H29"/>
  </mergeCells>
  <phoneticPr fontId="7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39FDC-25CC-4C95-80D2-B858454C6ED9}">
  <dimension ref="A1:H38"/>
  <sheetViews>
    <sheetView zoomScale="85" zoomScaleNormal="85" workbookViewId="0">
      <selection activeCell="H16" sqref="H16"/>
    </sheetView>
  </sheetViews>
  <sheetFormatPr defaultRowHeight="13.2" x14ac:dyDescent="0.25"/>
  <cols>
    <col min="1" max="1" width="27.5546875" style="426" bestFit="1" customWidth="1"/>
    <col min="2" max="2" width="13.109375" style="426" bestFit="1" customWidth="1"/>
    <col min="3" max="3" width="7.44140625" style="426" bestFit="1" customWidth="1"/>
    <col min="4" max="4" width="35.109375" style="426" bestFit="1" customWidth="1"/>
    <col min="5" max="5" width="5.6640625" style="426" bestFit="1" customWidth="1"/>
    <col min="6" max="6" width="8.44140625" style="426" customWidth="1"/>
    <col min="7" max="7" width="23.88671875" style="426" bestFit="1" customWidth="1"/>
    <col min="8" max="8" width="35" style="426" bestFit="1" customWidth="1"/>
    <col min="9" max="256" width="8.88671875" style="426"/>
    <col min="257" max="257" width="27.5546875" style="426" bestFit="1" customWidth="1"/>
    <col min="258" max="258" width="13.109375" style="426" bestFit="1" customWidth="1"/>
    <col min="259" max="259" width="7.44140625" style="426" bestFit="1" customWidth="1"/>
    <col min="260" max="260" width="35.109375" style="426" bestFit="1" customWidth="1"/>
    <col min="261" max="261" width="5.6640625" style="426" bestFit="1" customWidth="1"/>
    <col min="262" max="262" width="8.44140625" style="426" customWidth="1"/>
    <col min="263" max="263" width="23.88671875" style="426" bestFit="1" customWidth="1"/>
    <col min="264" max="264" width="35" style="426" bestFit="1" customWidth="1"/>
    <col min="265" max="512" width="8.88671875" style="426"/>
    <col min="513" max="513" width="27.5546875" style="426" bestFit="1" customWidth="1"/>
    <col min="514" max="514" width="13.109375" style="426" bestFit="1" customWidth="1"/>
    <col min="515" max="515" width="7.44140625" style="426" bestFit="1" customWidth="1"/>
    <col min="516" max="516" width="35.109375" style="426" bestFit="1" customWidth="1"/>
    <col min="517" max="517" width="5.6640625" style="426" bestFit="1" customWidth="1"/>
    <col min="518" max="518" width="8.44140625" style="426" customWidth="1"/>
    <col min="519" max="519" width="23.88671875" style="426" bestFit="1" customWidth="1"/>
    <col min="520" max="520" width="35" style="426" bestFit="1" customWidth="1"/>
    <col min="521" max="768" width="8.88671875" style="426"/>
    <col min="769" max="769" width="27.5546875" style="426" bestFit="1" customWidth="1"/>
    <col min="770" max="770" width="13.109375" style="426" bestFit="1" customWidth="1"/>
    <col min="771" max="771" width="7.44140625" style="426" bestFit="1" customWidth="1"/>
    <col min="772" max="772" width="35.109375" style="426" bestFit="1" customWidth="1"/>
    <col min="773" max="773" width="5.6640625" style="426" bestFit="1" customWidth="1"/>
    <col min="774" max="774" width="8.44140625" style="426" customWidth="1"/>
    <col min="775" max="775" width="23.88671875" style="426" bestFit="1" customWidth="1"/>
    <col min="776" max="776" width="35" style="426" bestFit="1" customWidth="1"/>
    <col min="777" max="1024" width="8.88671875" style="426"/>
    <col min="1025" max="1025" width="27.5546875" style="426" bestFit="1" customWidth="1"/>
    <col min="1026" max="1026" width="13.109375" style="426" bestFit="1" customWidth="1"/>
    <col min="1027" max="1027" width="7.44140625" style="426" bestFit="1" customWidth="1"/>
    <col min="1028" max="1028" width="35.109375" style="426" bestFit="1" customWidth="1"/>
    <col min="1029" max="1029" width="5.6640625" style="426" bestFit="1" customWidth="1"/>
    <col min="1030" max="1030" width="8.44140625" style="426" customWidth="1"/>
    <col min="1031" max="1031" width="23.88671875" style="426" bestFit="1" customWidth="1"/>
    <col min="1032" max="1032" width="35" style="426" bestFit="1" customWidth="1"/>
    <col min="1033" max="1280" width="8.88671875" style="426"/>
    <col min="1281" max="1281" width="27.5546875" style="426" bestFit="1" customWidth="1"/>
    <col min="1282" max="1282" width="13.109375" style="426" bestFit="1" customWidth="1"/>
    <col min="1283" max="1283" width="7.44140625" style="426" bestFit="1" customWidth="1"/>
    <col min="1284" max="1284" width="35.109375" style="426" bestFit="1" customWidth="1"/>
    <col min="1285" max="1285" width="5.6640625" style="426" bestFit="1" customWidth="1"/>
    <col min="1286" max="1286" width="8.44140625" style="426" customWidth="1"/>
    <col min="1287" max="1287" width="23.88671875" style="426" bestFit="1" customWidth="1"/>
    <col min="1288" max="1288" width="35" style="426" bestFit="1" customWidth="1"/>
    <col min="1289" max="1536" width="8.88671875" style="426"/>
    <col min="1537" max="1537" width="27.5546875" style="426" bestFit="1" customWidth="1"/>
    <col min="1538" max="1538" width="13.109375" style="426" bestFit="1" customWidth="1"/>
    <col min="1539" max="1539" width="7.44140625" style="426" bestFit="1" customWidth="1"/>
    <col min="1540" max="1540" width="35.109375" style="426" bestFit="1" customWidth="1"/>
    <col min="1541" max="1541" width="5.6640625" style="426" bestFit="1" customWidth="1"/>
    <col min="1542" max="1542" width="8.44140625" style="426" customWidth="1"/>
    <col min="1543" max="1543" width="23.88671875" style="426" bestFit="1" customWidth="1"/>
    <col min="1544" max="1544" width="35" style="426" bestFit="1" customWidth="1"/>
    <col min="1545" max="1792" width="8.88671875" style="426"/>
    <col min="1793" max="1793" width="27.5546875" style="426" bestFit="1" customWidth="1"/>
    <col min="1794" max="1794" width="13.109375" style="426" bestFit="1" customWidth="1"/>
    <col min="1795" max="1795" width="7.44140625" style="426" bestFit="1" customWidth="1"/>
    <col min="1796" max="1796" width="35.109375" style="426" bestFit="1" customWidth="1"/>
    <col min="1797" max="1797" width="5.6640625" style="426" bestFit="1" customWidth="1"/>
    <col min="1798" max="1798" width="8.44140625" style="426" customWidth="1"/>
    <col min="1799" max="1799" width="23.88671875" style="426" bestFit="1" customWidth="1"/>
    <col min="1800" max="1800" width="35" style="426" bestFit="1" customWidth="1"/>
    <col min="1801" max="2048" width="8.88671875" style="426"/>
    <col min="2049" max="2049" width="27.5546875" style="426" bestFit="1" customWidth="1"/>
    <col min="2050" max="2050" width="13.109375" style="426" bestFit="1" customWidth="1"/>
    <col min="2051" max="2051" width="7.44140625" style="426" bestFit="1" customWidth="1"/>
    <col min="2052" max="2052" width="35.109375" style="426" bestFit="1" customWidth="1"/>
    <col min="2053" max="2053" width="5.6640625" style="426" bestFit="1" customWidth="1"/>
    <col min="2054" max="2054" width="8.44140625" style="426" customWidth="1"/>
    <col min="2055" max="2055" width="23.88671875" style="426" bestFit="1" customWidth="1"/>
    <col min="2056" max="2056" width="35" style="426" bestFit="1" customWidth="1"/>
    <col min="2057" max="2304" width="8.88671875" style="426"/>
    <col min="2305" max="2305" width="27.5546875" style="426" bestFit="1" customWidth="1"/>
    <col min="2306" max="2306" width="13.109375" style="426" bestFit="1" customWidth="1"/>
    <col min="2307" max="2307" width="7.44140625" style="426" bestFit="1" customWidth="1"/>
    <col min="2308" max="2308" width="35.109375" style="426" bestFit="1" customWidth="1"/>
    <col min="2309" max="2309" width="5.6640625" style="426" bestFit="1" customWidth="1"/>
    <col min="2310" max="2310" width="8.44140625" style="426" customWidth="1"/>
    <col min="2311" max="2311" width="23.88671875" style="426" bestFit="1" customWidth="1"/>
    <col min="2312" max="2312" width="35" style="426" bestFit="1" customWidth="1"/>
    <col min="2313" max="2560" width="8.88671875" style="426"/>
    <col min="2561" max="2561" width="27.5546875" style="426" bestFit="1" customWidth="1"/>
    <col min="2562" max="2562" width="13.109375" style="426" bestFit="1" customWidth="1"/>
    <col min="2563" max="2563" width="7.44140625" style="426" bestFit="1" customWidth="1"/>
    <col min="2564" max="2564" width="35.109375" style="426" bestFit="1" customWidth="1"/>
    <col min="2565" max="2565" width="5.6640625" style="426" bestFit="1" customWidth="1"/>
    <col min="2566" max="2566" width="8.44140625" style="426" customWidth="1"/>
    <col min="2567" max="2567" width="23.88671875" style="426" bestFit="1" customWidth="1"/>
    <col min="2568" max="2568" width="35" style="426" bestFit="1" customWidth="1"/>
    <col min="2569" max="2816" width="8.88671875" style="426"/>
    <col min="2817" max="2817" width="27.5546875" style="426" bestFit="1" customWidth="1"/>
    <col min="2818" max="2818" width="13.109375" style="426" bestFit="1" customWidth="1"/>
    <col min="2819" max="2819" width="7.44140625" style="426" bestFit="1" customWidth="1"/>
    <col min="2820" max="2820" width="35.109375" style="426" bestFit="1" customWidth="1"/>
    <col min="2821" max="2821" width="5.6640625" style="426" bestFit="1" customWidth="1"/>
    <col min="2822" max="2822" width="8.44140625" style="426" customWidth="1"/>
    <col min="2823" max="2823" width="23.88671875" style="426" bestFit="1" customWidth="1"/>
    <col min="2824" max="2824" width="35" style="426" bestFit="1" customWidth="1"/>
    <col min="2825" max="3072" width="8.88671875" style="426"/>
    <col min="3073" max="3073" width="27.5546875" style="426" bestFit="1" customWidth="1"/>
    <col min="3074" max="3074" width="13.109375" style="426" bestFit="1" customWidth="1"/>
    <col min="3075" max="3075" width="7.44140625" style="426" bestFit="1" customWidth="1"/>
    <col min="3076" max="3076" width="35.109375" style="426" bestFit="1" customWidth="1"/>
    <col min="3077" max="3077" width="5.6640625" style="426" bestFit="1" customWidth="1"/>
    <col min="3078" max="3078" width="8.44140625" style="426" customWidth="1"/>
    <col min="3079" max="3079" width="23.88671875" style="426" bestFit="1" customWidth="1"/>
    <col min="3080" max="3080" width="35" style="426" bestFit="1" customWidth="1"/>
    <col min="3081" max="3328" width="8.88671875" style="426"/>
    <col min="3329" max="3329" width="27.5546875" style="426" bestFit="1" customWidth="1"/>
    <col min="3330" max="3330" width="13.109375" style="426" bestFit="1" customWidth="1"/>
    <col min="3331" max="3331" width="7.44140625" style="426" bestFit="1" customWidth="1"/>
    <col min="3332" max="3332" width="35.109375" style="426" bestFit="1" customWidth="1"/>
    <col min="3333" max="3333" width="5.6640625" style="426" bestFit="1" customWidth="1"/>
    <col min="3334" max="3334" width="8.44140625" style="426" customWidth="1"/>
    <col min="3335" max="3335" width="23.88671875" style="426" bestFit="1" customWidth="1"/>
    <col min="3336" max="3336" width="35" style="426" bestFit="1" customWidth="1"/>
    <col min="3337" max="3584" width="8.88671875" style="426"/>
    <col min="3585" max="3585" width="27.5546875" style="426" bestFit="1" customWidth="1"/>
    <col min="3586" max="3586" width="13.109375" style="426" bestFit="1" customWidth="1"/>
    <col min="3587" max="3587" width="7.44140625" style="426" bestFit="1" customWidth="1"/>
    <col min="3588" max="3588" width="35.109375" style="426" bestFit="1" customWidth="1"/>
    <col min="3589" max="3589" width="5.6640625" style="426" bestFit="1" customWidth="1"/>
    <col min="3590" max="3590" width="8.44140625" style="426" customWidth="1"/>
    <col min="3591" max="3591" width="23.88671875" style="426" bestFit="1" customWidth="1"/>
    <col min="3592" max="3592" width="35" style="426" bestFit="1" customWidth="1"/>
    <col min="3593" max="3840" width="8.88671875" style="426"/>
    <col min="3841" max="3841" width="27.5546875" style="426" bestFit="1" customWidth="1"/>
    <col min="3842" max="3842" width="13.109375" style="426" bestFit="1" customWidth="1"/>
    <col min="3843" max="3843" width="7.44140625" style="426" bestFit="1" customWidth="1"/>
    <col min="3844" max="3844" width="35.109375" style="426" bestFit="1" customWidth="1"/>
    <col min="3845" max="3845" width="5.6640625" style="426" bestFit="1" customWidth="1"/>
    <col min="3846" max="3846" width="8.44140625" style="426" customWidth="1"/>
    <col min="3847" max="3847" width="23.88671875" style="426" bestFit="1" customWidth="1"/>
    <col min="3848" max="3848" width="35" style="426" bestFit="1" customWidth="1"/>
    <col min="3849" max="4096" width="8.88671875" style="426"/>
    <col min="4097" max="4097" width="27.5546875" style="426" bestFit="1" customWidth="1"/>
    <col min="4098" max="4098" width="13.109375" style="426" bestFit="1" customWidth="1"/>
    <col min="4099" max="4099" width="7.44140625" style="426" bestFit="1" customWidth="1"/>
    <col min="4100" max="4100" width="35.109375" style="426" bestFit="1" customWidth="1"/>
    <col min="4101" max="4101" width="5.6640625" style="426" bestFit="1" customWidth="1"/>
    <col min="4102" max="4102" width="8.44140625" style="426" customWidth="1"/>
    <col min="4103" max="4103" width="23.88671875" style="426" bestFit="1" customWidth="1"/>
    <col min="4104" max="4104" width="35" style="426" bestFit="1" customWidth="1"/>
    <col min="4105" max="4352" width="8.88671875" style="426"/>
    <col min="4353" max="4353" width="27.5546875" style="426" bestFit="1" customWidth="1"/>
    <col min="4354" max="4354" width="13.109375" style="426" bestFit="1" customWidth="1"/>
    <col min="4355" max="4355" width="7.44140625" style="426" bestFit="1" customWidth="1"/>
    <col min="4356" max="4356" width="35.109375" style="426" bestFit="1" customWidth="1"/>
    <col min="4357" max="4357" width="5.6640625" style="426" bestFit="1" customWidth="1"/>
    <col min="4358" max="4358" width="8.44140625" style="426" customWidth="1"/>
    <col min="4359" max="4359" width="23.88671875" style="426" bestFit="1" customWidth="1"/>
    <col min="4360" max="4360" width="35" style="426" bestFit="1" customWidth="1"/>
    <col min="4361" max="4608" width="8.88671875" style="426"/>
    <col min="4609" max="4609" width="27.5546875" style="426" bestFit="1" customWidth="1"/>
    <col min="4610" max="4610" width="13.109375" style="426" bestFit="1" customWidth="1"/>
    <col min="4611" max="4611" width="7.44140625" style="426" bestFit="1" customWidth="1"/>
    <col min="4612" max="4612" width="35.109375" style="426" bestFit="1" customWidth="1"/>
    <col min="4613" max="4613" width="5.6640625" style="426" bestFit="1" customWidth="1"/>
    <col min="4614" max="4614" width="8.44140625" style="426" customWidth="1"/>
    <col min="4615" max="4615" width="23.88671875" style="426" bestFit="1" customWidth="1"/>
    <col min="4616" max="4616" width="35" style="426" bestFit="1" customWidth="1"/>
    <col min="4617" max="4864" width="8.88671875" style="426"/>
    <col min="4865" max="4865" width="27.5546875" style="426" bestFit="1" customWidth="1"/>
    <col min="4866" max="4866" width="13.109375" style="426" bestFit="1" customWidth="1"/>
    <col min="4867" max="4867" width="7.44140625" style="426" bestFit="1" customWidth="1"/>
    <col min="4868" max="4868" width="35.109375" style="426" bestFit="1" customWidth="1"/>
    <col min="4869" max="4869" width="5.6640625" style="426" bestFit="1" customWidth="1"/>
    <col min="4870" max="4870" width="8.44140625" style="426" customWidth="1"/>
    <col min="4871" max="4871" width="23.88671875" style="426" bestFit="1" customWidth="1"/>
    <col min="4872" max="4872" width="35" style="426" bestFit="1" customWidth="1"/>
    <col min="4873" max="5120" width="8.88671875" style="426"/>
    <col min="5121" max="5121" width="27.5546875" style="426" bestFit="1" customWidth="1"/>
    <col min="5122" max="5122" width="13.109375" style="426" bestFit="1" customWidth="1"/>
    <col min="5123" max="5123" width="7.44140625" style="426" bestFit="1" customWidth="1"/>
    <col min="5124" max="5124" width="35.109375" style="426" bestFit="1" customWidth="1"/>
    <col min="5125" max="5125" width="5.6640625" style="426" bestFit="1" customWidth="1"/>
    <col min="5126" max="5126" width="8.44140625" style="426" customWidth="1"/>
    <col min="5127" max="5127" width="23.88671875" style="426" bestFit="1" customWidth="1"/>
    <col min="5128" max="5128" width="35" style="426" bestFit="1" customWidth="1"/>
    <col min="5129" max="5376" width="8.88671875" style="426"/>
    <col min="5377" max="5377" width="27.5546875" style="426" bestFit="1" customWidth="1"/>
    <col min="5378" max="5378" width="13.109375" style="426" bestFit="1" customWidth="1"/>
    <col min="5379" max="5379" width="7.44140625" style="426" bestFit="1" customWidth="1"/>
    <col min="5380" max="5380" width="35.109375" style="426" bestFit="1" customWidth="1"/>
    <col min="5381" max="5381" width="5.6640625" style="426" bestFit="1" customWidth="1"/>
    <col min="5382" max="5382" width="8.44140625" style="426" customWidth="1"/>
    <col min="5383" max="5383" width="23.88671875" style="426" bestFit="1" customWidth="1"/>
    <col min="5384" max="5384" width="35" style="426" bestFit="1" customWidth="1"/>
    <col min="5385" max="5632" width="8.88671875" style="426"/>
    <col min="5633" max="5633" width="27.5546875" style="426" bestFit="1" customWidth="1"/>
    <col min="5634" max="5634" width="13.109375" style="426" bestFit="1" customWidth="1"/>
    <col min="5635" max="5635" width="7.44140625" style="426" bestFit="1" customWidth="1"/>
    <col min="5636" max="5636" width="35.109375" style="426" bestFit="1" customWidth="1"/>
    <col min="5637" max="5637" width="5.6640625" style="426" bestFit="1" customWidth="1"/>
    <col min="5638" max="5638" width="8.44140625" style="426" customWidth="1"/>
    <col min="5639" max="5639" width="23.88671875" style="426" bestFit="1" customWidth="1"/>
    <col min="5640" max="5640" width="35" style="426" bestFit="1" customWidth="1"/>
    <col min="5641" max="5888" width="8.88671875" style="426"/>
    <col min="5889" max="5889" width="27.5546875" style="426" bestFit="1" customWidth="1"/>
    <col min="5890" max="5890" width="13.109375" style="426" bestFit="1" customWidth="1"/>
    <col min="5891" max="5891" width="7.44140625" style="426" bestFit="1" customWidth="1"/>
    <col min="5892" max="5892" width="35.109375" style="426" bestFit="1" customWidth="1"/>
    <col min="5893" max="5893" width="5.6640625" style="426" bestFit="1" customWidth="1"/>
    <col min="5894" max="5894" width="8.44140625" style="426" customWidth="1"/>
    <col min="5895" max="5895" width="23.88671875" style="426" bestFit="1" customWidth="1"/>
    <col min="5896" max="5896" width="35" style="426" bestFit="1" customWidth="1"/>
    <col min="5897" max="6144" width="8.88671875" style="426"/>
    <col min="6145" max="6145" width="27.5546875" style="426" bestFit="1" customWidth="1"/>
    <col min="6146" max="6146" width="13.109375" style="426" bestFit="1" customWidth="1"/>
    <col min="6147" max="6147" width="7.44140625" style="426" bestFit="1" customWidth="1"/>
    <col min="6148" max="6148" width="35.109375" style="426" bestFit="1" customWidth="1"/>
    <col min="6149" max="6149" width="5.6640625" style="426" bestFit="1" customWidth="1"/>
    <col min="6150" max="6150" width="8.44140625" style="426" customWidth="1"/>
    <col min="6151" max="6151" width="23.88671875" style="426" bestFit="1" customWidth="1"/>
    <col min="6152" max="6152" width="35" style="426" bestFit="1" customWidth="1"/>
    <col min="6153" max="6400" width="8.88671875" style="426"/>
    <col min="6401" max="6401" width="27.5546875" style="426" bestFit="1" customWidth="1"/>
    <col min="6402" max="6402" width="13.109375" style="426" bestFit="1" customWidth="1"/>
    <col min="6403" max="6403" width="7.44140625" style="426" bestFit="1" customWidth="1"/>
    <col min="6404" max="6404" width="35.109375" style="426" bestFit="1" customWidth="1"/>
    <col min="6405" max="6405" width="5.6640625" style="426" bestFit="1" customWidth="1"/>
    <col min="6406" max="6406" width="8.44140625" style="426" customWidth="1"/>
    <col min="6407" max="6407" width="23.88671875" style="426" bestFit="1" customWidth="1"/>
    <col min="6408" max="6408" width="35" style="426" bestFit="1" customWidth="1"/>
    <col min="6409" max="6656" width="8.88671875" style="426"/>
    <col min="6657" max="6657" width="27.5546875" style="426" bestFit="1" customWidth="1"/>
    <col min="6658" max="6658" width="13.109375" style="426" bestFit="1" customWidth="1"/>
    <col min="6659" max="6659" width="7.44140625" style="426" bestFit="1" customWidth="1"/>
    <col min="6660" max="6660" width="35.109375" style="426" bestFit="1" customWidth="1"/>
    <col min="6661" max="6661" width="5.6640625" style="426" bestFit="1" customWidth="1"/>
    <col min="6662" max="6662" width="8.44140625" style="426" customWidth="1"/>
    <col min="6663" max="6663" width="23.88671875" style="426" bestFit="1" customWidth="1"/>
    <col min="6664" max="6664" width="35" style="426" bestFit="1" customWidth="1"/>
    <col min="6665" max="6912" width="8.88671875" style="426"/>
    <col min="6913" max="6913" width="27.5546875" style="426" bestFit="1" customWidth="1"/>
    <col min="6914" max="6914" width="13.109375" style="426" bestFit="1" customWidth="1"/>
    <col min="6915" max="6915" width="7.44140625" style="426" bestFit="1" customWidth="1"/>
    <col min="6916" max="6916" width="35.109375" style="426" bestFit="1" customWidth="1"/>
    <col min="6917" max="6917" width="5.6640625" style="426" bestFit="1" customWidth="1"/>
    <col min="6918" max="6918" width="8.44140625" style="426" customWidth="1"/>
    <col min="6919" max="6919" width="23.88671875" style="426" bestFit="1" customWidth="1"/>
    <col min="6920" max="6920" width="35" style="426" bestFit="1" customWidth="1"/>
    <col min="6921" max="7168" width="8.88671875" style="426"/>
    <col min="7169" max="7169" width="27.5546875" style="426" bestFit="1" customWidth="1"/>
    <col min="7170" max="7170" width="13.109375" style="426" bestFit="1" customWidth="1"/>
    <col min="7171" max="7171" width="7.44140625" style="426" bestFit="1" customWidth="1"/>
    <col min="7172" max="7172" width="35.109375" style="426" bestFit="1" customWidth="1"/>
    <col min="7173" max="7173" width="5.6640625" style="426" bestFit="1" customWidth="1"/>
    <col min="7174" max="7174" width="8.44140625" style="426" customWidth="1"/>
    <col min="7175" max="7175" width="23.88671875" style="426" bestFit="1" customWidth="1"/>
    <col min="7176" max="7176" width="35" style="426" bestFit="1" customWidth="1"/>
    <col min="7177" max="7424" width="8.88671875" style="426"/>
    <col min="7425" max="7425" width="27.5546875" style="426" bestFit="1" customWidth="1"/>
    <col min="7426" max="7426" width="13.109375" style="426" bestFit="1" customWidth="1"/>
    <col min="7427" max="7427" width="7.44140625" style="426" bestFit="1" customWidth="1"/>
    <col min="7428" max="7428" width="35.109375" style="426" bestFit="1" customWidth="1"/>
    <col min="7429" max="7429" width="5.6640625" style="426" bestFit="1" customWidth="1"/>
    <col min="7430" max="7430" width="8.44140625" style="426" customWidth="1"/>
    <col min="7431" max="7431" width="23.88671875" style="426" bestFit="1" customWidth="1"/>
    <col min="7432" max="7432" width="35" style="426" bestFit="1" customWidth="1"/>
    <col min="7433" max="7680" width="8.88671875" style="426"/>
    <col min="7681" max="7681" width="27.5546875" style="426" bestFit="1" customWidth="1"/>
    <col min="7682" max="7682" width="13.109375" style="426" bestFit="1" customWidth="1"/>
    <col min="7683" max="7683" width="7.44140625" style="426" bestFit="1" customWidth="1"/>
    <col min="7684" max="7684" width="35.109375" style="426" bestFit="1" customWidth="1"/>
    <col min="7685" max="7685" width="5.6640625" style="426" bestFit="1" customWidth="1"/>
    <col min="7686" max="7686" width="8.44140625" style="426" customWidth="1"/>
    <col min="7687" max="7687" width="23.88671875" style="426" bestFit="1" customWidth="1"/>
    <col min="7688" max="7688" width="35" style="426" bestFit="1" customWidth="1"/>
    <col min="7689" max="7936" width="8.88671875" style="426"/>
    <col min="7937" max="7937" width="27.5546875" style="426" bestFit="1" customWidth="1"/>
    <col min="7938" max="7938" width="13.109375" style="426" bestFit="1" customWidth="1"/>
    <col min="7939" max="7939" width="7.44140625" style="426" bestFit="1" customWidth="1"/>
    <col min="7940" max="7940" width="35.109375" style="426" bestFit="1" customWidth="1"/>
    <col min="7941" max="7941" width="5.6640625" style="426" bestFit="1" customWidth="1"/>
    <col min="7942" max="7942" width="8.44140625" style="426" customWidth="1"/>
    <col min="7943" max="7943" width="23.88671875" style="426" bestFit="1" customWidth="1"/>
    <col min="7944" max="7944" width="35" style="426" bestFit="1" customWidth="1"/>
    <col min="7945" max="8192" width="8.88671875" style="426"/>
    <col min="8193" max="8193" width="27.5546875" style="426" bestFit="1" customWidth="1"/>
    <col min="8194" max="8194" width="13.109375" style="426" bestFit="1" customWidth="1"/>
    <col min="8195" max="8195" width="7.44140625" style="426" bestFit="1" customWidth="1"/>
    <col min="8196" max="8196" width="35.109375" style="426" bestFit="1" customWidth="1"/>
    <col min="8197" max="8197" width="5.6640625" style="426" bestFit="1" customWidth="1"/>
    <col min="8198" max="8198" width="8.44140625" style="426" customWidth="1"/>
    <col min="8199" max="8199" width="23.88671875" style="426" bestFit="1" customWidth="1"/>
    <col min="8200" max="8200" width="35" style="426" bestFit="1" customWidth="1"/>
    <col min="8201" max="8448" width="8.88671875" style="426"/>
    <col min="8449" max="8449" width="27.5546875" style="426" bestFit="1" customWidth="1"/>
    <col min="8450" max="8450" width="13.109375" style="426" bestFit="1" customWidth="1"/>
    <col min="8451" max="8451" width="7.44140625" style="426" bestFit="1" customWidth="1"/>
    <col min="8452" max="8452" width="35.109375" style="426" bestFit="1" customWidth="1"/>
    <col min="8453" max="8453" width="5.6640625" style="426" bestFit="1" customWidth="1"/>
    <col min="8454" max="8454" width="8.44140625" style="426" customWidth="1"/>
    <col min="8455" max="8455" width="23.88671875" style="426" bestFit="1" customWidth="1"/>
    <col min="8456" max="8456" width="35" style="426" bestFit="1" customWidth="1"/>
    <col min="8457" max="8704" width="8.88671875" style="426"/>
    <col min="8705" max="8705" width="27.5546875" style="426" bestFit="1" customWidth="1"/>
    <col min="8706" max="8706" width="13.109375" style="426" bestFit="1" customWidth="1"/>
    <col min="8707" max="8707" width="7.44140625" style="426" bestFit="1" customWidth="1"/>
    <col min="8708" max="8708" width="35.109375" style="426" bestFit="1" customWidth="1"/>
    <col min="8709" max="8709" width="5.6640625" style="426" bestFit="1" customWidth="1"/>
    <col min="8710" max="8710" width="8.44140625" style="426" customWidth="1"/>
    <col min="8711" max="8711" width="23.88671875" style="426" bestFit="1" customWidth="1"/>
    <col min="8712" max="8712" width="35" style="426" bestFit="1" customWidth="1"/>
    <col min="8713" max="8960" width="8.88671875" style="426"/>
    <col min="8961" max="8961" width="27.5546875" style="426" bestFit="1" customWidth="1"/>
    <col min="8962" max="8962" width="13.109375" style="426" bestFit="1" customWidth="1"/>
    <col min="8963" max="8963" width="7.44140625" style="426" bestFit="1" customWidth="1"/>
    <col min="8964" max="8964" width="35.109375" style="426" bestFit="1" customWidth="1"/>
    <col min="8965" max="8965" width="5.6640625" style="426" bestFit="1" customWidth="1"/>
    <col min="8966" max="8966" width="8.44140625" style="426" customWidth="1"/>
    <col min="8967" max="8967" width="23.88671875" style="426" bestFit="1" customWidth="1"/>
    <col min="8968" max="8968" width="35" style="426" bestFit="1" customWidth="1"/>
    <col min="8969" max="9216" width="8.88671875" style="426"/>
    <col min="9217" max="9217" width="27.5546875" style="426" bestFit="1" customWidth="1"/>
    <col min="9218" max="9218" width="13.109375" style="426" bestFit="1" customWidth="1"/>
    <col min="9219" max="9219" width="7.44140625" style="426" bestFit="1" customWidth="1"/>
    <col min="9220" max="9220" width="35.109375" style="426" bestFit="1" customWidth="1"/>
    <col min="9221" max="9221" width="5.6640625" style="426" bestFit="1" customWidth="1"/>
    <col min="9222" max="9222" width="8.44140625" style="426" customWidth="1"/>
    <col min="9223" max="9223" width="23.88671875" style="426" bestFit="1" customWidth="1"/>
    <col min="9224" max="9224" width="35" style="426" bestFit="1" customWidth="1"/>
    <col min="9225" max="9472" width="8.88671875" style="426"/>
    <col min="9473" max="9473" width="27.5546875" style="426" bestFit="1" customWidth="1"/>
    <col min="9474" max="9474" width="13.109375" style="426" bestFit="1" customWidth="1"/>
    <col min="9475" max="9475" width="7.44140625" style="426" bestFit="1" customWidth="1"/>
    <col min="9476" max="9476" width="35.109375" style="426" bestFit="1" customWidth="1"/>
    <col min="9477" max="9477" width="5.6640625" style="426" bestFit="1" customWidth="1"/>
    <col min="9478" max="9478" width="8.44140625" style="426" customWidth="1"/>
    <col min="9479" max="9479" width="23.88671875" style="426" bestFit="1" customWidth="1"/>
    <col min="9480" max="9480" width="35" style="426" bestFit="1" customWidth="1"/>
    <col min="9481" max="9728" width="8.88671875" style="426"/>
    <col min="9729" max="9729" width="27.5546875" style="426" bestFit="1" customWidth="1"/>
    <col min="9730" max="9730" width="13.109375" style="426" bestFit="1" customWidth="1"/>
    <col min="9731" max="9731" width="7.44140625" style="426" bestFit="1" customWidth="1"/>
    <col min="9732" max="9732" width="35.109375" style="426" bestFit="1" customWidth="1"/>
    <col min="9733" max="9733" width="5.6640625" style="426" bestFit="1" customWidth="1"/>
    <col min="9734" max="9734" width="8.44140625" style="426" customWidth="1"/>
    <col min="9735" max="9735" width="23.88671875" style="426" bestFit="1" customWidth="1"/>
    <col min="9736" max="9736" width="35" style="426" bestFit="1" customWidth="1"/>
    <col min="9737" max="9984" width="8.88671875" style="426"/>
    <col min="9985" max="9985" width="27.5546875" style="426" bestFit="1" customWidth="1"/>
    <col min="9986" max="9986" width="13.109375" style="426" bestFit="1" customWidth="1"/>
    <col min="9987" max="9987" width="7.44140625" style="426" bestFit="1" customWidth="1"/>
    <col min="9988" max="9988" width="35.109375" style="426" bestFit="1" customWidth="1"/>
    <col min="9989" max="9989" width="5.6640625" style="426" bestFit="1" customWidth="1"/>
    <col min="9990" max="9990" width="8.44140625" style="426" customWidth="1"/>
    <col min="9991" max="9991" width="23.88671875" style="426" bestFit="1" customWidth="1"/>
    <col min="9992" max="9992" width="35" style="426" bestFit="1" customWidth="1"/>
    <col min="9993" max="10240" width="8.88671875" style="426"/>
    <col min="10241" max="10241" width="27.5546875" style="426" bestFit="1" customWidth="1"/>
    <col min="10242" max="10242" width="13.109375" style="426" bestFit="1" customWidth="1"/>
    <col min="10243" max="10243" width="7.44140625" style="426" bestFit="1" customWidth="1"/>
    <col min="10244" max="10244" width="35.109375" style="426" bestFit="1" customWidth="1"/>
    <col min="10245" max="10245" width="5.6640625" style="426" bestFit="1" customWidth="1"/>
    <col min="10246" max="10246" width="8.44140625" style="426" customWidth="1"/>
    <col min="10247" max="10247" width="23.88671875" style="426" bestFit="1" customWidth="1"/>
    <col min="10248" max="10248" width="35" style="426" bestFit="1" customWidth="1"/>
    <col min="10249" max="10496" width="8.88671875" style="426"/>
    <col min="10497" max="10497" width="27.5546875" style="426" bestFit="1" customWidth="1"/>
    <col min="10498" max="10498" width="13.109375" style="426" bestFit="1" customWidth="1"/>
    <col min="10499" max="10499" width="7.44140625" style="426" bestFit="1" customWidth="1"/>
    <col min="10500" max="10500" width="35.109375" style="426" bestFit="1" customWidth="1"/>
    <col min="10501" max="10501" width="5.6640625" style="426" bestFit="1" customWidth="1"/>
    <col min="10502" max="10502" width="8.44140625" style="426" customWidth="1"/>
    <col min="10503" max="10503" width="23.88671875" style="426" bestFit="1" customWidth="1"/>
    <col min="10504" max="10504" width="35" style="426" bestFit="1" customWidth="1"/>
    <col min="10505" max="10752" width="8.88671875" style="426"/>
    <col min="10753" max="10753" width="27.5546875" style="426" bestFit="1" customWidth="1"/>
    <col min="10754" max="10754" width="13.109375" style="426" bestFit="1" customWidth="1"/>
    <col min="10755" max="10755" width="7.44140625" style="426" bestFit="1" customWidth="1"/>
    <col min="10756" max="10756" width="35.109375" style="426" bestFit="1" customWidth="1"/>
    <col min="10757" max="10757" width="5.6640625" style="426" bestFit="1" customWidth="1"/>
    <col min="10758" max="10758" width="8.44140625" style="426" customWidth="1"/>
    <col min="10759" max="10759" width="23.88671875" style="426" bestFit="1" customWidth="1"/>
    <col min="10760" max="10760" width="35" style="426" bestFit="1" customWidth="1"/>
    <col min="10761" max="11008" width="8.88671875" style="426"/>
    <col min="11009" max="11009" width="27.5546875" style="426" bestFit="1" customWidth="1"/>
    <col min="11010" max="11010" width="13.109375" style="426" bestFit="1" customWidth="1"/>
    <col min="11011" max="11011" width="7.44140625" style="426" bestFit="1" customWidth="1"/>
    <col min="11012" max="11012" width="35.109375" style="426" bestFit="1" customWidth="1"/>
    <col min="11013" max="11013" width="5.6640625" style="426" bestFit="1" customWidth="1"/>
    <col min="11014" max="11014" width="8.44140625" style="426" customWidth="1"/>
    <col min="11015" max="11015" width="23.88671875" style="426" bestFit="1" customWidth="1"/>
    <col min="11016" max="11016" width="35" style="426" bestFit="1" customWidth="1"/>
    <col min="11017" max="11264" width="8.88671875" style="426"/>
    <col min="11265" max="11265" width="27.5546875" style="426" bestFit="1" customWidth="1"/>
    <col min="11266" max="11266" width="13.109375" style="426" bestFit="1" customWidth="1"/>
    <col min="11267" max="11267" width="7.44140625" style="426" bestFit="1" customWidth="1"/>
    <col min="11268" max="11268" width="35.109375" style="426" bestFit="1" customWidth="1"/>
    <col min="11269" max="11269" width="5.6640625" style="426" bestFit="1" customWidth="1"/>
    <col min="11270" max="11270" width="8.44140625" style="426" customWidth="1"/>
    <col min="11271" max="11271" width="23.88671875" style="426" bestFit="1" customWidth="1"/>
    <col min="11272" max="11272" width="35" style="426" bestFit="1" customWidth="1"/>
    <col min="11273" max="11520" width="8.88671875" style="426"/>
    <col min="11521" max="11521" width="27.5546875" style="426" bestFit="1" customWidth="1"/>
    <col min="11522" max="11522" width="13.109375" style="426" bestFit="1" customWidth="1"/>
    <col min="11523" max="11523" width="7.44140625" style="426" bestFit="1" customWidth="1"/>
    <col min="11524" max="11524" width="35.109375" style="426" bestFit="1" customWidth="1"/>
    <col min="11525" max="11525" width="5.6640625" style="426" bestFit="1" customWidth="1"/>
    <col min="11526" max="11526" width="8.44140625" style="426" customWidth="1"/>
    <col min="11527" max="11527" width="23.88671875" style="426" bestFit="1" customWidth="1"/>
    <col min="11528" max="11528" width="35" style="426" bestFit="1" customWidth="1"/>
    <col min="11529" max="11776" width="8.88671875" style="426"/>
    <col min="11777" max="11777" width="27.5546875" style="426" bestFit="1" customWidth="1"/>
    <col min="11778" max="11778" width="13.109375" style="426" bestFit="1" customWidth="1"/>
    <col min="11779" max="11779" width="7.44140625" style="426" bestFit="1" customWidth="1"/>
    <col min="11780" max="11780" width="35.109375" style="426" bestFit="1" customWidth="1"/>
    <col min="11781" max="11781" width="5.6640625" style="426" bestFit="1" customWidth="1"/>
    <col min="11782" max="11782" width="8.44140625" style="426" customWidth="1"/>
    <col min="11783" max="11783" width="23.88671875" style="426" bestFit="1" customWidth="1"/>
    <col min="11784" max="11784" width="35" style="426" bestFit="1" customWidth="1"/>
    <col min="11785" max="12032" width="8.88671875" style="426"/>
    <col min="12033" max="12033" width="27.5546875" style="426" bestFit="1" customWidth="1"/>
    <col min="12034" max="12034" width="13.109375" style="426" bestFit="1" customWidth="1"/>
    <col min="12035" max="12035" width="7.44140625" style="426" bestFit="1" customWidth="1"/>
    <col min="12036" max="12036" width="35.109375" style="426" bestFit="1" customWidth="1"/>
    <col min="12037" max="12037" width="5.6640625" style="426" bestFit="1" customWidth="1"/>
    <col min="12038" max="12038" width="8.44140625" style="426" customWidth="1"/>
    <col min="12039" max="12039" width="23.88671875" style="426" bestFit="1" customWidth="1"/>
    <col min="12040" max="12040" width="35" style="426" bestFit="1" customWidth="1"/>
    <col min="12041" max="12288" width="8.88671875" style="426"/>
    <col min="12289" max="12289" width="27.5546875" style="426" bestFit="1" customWidth="1"/>
    <col min="12290" max="12290" width="13.109375" style="426" bestFit="1" customWidth="1"/>
    <col min="12291" max="12291" width="7.44140625" style="426" bestFit="1" customWidth="1"/>
    <col min="12292" max="12292" width="35.109375" style="426" bestFit="1" customWidth="1"/>
    <col min="12293" max="12293" width="5.6640625" style="426" bestFit="1" customWidth="1"/>
    <col min="12294" max="12294" width="8.44140625" style="426" customWidth="1"/>
    <col min="12295" max="12295" width="23.88671875" style="426" bestFit="1" customWidth="1"/>
    <col min="12296" max="12296" width="35" style="426" bestFit="1" customWidth="1"/>
    <col min="12297" max="12544" width="8.88671875" style="426"/>
    <col min="12545" max="12545" width="27.5546875" style="426" bestFit="1" customWidth="1"/>
    <col min="12546" max="12546" width="13.109375" style="426" bestFit="1" customWidth="1"/>
    <col min="12547" max="12547" width="7.44140625" style="426" bestFit="1" customWidth="1"/>
    <col min="12548" max="12548" width="35.109375" style="426" bestFit="1" customWidth="1"/>
    <col min="12549" max="12549" width="5.6640625" style="426" bestFit="1" customWidth="1"/>
    <col min="12550" max="12550" width="8.44140625" style="426" customWidth="1"/>
    <col min="12551" max="12551" width="23.88671875" style="426" bestFit="1" customWidth="1"/>
    <col min="12552" max="12552" width="35" style="426" bestFit="1" customWidth="1"/>
    <col min="12553" max="12800" width="8.88671875" style="426"/>
    <col min="12801" max="12801" width="27.5546875" style="426" bestFit="1" customWidth="1"/>
    <col min="12802" max="12802" width="13.109375" style="426" bestFit="1" customWidth="1"/>
    <col min="12803" max="12803" width="7.44140625" style="426" bestFit="1" customWidth="1"/>
    <col min="12804" max="12804" width="35.109375" style="426" bestFit="1" customWidth="1"/>
    <col min="12805" max="12805" width="5.6640625" style="426" bestFit="1" customWidth="1"/>
    <col min="12806" max="12806" width="8.44140625" style="426" customWidth="1"/>
    <col min="12807" max="12807" width="23.88671875" style="426" bestFit="1" customWidth="1"/>
    <col min="12808" max="12808" width="35" style="426" bestFit="1" customWidth="1"/>
    <col min="12809" max="13056" width="8.88671875" style="426"/>
    <col min="13057" max="13057" width="27.5546875" style="426" bestFit="1" customWidth="1"/>
    <col min="13058" max="13058" width="13.109375" style="426" bestFit="1" customWidth="1"/>
    <col min="13059" max="13059" width="7.44140625" style="426" bestFit="1" customWidth="1"/>
    <col min="13060" max="13060" width="35.109375" style="426" bestFit="1" customWidth="1"/>
    <col min="13061" max="13061" width="5.6640625" style="426" bestFit="1" customWidth="1"/>
    <col min="13062" max="13062" width="8.44140625" style="426" customWidth="1"/>
    <col min="13063" max="13063" width="23.88671875" style="426" bestFit="1" customWidth="1"/>
    <col min="13064" max="13064" width="35" style="426" bestFit="1" customWidth="1"/>
    <col min="13065" max="13312" width="8.88671875" style="426"/>
    <col min="13313" max="13313" width="27.5546875" style="426" bestFit="1" customWidth="1"/>
    <col min="13314" max="13314" width="13.109375" style="426" bestFit="1" customWidth="1"/>
    <col min="13315" max="13315" width="7.44140625" style="426" bestFit="1" customWidth="1"/>
    <col min="13316" max="13316" width="35.109375" style="426" bestFit="1" customWidth="1"/>
    <col min="13317" max="13317" width="5.6640625" style="426" bestFit="1" customWidth="1"/>
    <col min="13318" max="13318" width="8.44140625" style="426" customWidth="1"/>
    <col min="13319" max="13319" width="23.88671875" style="426" bestFit="1" customWidth="1"/>
    <col min="13320" max="13320" width="35" style="426" bestFit="1" customWidth="1"/>
    <col min="13321" max="13568" width="8.88671875" style="426"/>
    <col min="13569" max="13569" width="27.5546875" style="426" bestFit="1" customWidth="1"/>
    <col min="13570" max="13570" width="13.109375" style="426" bestFit="1" customWidth="1"/>
    <col min="13571" max="13571" width="7.44140625" style="426" bestFit="1" customWidth="1"/>
    <col min="13572" max="13572" width="35.109375" style="426" bestFit="1" customWidth="1"/>
    <col min="13573" max="13573" width="5.6640625" style="426" bestFit="1" customWidth="1"/>
    <col min="13574" max="13574" width="8.44140625" style="426" customWidth="1"/>
    <col min="13575" max="13575" width="23.88671875" style="426" bestFit="1" customWidth="1"/>
    <col min="13576" max="13576" width="35" style="426" bestFit="1" customWidth="1"/>
    <col min="13577" max="13824" width="8.88671875" style="426"/>
    <col min="13825" max="13825" width="27.5546875" style="426" bestFit="1" customWidth="1"/>
    <col min="13826" max="13826" width="13.109375" style="426" bestFit="1" customWidth="1"/>
    <col min="13827" max="13827" width="7.44140625" style="426" bestFit="1" customWidth="1"/>
    <col min="13828" max="13828" width="35.109375" style="426" bestFit="1" customWidth="1"/>
    <col min="13829" max="13829" width="5.6640625" style="426" bestFit="1" customWidth="1"/>
    <col min="13830" max="13830" width="8.44140625" style="426" customWidth="1"/>
    <col min="13831" max="13831" width="23.88671875" style="426" bestFit="1" customWidth="1"/>
    <col min="13832" max="13832" width="35" style="426" bestFit="1" customWidth="1"/>
    <col min="13833" max="14080" width="8.88671875" style="426"/>
    <col min="14081" max="14081" width="27.5546875" style="426" bestFit="1" customWidth="1"/>
    <col min="14082" max="14082" width="13.109375" style="426" bestFit="1" customWidth="1"/>
    <col min="14083" max="14083" width="7.44140625" style="426" bestFit="1" customWidth="1"/>
    <col min="14084" max="14084" width="35.109375" style="426" bestFit="1" customWidth="1"/>
    <col min="14085" max="14085" width="5.6640625" style="426" bestFit="1" customWidth="1"/>
    <col min="14086" max="14086" width="8.44140625" style="426" customWidth="1"/>
    <col min="14087" max="14087" width="23.88671875" style="426" bestFit="1" customWidth="1"/>
    <col min="14088" max="14088" width="35" style="426" bestFit="1" customWidth="1"/>
    <col min="14089" max="14336" width="8.88671875" style="426"/>
    <col min="14337" max="14337" width="27.5546875" style="426" bestFit="1" customWidth="1"/>
    <col min="14338" max="14338" width="13.109375" style="426" bestFit="1" customWidth="1"/>
    <col min="14339" max="14339" width="7.44140625" style="426" bestFit="1" customWidth="1"/>
    <col min="14340" max="14340" width="35.109375" style="426" bestFit="1" customWidth="1"/>
    <col min="14341" max="14341" width="5.6640625" style="426" bestFit="1" customWidth="1"/>
    <col min="14342" max="14342" width="8.44140625" style="426" customWidth="1"/>
    <col min="14343" max="14343" width="23.88671875" style="426" bestFit="1" customWidth="1"/>
    <col min="14344" max="14344" width="35" style="426" bestFit="1" customWidth="1"/>
    <col min="14345" max="14592" width="8.88671875" style="426"/>
    <col min="14593" max="14593" width="27.5546875" style="426" bestFit="1" customWidth="1"/>
    <col min="14594" max="14594" width="13.109375" style="426" bestFit="1" customWidth="1"/>
    <col min="14595" max="14595" width="7.44140625" style="426" bestFit="1" customWidth="1"/>
    <col min="14596" max="14596" width="35.109375" style="426" bestFit="1" customWidth="1"/>
    <col min="14597" max="14597" width="5.6640625" style="426" bestFit="1" customWidth="1"/>
    <col min="14598" max="14598" width="8.44140625" style="426" customWidth="1"/>
    <col min="14599" max="14599" width="23.88671875" style="426" bestFit="1" customWidth="1"/>
    <col min="14600" max="14600" width="35" style="426" bestFit="1" customWidth="1"/>
    <col min="14601" max="14848" width="8.88671875" style="426"/>
    <col min="14849" max="14849" width="27.5546875" style="426" bestFit="1" customWidth="1"/>
    <col min="14850" max="14850" width="13.109375" style="426" bestFit="1" customWidth="1"/>
    <col min="14851" max="14851" width="7.44140625" style="426" bestFit="1" customWidth="1"/>
    <col min="14852" max="14852" width="35.109375" style="426" bestFit="1" customWidth="1"/>
    <col min="14853" max="14853" width="5.6640625" style="426" bestFit="1" customWidth="1"/>
    <col min="14854" max="14854" width="8.44140625" style="426" customWidth="1"/>
    <col min="14855" max="14855" width="23.88671875" style="426" bestFit="1" customWidth="1"/>
    <col min="14856" max="14856" width="35" style="426" bestFit="1" customWidth="1"/>
    <col min="14857" max="15104" width="8.88671875" style="426"/>
    <col min="15105" max="15105" width="27.5546875" style="426" bestFit="1" customWidth="1"/>
    <col min="15106" max="15106" width="13.109375" style="426" bestFit="1" customWidth="1"/>
    <col min="15107" max="15107" width="7.44140625" style="426" bestFit="1" customWidth="1"/>
    <col min="15108" max="15108" width="35.109375" style="426" bestFit="1" customWidth="1"/>
    <col min="15109" max="15109" width="5.6640625" style="426" bestFit="1" customWidth="1"/>
    <col min="15110" max="15110" width="8.44140625" style="426" customWidth="1"/>
    <col min="15111" max="15111" width="23.88671875" style="426" bestFit="1" customWidth="1"/>
    <col min="15112" max="15112" width="35" style="426" bestFit="1" customWidth="1"/>
    <col min="15113" max="15360" width="8.88671875" style="426"/>
    <col min="15361" max="15361" width="27.5546875" style="426" bestFit="1" customWidth="1"/>
    <col min="15362" max="15362" width="13.109375" style="426" bestFit="1" customWidth="1"/>
    <col min="15363" max="15363" width="7.44140625" style="426" bestFit="1" customWidth="1"/>
    <col min="15364" max="15364" width="35.109375" style="426" bestFit="1" customWidth="1"/>
    <col min="15365" max="15365" width="5.6640625" style="426" bestFit="1" customWidth="1"/>
    <col min="15366" max="15366" width="8.44140625" style="426" customWidth="1"/>
    <col min="15367" max="15367" width="23.88671875" style="426" bestFit="1" customWidth="1"/>
    <col min="15368" max="15368" width="35" style="426" bestFit="1" customWidth="1"/>
    <col min="15369" max="15616" width="8.88671875" style="426"/>
    <col min="15617" max="15617" width="27.5546875" style="426" bestFit="1" customWidth="1"/>
    <col min="15618" max="15618" width="13.109375" style="426" bestFit="1" customWidth="1"/>
    <col min="15619" max="15619" width="7.44140625" style="426" bestFit="1" customWidth="1"/>
    <col min="15620" max="15620" width="35.109375" style="426" bestFit="1" customWidth="1"/>
    <col min="15621" max="15621" width="5.6640625" style="426" bestFit="1" customWidth="1"/>
    <col min="15622" max="15622" width="8.44140625" style="426" customWidth="1"/>
    <col min="15623" max="15623" width="23.88671875" style="426" bestFit="1" customWidth="1"/>
    <col min="15624" max="15624" width="35" style="426" bestFit="1" customWidth="1"/>
    <col min="15625" max="15872" width="8.88671875" style="426"/>
    <col min="15873" max="15873" width="27.5546875" style="426" bestFit="1" customWidth="1"/>
    <col min="15874" max="15874" width="13.109375" style="426" bestFit="1" customWidth="1"/>
    <col min="15875" max="15875" width="7.44140625" style="426" bestFit="1" customWidth="1"/>
    <col min="15876" max="15876" width="35.109375" style="426" bestFit="1" customWidth="1"/>
    <col min="15877" max="15877" width="5.6640625" style="426" bestFit="1" customWidth="1"/>
    <col min="15878" max="15878" width="8.44140625" style="426" customWidth="1"/>
    <col min="15879" max="15879" width="23.88671875" style="426" bestFit="1" customWidth="1"/>
    <col min="15880" max="15880" width="35" style="426" bestFit="1" customWidth="1"/>
    <col min="15881" max="16128" width="8.88671875" style="426"/>
    <col min="16129" max="16129" width="27.5546875" style="426" bestFit="1" customWidth="1"/>
    <col min="16130" max="16130" width="13.109375" style="426" bestFit="1" customWidth="1"/>
    <col min="16131" max="16131" width="7.44140625" style="426" bestFit="1" customWidth="1"/>
    <col min="16132" max="16132" width="35.109375" style="426" bestFit="1" customWidth="1"/>
    <col min="16133" max="16133" width="5.6640625" style="426" bestFit="1" customWidth="1"/>
    <col min="16134" max="16134" width="8.44140625" style="426" customWidth="1"/>
    <col min="16135" max="16135" width="23.88671875" style="426" bestFit="1" customWidth="1"/>
    <col min="16136" max="16136" width="35" style="426" bestFit="1" customWidth="1"/>
    <col min="16137" max="16384" width="8.88671875" style="426"/>
  </cols>
  <sheetData>
    <row r="1" spans="1:8" x14ac:dyDescent="0.25">
      <c r="A1" s="629" t="s">
        <v>1791</v>
      </c>
      <c r="B1" s="629"/>
      <c r="C1" s="629"/>
      <c r="D1" s="629"/>
      <c r="E1" s="629"/>
      <c r="F1" s="425"/>
    </row>
    <row r="2" spans="1:8" x14ac:dyDescent="0.25">
      <c r="A2" s="425" t="s">
        <v>1792</v>
      </c>
      <c r="B2" s="425"/>
      <c r="C2" s="425"/>
      <c r="D2" s="425" t="s">
        <v>1793</v>
      </c>
      <c r="E2" s="425"/>
      <c r="F2" s="425"/>
    </row>
    <row r="3" spans="1:8" x14ac:dyDescent="0.25">
      <c r="A3" s="427" t="s">
        <v>657</v>
      </c>
      <c r="B3" s="427" t="s">
        <v>1794</v>
      </c>
      <c r="C3" s="427"/>
      <c r="D3" s="427" t="s">
        <v>657</v>
      </c>
      <c r="E3" s="428" t="s">
        <v>1795</v>
      </c>
    </row>
    <row r="4" spans="1:8" x14ac:dyDescent="0.25">
      <c r="A4" s="427" t="s">
        <v>658</v>
      </c>
      <c r="B4" s="427" t="s">
        <v>1796</v>
      </c>
      <c r="C4" s="427"/>
      <c r="D4" s="427" t="s">
        <v>658</v>
      </c>
      <c r="E4" s="428" t="s">
        <v>1797</v>
      </c>
    </row>
    <row r="5" spans="1:8" x14ac:dyDescent="0.25">
      <c r="A5" s="427" t="s">
        <v>1798</v>
      </c>
      <c r="B5" s="427" t="s">
        <v>1799</v>
      </c>
      <c r="C5" s="427"/>
      <c r="D5" s="429" t="s">
        <v>1800</v>
      </c>
      <c r="E5" s="428"/>
    </row>
    <row r="6" spans="1:8" x14ac:dyDescent="0.25">
      <c r="A6" s="427" t="s">
        <v>1801</v>
      </c>
      <c r="B6" s="427" t="s">
        <v>1796</v>
      </c>
      <c r="C6" s="427"/>
      <c r="D6" s="427" t="s">
        <v>1798</v>
      </c>
      <c r="E6" s="428" t="s">
        <v>1802</v>
      </c>
    </row>
    <row r="7" spans="1:8" x14ac:dyDescent="0.25">
      <c r="A7" s="427" t="s">
        <v>1803</v>
      </c>
      <c r="B7" s="427" t="s">
        <v>1796</v>
      </c>
      <c r="C7" s="427"/>
      <c r="D7" s="427" t="s">
        <v>1801</v>
      </c>
      <c r="E7" s="428" t="s">
        <v>1802</v>
      </c>
    </row>
    <row r="8" spans="1:8" x14ac:dyDescent="0.25">
      <c r="A8" s="427" t="s">
        <v>1804</v>
      </c>
      <c r="B8" s="427" t="s">
        <v>1805</v>
      </c>
      <c r="C8" s="427"/>
      <c r="D8" s="427" t="s">
        <v>1803</v>
      </c>
      <c r="E8" s="428" t="s">
        <v>1802</v>
      </c>
    </row>
    <row r="9" spans="1:8" x14ac:dyDescent="0.25">
      <c r="A9" s="427" t="s">
        <v>1806</v>
      </c>
      <c r="B9" s="427" t="s">
        <v>1807</v>
      </c>
      <c r="C9" s="427"/>
      <c r="D9" s="430" t="s">
        <v>1808</v>
      </c>
      <c r="E9" s="431">
        <v>0.109</v>
      </c>
    </row>
    <row r="10" spans="1:8" x14ac:dyDescent="0.25">
      <c r="A10" s="427" t="s">
        <v>1809</v>
      </c>
      <c r="B10" s="427" t="s">
        <v>1810</v>
      </c>
      <c r="C10" s="427"/>
      <c r="D10" s="430" t="s">
        <v>1811</v>
      </c>
      <c r="E10" s="431">
        <v>0.188</v>
      </c>
    </row>
    <row r="11" spans="1:8" x14ac:dyDescent="0.25">
      <c r="A11" s="427" t="s">
        <v>1812</v>
      </c>
      <c r="B11" s="427" t="s">
        <v>1813</v>
      </c>
      <c r="C11" s="427"/>
      <c r="D11" s="427" t="s">
        <v>1806</v>
      </c>
      <c r="E11" s="428" t="s">
        <v>1802</v>
      </c>
    </row>
    <row r="12" spans="1:8" x14ac:dyDescent="0.25">
      <c r="A12" s="427"/>
      <c r="B12" s="427"/>
      <c r="C12" s="427"/>
      <c r="D12" s="427" t="s">
        <v>1809</v>
      </c>
      <c r="E12" s="428" t="s">
        <v>1802</v>
      </c>
    </row>
    <row r="13" spans="1:8" x14ac:dyDescent="0.25">
      <c r="A13" s="427"/>
      <c r="B13" s="427"/>
      <c r="C13" s="427"/>
      <c r="D13" s="429" t="s">
        <v>1814</v>
      </c>
      <c r="E13" s="428"/>
    </row>
    <row r="14" spans="1:8" x14ac:dyDescent="0.25">
      <c r="A14" s="427"/>
      <c r="B14" s="427"/>
      <c r="C14" s="427"/>
      <c r="D14" s="427" t="s">
        <v>1798</v>
      </c>
      <c r="E14" s="428" t="s">
        <v>1802</v>
      </c>
    </row>
    <row r="15" spans="1:8" x14ac:dyDescent="0.25">
      <c r="A15" s="427"/>
      <c r="B15" s="427"/>
      <c r="C15" s="427"/>
      <c r="D15" s="427" t="s">
        <v>1815</v>
      </c>
      <c r="E15" s="428" t="s">
        <v>1816</v>
      </c>
      <c r="G15" s="426" t="s">
        <v>1817</v>
      </c>
    </row>
    <row r="16" spans="1:8" x14ac:dyDescent="0.25">
      <c r="A16" s="427"/>
      <c r="B16" s="427"/>
      <c r="C16" s="427"/>
      <c r="D16" s="427" t="s">
        <v>1818</v>
      </c>
      <c r="E16" s="428" t="s">
        <v>1795</v>
      </c>
      <c r="G16" s="427" t="s">
        <v>1819</v>
      </c>
      <c r="H16" s="427">
        <v>0.152</v>
      </c>
    </row>
    <row r="17" spans="1:8" x14ac:dyDescent="0.25">
      <c r="A17" s="427"/>
      <c r="B17" s="427"/>
      <c r="C17" s="427"/>
      <c r="D17" s="427" t="s">
        <v>1803</v>
      </c>
      <c r="E17" s="428" t="s">
        <v>1794</v>
      </c>
      <c r="G17" s="427" t="s">
        <v>1820</v>
      </c>
      <c r="H17" s="427">
        <v>0.152</v>
      </c>
    </row>
    <row r="18" spans="1:8" x14ac:dyDescent="0.25">
      <c r="A18" s="427"/>
      <c r="B18" s="427"/>
      <c r="C18" s="427"/>
      <c r="D18" s="427" t="s">
        <v>1821</v>
      </c>
      <c r="E18" s="428" t="s">
        <v>1799</v>
      </c>
      <c r="G18" s="427" t="s">
        <v>1822</v>
      </c>
      <c r="H18" s="427">
        <v>0.152</v>
      </c>
    </row>
    <row r="19" spans="1:8" x14ac:dyDescent="0.25">
      <c r="A19" s="427"/>
      <c r="B19" s="427"/>
      <c r="C19" s="427"/>
      <c r="D19" s="427" t="s">
        <v>1823</v>
      </c>
      <c r="E19" s="432">
        <v>0.20300000000000001</v>
      </c>
      <c r="G19" s="427" t="s">
        <v>1824</v>
      </c>
      <c r="H19" s="427">
        <v>0.152</v>
      </c>
    </row>
    <row r="20" spans="1:8" x14ac:dyDescent="0.25">
      <c r="A20" s="427"/>
      <c r="B20" s="427"/>
      <c r="C20" s="427"/>
      <c r="D20" s="427" t="s">
        <v>1806</v>
      </c>
      <c r="E20" s="432">
        <v>0.218</v>
      </c>
      <c r="G20" s="428" t="s">
        <v>1825</v>
      </c>
      <c r="H20" s="427">
        <v>0.152</v>
      </c>
    </row>
    <row r="21" spans="1:8" x14ac:dyDescent="0.25">
      <c r="A21" s="427"/>
      <c r="B21" s="427"/>
      <c r="C21" s="427"/>
      <c r="D21" s="427" t="s">
        <v>1826</v>
      </c>
      <c r="E21" s="428" t="s">
        <v>1827</v>
      </c>
      <c r="G21" s="427" t="s">
        <v>1828</v>
      </c>
      <c r="H21" s="427">
        <v>0.152</v>
      </c>
    </row>
    <row r="22" spans="1:8" x14ac:dyDescent="0.25">
      <c r="A22" s="427"/>
      <c r="B22" s="427"/>
      <c r="C22" s="427"/>
      <c r="D22" s="427" t="s">
        <v>1829</v>
      </c>
      <c r="E22" s="428" t="s">
        <v>1805</v>
      </c>
    </row>
    <row r="23" spans="1:8" x14ac:dyDescent="0.25">
      <c r="A23" s="427"/>
      <c r="B23" s="427"/>
      <c r="C23" s="427"/>
      <c r="D23" s="429" t="s">
        <v>1830</v>
      </c>
      <c r="E23" s="428"/>
    </row>
    <row r="24" spans="1:8" x14ac:dyDescent="0.25">
      <c r="A24" s="427"/>
      <c r="B24" s="427"/>
      <c r="C24" s="427"/>
      <c r="D24" s="427" t="s">
        <v>1801</v>
      </c>
      <c r="E24" s="428" t="s">
        <v>1794</v>
      </c>
    </row>
    <row r="25" spans="1:8" x14ac:dyDescent="0.25">
      <c r="A25" s="427"/>
      <c r="B25" s="427"/>
      <c r="C25" s="427"/>
      <c r="D25" s="427" t="s">
        <v>1803</v>
      </c>
      <c r="E25" s="428" t="s">
        <v>1794</v>
      </c>
    </row>
    <row r="26" spans="1:8" x14ac:dyDescent="0.25">
      <c r="A26" s="427"/>
      <c r="B26" s="427"/>
      <c r="C26" s="427"/>
      <c r="D26" s="427" t="s">
        <v>1821</v>
      </c>
      <c r="E26" s="432">
        <v>0.20300000000000001</v>
      </c>
    </row>
    <row r="27" spans="1:8" x14ac:dyDescent="0.25">
      <c r="A27" s="427"/>
      <c r="B27" s="427"/>
      <c r="C27" s="427"/>
      <c r="D27" s="427" t="s">
        <v>1823</v>
      </c>
      <c r="E27" s="428" t="s">
        <v>1796</v>
      </c>
    </row>
    <row r="28" spans="1:8" x14ac:dyDescent="0.25">
      <c r="A28" s="427"/>
      <c r="B28" s="427"/>
      <c r="C28" s="427"/>
      <c r="D28" s="427" t="s">
        <v>1831</v>
      </c>
      <c r="E28" s="428" t="s">
        <v>1832</v>
      </c>
    </row>
    <row r="29" spans="1:8" x14ac:dyDescent="0.25">
      <c r="A29" s="427"/>
      <c r="B29" s="427"/>
      <c r="C29" s="427"/>
      <c r="D29" s="427" t="s">
        <v>1833</v>
      </c>
      <c r="E29" s="432">
        <v>0.28100000000000003</v>
      </c>
    </row>
    <row r="30" spans="1:8" x14ac:dyDescent="0.25">
      <c r="A30" s="427"/>
      <c r="B30" s="427"/>
      <c r="C30" s="427"/>
      <c r="D30" s="427" t="s">
        <v>1826</v>
      </c>
      <c r="E30" s="428" t="s">
        <v>1805</v>
      </c>
    </row>
    <row r="31" spans="1:8" x14ac:dyDescent="0.25">
      <c r="A31" s="427"/>
      <c r="B31" s="427"/>
      <c r="C31" s="427"/>
      <c r="D31" s="427" t="s">
        <v>1829</v>
      </c>
      <c r="E31" s="428" t="s">
        <v>1834</v>
      </c>
    </row>
    <row r="32" spans="1:8" x14ac:dyDescent="0.25">
      <c r="A32" s="630" t="s">
        <v>1835</v>
      </c>
      <c r="B32" s="631"/>
      <c r="C32" s="631"/>
      <c r="D32" s="631"/>
      <c r="E32" s="632"/>
    </row>
    <row r="33" spans="1:3" x14ac:dyDescent="0.25">
      <c r="A33" s="433"/>
      <c r="B33" s="433" t="s">
        <v>1836</v>
      </c>
      <c r="C33" s="433"/>
    </row>
    <row r="34" spans="1:3" x14ac:dyDescent="0.25">
      <c r="A34" s="433" t="s">
        <v>1837</v>
      </c>
      <c r="B34" s="433" t="s">
        <v>1838</v>
      </c>
      <c r="C34" s="433" t="s">
        <v>1839</v>
      </c>
    </row>
    <row r="35" spans="1:3" x14ac:dyDescent="0.25">
      <c r="A35" s="433" t="s">
        <v>1840</v>
      </c>
      <c r="B35" s="433">
        <v>0.125</v>
      </c>
      <c r="C35" s="433">
        <f>B35</f>
        <v>0.125</v>
      </c>
    </row>
    <row r="36" spans="1:3" x14ac:dyDescent="0.25">
      <c r="A36" s="433" t="s">
        <v>1841</v>
      </c>
      <c r="B36" s="433">
        <v>0.188</v>
      </c>
      <c r="C36" s="433">
        <f>B36</f>
        <v>0.188</v>
      </c>
    </row>
    <row r="37" spans="1:3" x14ac:dyDescent="0.25">
      <c r="A37" s="433" t="s">
        <v>1842</v>
      </c>
      <c r="B37" s="433">
        <v>0.25</v>
      </c>
      <c r="C37" s="433">
        <f>B37</f>
        <v>0.25</v>
      </c>
    </row>
    <row r="38" spans="1:3" x14ac:dyDescent="0.25">
      <c r="A38" s="433"/>
      <c r="B38" s="433"/>
      <c r="C38" s="433"/>
    </row>
  </sheetData>
  <mergeCells count="2">
    <mergeCell ref="A1:E1"/>
    <mergeCell ref="A32:E32"/>
  </mergeCells>
  <pageMargins left="0.75" right="0.75" top="1" bottom="1" header="0.5" footer="0.5"/>
  <pageSetup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86D3-2162-4188-A96B-DE24370EC597}">
  <dimension ref="A1:IV140"/>
  <sheetViews>
    <sheetView zoomScale="55" zoomScaleNormal="55" workbookViewId="0">
      <selection activeCell="D7" sqref="D7"/>
    </sheetView>
  </sheetViews>
  <sheetFormatPr defaultColWidth="8.88671875" defaultRowHeight="13.2" x14ac:dyDescent="0.25"/>
  <cols>
    <col min="1" max="1" width="16.88671875" style="85" bestFit="1" customWidth="1"/>
    <col min="2" max="3" width="2.88671875" style="85" customWidth="1"/>
    <col min="4" max="4" width="20" style="86" customWidth="1"/>
    <col min="5" max="5" width="8.109375" style="85" customWidth="1"/>
    <col min="6" max="7" width="10.88671875" style="87" customWidth="1"/>
    <col min="8" max="8" width="10.88671875" style="88" customWidth="1"/>
    <col min="9" max="10" width="10.88671875" style="87" customWidth="1"/>
    <col min="11" max="11" width="16" style="87" customWidth="1"/>
    <col min="12" max="12" width="48.88671875" style="85" bestFit="1" customWidth="1"/>
    <col min="13" max="13" width="11.5546875" style="85" customWidth="1"/>
    <col min="14" max="14" width="16" style="85" customWidth="1"/>
    <col min="15" max="15" width="12.33203125" style="85" bestFit="1" customWidth="1"/>
    <col min="16" max="16" width="10.6640625" style="87" bestFit="1" customWidth="1"/>
    <col min="17" max="17" width="15.44140625" style="85" customWidth="1"/>
    <col min="18" max="18" width="12.88671875" style="85" customWidth="1"/>
    <col min="19" max="19" width="18" style="85" bestFit="1" customWidth="1"/>
    <col min="20" max="20" width="11.33203125" style="85" customWidth="1"/>
    <col min="21" max="22" width="2.6640625" style="85" customWidth="1"/>
    <col min="23" max="16384" width="8.88671875" style="85"/>
  </cols>
  <sheetData>
    <row r="1" spans="1:256" s="84" customFormat="1" ht="15.6" thickBot="1" x14ac:dyDescent="0.3">
      <c r="A1" s="633" t="s">
        <v>659</v>
      </c>
      <c r="B1" s="634"/>
      <c r="C1" s="634"/>
      <c r="D1" s="634"/>
      <c r="E1" s="634"/>
      <c r="F1" s="635"/>
      <c r="G1" s="82"/>
      <c r="H1" s="83"/>
      <c r="I1" s="82"/>
      <c r="J1" s="82"/>
      <c r="K1" s="633" t="s">
        <v>224</v>
      </c>
      <c r="L1" s="635"/>
      <c r="M1" s="633" t="s">
        <v>225</v>
      </c>
      <c r="N1" s="634"/>
      <c r="O1" s="634"/>
      <c r="P1" s="634"/>
      <c r="Q1" s="634"/>
      <c r="R1" s="634"/>
      <c r="S1" s="634"/>
      <c r="T1" s="635"/>
    </row>
    <row r="2" spans="1:256" s="84" customFormat="1" ht="15.6" thickBot="1" x14ac:dyDescent="0.3">
      <c r="A2" s="606" t="s">
        <v>660</v>
      </c>
      <c r="B2" s="607"/>
      <c r="C2" s="607"/>
      <c r="D2" s="607"/>
      <c r="E2" s="607"/>
      <c r="F2" s="607"/>
      <c r="G2" s="607"/>
      <c r="H2" s="607"/>
      <c r="I2" s="607"/>
      <c r="J2" s="607"/>
      <c r="K2" s="607"/>
      <c r="L2" s="636"/>
      <c r="M2" s="633" t="s">
        <v>661</v>
      </c>
      <c r="N2" s="634"/>
      <c r="O2" s="634"/>
      <c r="P2" s="635"/>
      <c r="Q2" s="638" t="s">
        <v>662</v>
      </c>
      <c r="R2" s="639"/>
      <c r="S2" s="639"/>
      <c r="T2" s="640"/>
    </row>
    <row r="3" spans="1:256" s="84" customFormat="1" ht="15.6" thickBot="1" x14ac:dyDescent="0.3">
      <c r="A3" s="608"/>
      <c r="B3" s="609"/>
      <c r="C3" s="609"/>
      <c r="D3" s="609"/>
      <c r="E3" s="609"/>
      <c r="F3" s="609"/>
      <c r="G3" s="609"/>
      <c r="H3" s="609"/>
      <c r="I3" s="609"/>
      <c r="J3" s="609"/>
      <c r="K3" s="609"/>
      <c r="L3" s="637"/>
      <c r="M3" s="641" t="s">
        <v>663</v>
      </c>
      <c r="N3" s="634"/>
      <c r="O3" s="634"/>
      <c r="P3" s="635"/>
      <c r="Q3" s="641" t="s">
        <v>664</v>
      </c>
      <c r="R3" s="634"/>
      <c r="S3" s="634"/>
      <c r="T3" s="635"/>
    </row>
    <row r="4" spans="1:256" ht="13.8" thickBot="1" x14ac:dyDescent="0.3">
      <c r="M4" s="89"/>
    </row>
    <row r="5" spans="1:256" ht="21.75" customHeight="1" thickTop="1" thickBot="1" x14ac:dyDescent="0.45">
      <c r="B5" s="90" t="s">
        <v>665</v>
      </c>
      <c r="C5" s="91"/>
      <c r="D5" s="92"/>
      <c r="E5" s="93"/>
      <c r="F5" s="94"/>
      <c r="G5" s="94"/>
      <c r="H5" s="95"/>
      <c r="I5" s="94"/>
      <c r="J5" s="94"/>
      <c r="K5" s="96"/>
      <c r="L5" s="91"/>
      <c r="M5" s="91"/>
      <c r="N5" s="91"/>
      <c r="O5" s="91"/>
      <c r="P5" s="94"/>
      <c r="Q5" s="91"/>
      <c r="R5" s="91"/>
      <c r="S5" s="91"/>
      <c r="T5" s="91"/>
      <c r="U5" s="97"/>
    </row>
    <row r="6" spans="1:256" s="98" customFormat="1" ht="47.25" customHeight="1" thickTop="1" thickBot="1" x14ac:dyDescent="0.3">
      <c r="B6" s="99"/>
      <c r="C6" s="100"/>
      <c r="D6" s="101" t="s">
        <v>666</v>
      </c>
      <c r="E6" s="101" t="s">
        <v>667</v>
      </c>
      <c r="F6" s="101" t="s">
        <v>668</v>
      </c>
      <c r="G6" s="101" t="s">
        <v>669</v>
      </c>
      <c r="H6" s="102" t="s">
        <v>670</v>
      </c>
      <c r="I6" s="101" t="s">
        <v>671</v>
      </c>
      <c r="J6" s="101" t="s">
        <v>672</v>
      </c>
      <c r="K6" s="101" t="s">
        <v>673</v>
      </c>
      <c r="L6" s="101" t="s">
        <v>674</v>
      </c>
      <c r="M6" s="101" t="s">
        <v>675</v>
      </c>
      <c r="N6" s="103" t="s">
        <v>676</v>
      </c>
      <c r="O6" s="101" t="s">
        <v>677</v>
      </c>
      <c r="P6" s="101" t="s">
        <v>678</v>
      </c>
      <c r="Q6" s="101" t="s">
        <v>679</v>
      </c>
      <c r="R6" s="101" t="s">
        <v>680</v>
      </c>
      <c r="S6" s="104" t="s">
        <v>681</v>
      </c>
      <c r="T6" s="105" t="s">
        <v>682</v>
      </c>
      <c r="U6" s="106"/>
    </row>
    <row r="7" spans="1:256" s="113" customFormat="1" ht="14.4" thickTop="1" thickBot="1" x14ac:dyDescent="0.3">
      <c r="A7" s="107" t="s">
        <v>683</v>
      </c>
      <c r="B7" s="108"/>
      <c r="C7" s="109"/>
      <c r="D7" s="110" t="s">
        <v>684</v>
      </c>
      <c r="E7" s="110" t="s">
        <v>685</v>
      </c>
      <c r="F7" s="110" t="s">
        <v>686</v>
      </c>
      <c r="G7" s="110" t="s">
        <v>687</v>
      </c>
      <c r="H7" s="110" t="s">
        <v>688</v>
      </c>
      <c r="I7" s="110" t="s">
        <v>689</v>
      </c>
      <c r="J7" s="110" t="s">
        <v>690</v>
      </c>
      <c r="K7" s="110" t="s">
        <v>691</v>
      </c>
      <c r="L7" s="110" t="s">
        <v>692</v>
      </c>
      <c r="M7" s="110" t="s">
        <v>693</v>
      </c>
      <c r="N7" s="111" t="s">
        <v>694</v>
      </c>
      <c r="O7" s="110" t="s">
        <v>695</v>
      </c>
      <c r="P7" s="110" t="s">
        <v>696</v>
      </c>
      <c r="Q7" s="110" t="s">
        <v>697</v>
      </c>
      <c r="R7" s="110" t="s">
        <v>698</v>
      </c>
      <c r="S7" s="111" t="s">
        <v>699</v>
      </c>
      <c r="T7" s="111" t="s">
        <v>700</v>
      </c>
      <c r="U7" s="112"/>
    </row>
    <row r="8" spans="1:256" s="113" customFormat="1" ht="16.8" thickTop="1" thickBot="1" x14ac:dyDescent="0.3">
      <c r="A8" s="114"/>
      <c r="B8" s="108"/>
      <c r="C8" s="115" t="s">
        <v>701</v>
      </c>
      <c r="D8" s="116"/>
      <c r="E8" s="116"/>
      <c r="F8" s="116"/>
      <c r="G8" s="116"/>
      <c r="H8" s="116"/>
      <c r="I8" s="116"/>
      <c r="J8" s="116"/>
      <c r="K8" s="116"/>
      <c r="L8" s="116"/>
      <c r="M8" s="116"/>
      <c r="N8" s="117"/>
      <c r="O8" s="116"/>
      <c r="P8" s="116"/>
      <c r="Q8" s="116"/>
      <c r="R8" s="116"/>
      <c r="S8" s="117"/>
      <c r="T8" s="117"/>
      <c r="U8" s="112"/>
    </row>
    <row r="9" spans="1:256" s="113" customFormat="1" ht="13.8" thickTop="1" x14ac:dyDescent="0.25">
      <c r="A9" s="118" t="str">
        <f>CONCATENATE(E9,Q9)</f>
        <v>8STL GALV</v>
      </c>
      <c r="B9" s="119"/>
      <c r="C9" s="120"/>
      <c r="D9" s="121" t="s">
        <v>702</v>
      </c>
      <c r="E9" s="122">
        <v>8</v>
      </c>
      <c r="F9" s="123" t="s">
        <v>703</v>
      </c>
      <c r="G9" s="123" t="s">
        <v>703</v>
      </c>
      <c r="H9" s="124">
        <v>0.15601000000000001</v>
      </c>
      <c r="I9" s="123" t="s">
        <v>704</v>
      </c>
      <c r="J9" s="123" t="s">
        <v>705</v>
      </c>
      <c r="K9" s="118" t="s">
        <v>706</v>
      </c>
      <c r="L9" s="122" t="s">
        <v>707</v>
      </c>
      <c r="M9" s="123" t="s">
        <v>708</v>
      </c>
      <c r="N9" s="125" t="s">
        <v>709</v>
      </c>
      <c r="O9" s="123" t="s">
        <v>710</v>
      </c>
      <c r="P9" s="123" t="s">
        <v>711</v>
      </c>
      <c r="Q9" s="123" t="s">
        <v>651</v>
      </c>
      <c r="R9" s="118" t="s">
        <v>712</v>
      </c>
      <c r="S9" s="118" t="s">
        <v>713</v>
      </c>
      <c r="T9" s="126" t="s">
        <v>713</v>
      </c>
      <c r="U9" s="127"/>
      <c r="V9" s="128"/>
      <c r="W9" s="128"/>
      <c r="X9" s="128"/>
      <c r="Y9" s="128"/>
      <c r="Z9" s="128"/>
      <c r="AA9" s="128"/>
      <c r="AB9" s="128"/>
      <c r="AC9" s="128"/>
      <c r="AD9" s="128"/>
      <c r="AE9" s="128"/>
      <c r="AF9" s="128"/>
      <c r="AG9" s="128"/>
      <c r="AH9" s="128"/>
      <c r="AI9" s="128"/>
      <c r="AJ9" s="128"/>
      <c r="AK9" s="128"/>
      <c r="AL9" s="128"/>
      <c r="AM9" s="128"/>
      <c r="AN9" s="128"/>
      <c r="AO9" s="128"/>
      <c r="AP9" s="128"/>
      <c r="AQ9" s="128"/>
      <c r="AR9" s="128"/>
      <c r="AS9" s="128"/>
      <c r="AT9" s="128"/>
      <c r="AU9" s="128"/>
      <c r="AV9" s="128"/>
      <c r="AW9" s="128"/>
      <c r="AX9" s="128"/>
      <c r="AY9" s="128"/>
      <c r="AZ9" s="128"/>
      <c r="BA9" s="128"/>
      <c r="BB9" s="128"/>
      <c r="BC9" s="128"/>
      <c r="BD9" s="128"/>
      <c r="BE9" s="128"/>
      <c r="BF9" s="128"/>
      <c r="BG9" s="128"/>
      <c r="BH9" s="128"/>
      <c r="BI9" s="128"/>
      <c r="BJ9" s="128"/>
      <c r="BK9" s="128"/>
      <c r="BL9" s="128"/>
      <c r="BM9" s="128"/>
      <c r="BN9" s="128"/>
      <c r="BO9" s="128"/>
      <c r="BP9" s="128"/>
      <c r="BQ9" s="128"/>
      <c r="BR9" s="128"/>
      <c r="BS9" s="128"/>
      <c r="BT9" s="128"/>
      <c r="BU9" s="128"/>
      <c r="BV9" s="128"/>
      <c r="BW9" s="128"/>
      <c r="BX9" s="128"/>
      <c r="BY9" s="128"/>
      <c r="BZ9" s="128"/>
      <c r="CA9" s="128"/>
      <c r="CB9" s="128"/>
      <c r="CC9" s="128"/>
      <c r="CD9" s="128"/>
      <c r="CE9" s="128"/>
      <c r="CF9" s="128"/>
      <c r="CG9" s="128"/>
      <c r="CH9" s="128"/>
      <c r="CI9" s="128"/>
      <c r="CJ9" s="128"/>
      <c r="CK9" s="128"/>
      <c r="CL9" s="128"/>
      <c r="CM9" s="128"/>
      <c r="CN9" s="128"/>
      <c r="CO9" s="128"/>
      <c r="CP9" s="128"/>
      <c r="CQ9" s="128"/>
      <c r="CR9" s="128"/>
      <c r="CS9" s="128"/>
      <c r="CT9" s="128"/>
      <c r="CU9" s="128"/>
      <c r="CV9" s="128"/>
      <c r="CW9" s="128"/>
      <c r="CX9" s="128"/>
      <c r="CY9" s="128"/>
      <c r="CZ9" s="128"/>
      <c r="DA9" s="128"/>
      <c r="DB9" s="128"/>
      <c r="DC9" s="128"/>
      <c r="DD9" s="128"/>
      <c r="DE9" s="128"/>
      <c r="DF9" s="128"/>
      <c r="DG9" s="128"/>
      <c r="DH9" s="128"/>
      <c r="DI9" s="128"/>
      <c r="DJ9" s="128"/>
      <c r="DK9" s="128"/>
      <c r="DL9" s="128"/>
      <c r="DM9" s="128"/>
      <c r="DN9" s="128"/>
      <c r="DO9" s="128"/>
      <c r="DP9" s="128"/>
      <c r="DQ9" s="128"/>
      <c r="DR9" s="128"/>
      <c r="DS9" s="128"/>
      <c r="DT9" s="128"/>
      <c r="DU9" s="128"/>
      <c r="DV9" s="128"/>
      <c r="DW9" s="128"/>
      <c r="DX9" s="128"/>
      <c r="DY9" s="128"/>
      <c r="DZ9" s="128"/>
      <c r="EA9" s="128"/>
      <c r="EB9" s="128"/>
      <c r="EC9" s="128"/>
      <c r="ED9" s="128"/>
      <c r="EE9" s="128"/>
      <c r="EF9" s="128"/>
      <c r="EG9" s="128"/>
      <c r="EH9" s="128"/>
      <c r="EI9" s="128"/>
      <c r="EJ9" s="128"/>
      <c r="EK9" s="128"/>
      <c r="EL9" s="128"/>
      <c r="EM9" s="128"/>
      <c r="EN9" s="128"/>
      <c r="EO9" s="128"/>
      <c r="EP9" s="128"/>
      <c r="EQ9" s="128"/>
      <c r="ER9" s="128"/>
      <c r="ES9" s="128"/>
      <c r="ET9" s="128"/>
      <c r="EU9" s="128"/>
      <c r="EV9" s="128"/>
      <c r="EW9" s="128"/>
      <c r="EX9" s="128"/>
      <c r="EY9" s="128"/>
      <c r="EZ9" s="128"/>
      <c r="FA9" s="128"/>
      <c r="FB9" s="128"/>
      <c r="FC9" s="128"/>
      <c r="FD9" s="128"/>
      <c r="FE9" s="128"/>
      <c r="FF9" s="128"/>
      <c r="FG9" s="128"/>
      <c r="FH9" s="128"/>
      <c r="FI9" s="128"/>
      <c r="FJ9" s="128"/>
      <c r="FK9" s="128"/>
      <c r="FL9" s="128"/>
      <c r="FM9" s="128"/>
      <c r="FN9" s="128"/>
      <c r="FO9" s="128"/>
      <c r="FP9" s="128"/>
      <c r="FQ9" s="128"/>
      <c r="FR9" s="128"/>
      <c r="FS9" s="128"/>
      <c r="FT9" s="128"/>
      <c r="FU9" s="128"/>
      <c r="FV9" s="128"/>
      <c r="FW9" s="128"/>
      <c r="FX9" s="128"/>
      <c r="FY9" s="128"/>
      <c r="FZ9" s="128"/>
      <c r="GA9" s="128"/>
      <c r="GB9" s="128"/>
      <c r="GC9" s="128"/>
      <c r="GD9" s="128"/>
      <c r="GE9" s="128"/>
      <c r="GF9" s="128"/>
      <c r="GG9" s="128"/>
      <c r="GH9" s="128"/>
      <c r="GI9" s="128"/>
      <c r="GJ9" s="128"/>
      <c r="GK9" s="128"/>
      <c r="GL9" s="128"/>
      <c r="GM9" s="128"/>
      <c r="GN9" s="128"/>
      <c r="GO9" s="128"/>
      <c r="GP9" s="128"/>
      <c r="GQ9" s="128"/>
      <c r="GR9" s="128"/>
      <c r="GS9" s="128"/>
      <c r="GT9" s="128"/>
      <c r="GU9" s="128"/>
      <c r="GV9" s="128"/>
      <c r="GW9" s="128"/>
      <c r="GX9" s="128"/>
      <c r="GY9" s="128"/>
      <c r="GZ9" s="128"/>
      <c r="HA9" s="128"/>
      <c r="HB9" s="128"/>
      <c r="HC9" s="128"/>
      <c r="HD9" s="128"/>
      <c r="HE9" s="128"/>
      <c r="HF9" s="128"/>
      <c r="HG9" s="128"/>
      <c r="HH9" s="128"/>
      <c r="HI9" s="128"/>
      <c r="HJ9" s="128"/>
      <c r="HK9" s="128"/>
      <c r="HL9" s="128"/>
      <c r="HM9" s="128"/>
      <c r="HN9" s="128"/>
      <c r="HO9" s="128"/>
      <c r="HP9" s="128"/>
      <c r="HQ9" s="128"/>
      <c r="HR9" s="128"/>
      <c r="HS9" s="128"/>
      <c r="HT9" s="128"/>
      <c r="HU9" s="128"/>
      <c r="HV9" s="128"/>
      <c r="HW9" s="128"/>
      <c r="HX9" s="128"/>
      <c r="HY9" s="128"/>
      <c r="HZ9" s="128"/>
      <c r="IA9" s="128"/>
      <c r="IB9" s="128"/>
      <c r="IC9" s="128"/>
      <c r="ID9" s="128"/>
      <c r="IE9" s="128"/>
      <c r="IF9" s="128"/>
      <c r="IG9" s="128"/>
      <c r="IH9" s="128"/>
      <c r="II9" s="128"/>
      <c r="IJ9" s="128"/>
      <c r="IK9" s="128"/>
      <c r="IL9" s="128"/>
      <c r="IM9" s="128"/>
      <c r="IN9" s="128"/>
      <c r="IO9" s="128"/>
      <c r="IP9" s="128"/>
      <c r="IQ9" s="128"/>
      <c r="IR9" s="128"/>
      <c r="IS9" s="128"/>
      <c r="IT9" s="128"/>
      <c r="IU9" s="128"/>
      <c r="IV9" s="128"/>
    </row>
    <row r="10" spans="1:256" s="113" customFormat="1" x14ac:dyDescent="0.25">
      <c r="A10" s="118" t="str">
        <f t="shared" ref="A10:A73" si="0">CONCATENATE(E10,Q10)</f>
        <v>10STL GALV</v>
      </c>
      <c r="B10" s="119"/>
      <c r="C10" s="120"/>
      <c r="D10" s="121" t="s">
        <v>702</v>
      </c>
      <c r="E10" s="122">
        <v>10</v>
      </c>
      <c r="F10" s="123" t="s">
        <v>714</v>
      </c>
      <c r="G10" s="123" t="s">
        <v>715</v>
      </c>
      <c r="H10" s="124">
        <v>0.12601000000000001</v>
      </c>
      <c r="I10" s="123" t="s">
        <v>716</v>
      </c>
      <c r="J10" s="123" t="s">
        <v>705</v>
      </c>
      <c r="K10" s="118" t="s">
        <v>717</v>
      </c>
      <c r="L10" s="122" t="s">
        <v>707</v>
      </c>
      <c r="M10" s="123" t="s">
        <v>708</v>
      </c>
      <c r="N10" s="125" t="s">
        <v>709</v>
      </c>
      <c r="O10" s="123" t="s">
        <v>710</v>
      </c>
      <c r="P10" s="123" t="s">
        <v>711</v>
      </c>
      <c r="Q10" s="123" t="s">
        <v>651</v>
      </c>
      <c r="R10" s="118" t="s">
        <v>718</v>
      </c>
      <c r="S10" s="118" t="s">
        <v>713</v>
      </c>
      <c r="T10" s="126" t="s">
        <v>713</v>
      </c>
      <c r="U10" s="127"/>
      <c r="V10" s="128"/>
      <c r="W10" s="128"/>
      <c r="X10" s="128"/>
      <c r="Y10" s="128"/>
      <c r="Z10" s="128"/>
      <c r="AA10" s="128"/>
      <c r="AB10" s="128"/>
      <c r="AC10" s="128"/>
      <c r="AD10" s="128"/>
      <c r="AE10" s="128"/>
      <c r="AF10" s="128"/>
      <c r="AG10" s="128"/>
      <c r="AH10" s="128"/>
      <c r="AI10" s="128"/>
      <c r="AJ10" s="128"/>
      <c r="AK10" s="128"/>
      <c r="AL10" s="128"/>
      <c r="AM10" s="128"/>
      <c r="AN10" s="128"/>
      <c r="AO10" s="128"/>
      <c r="AP10" s="128"/>
      <c r="AQ10" s="128"/>
      <c r="AR10" s="128"/>
      <c r="AS10" s="128"/>
      <c r="AT10" s="128"/>
      <c r="AU10" s="128"/>
      <c r="AV10" s="128"/>
      <c r="AW10" s="128"/>
      <c r="AX10" s="128"/>
      <c r="AY10" s="128"/>
      <c r="AZ10" s="128"/>
      <c r="BA10" s="128"/>
      <c r="BB10" s="128"/>
      <c r="BC10" s="128"/>
      <c r="BD10" s="128"/>
      <c r="BE10" s="128"/>
      <c r="BF10" s="128"/>
      <c r="BG10" s="128"/>
      <c r="BH10" s="128"/>
      <c r="BI10" s="128"/>
      <c r="BJ10" s="128"/>
      <c r="BK10" s="128"/>
      <c r="BL10" s="128"/>
      <c r="BM10" s="128"/>
      <c r="BN10" s="128"/>
      <c r="BO10" s="128"/>
      <c r="BP10" s="128"/>
      <c r="BQ10" s="128"/>
      <c r="BR10" s="128"/>
      <c r="BS10" s="128"/>
      <c r="BT10" s="128"/>
      <c r="BU10" s="128"/>
      <c r="BV10" s="128"/>
      <c r="BW10" s="128"/>
      <c r="BX10" s="128"/>
      <c r="BY10" s="128"/>
      <c r="BZ10" s="128"/>
      <c r="CA10" s="128"/>
      <c r="CB10" s="128"/>
      <c r="CC10" s="128"/>
      <c r="CD10" s="128"/>
      <c r="CE10" s="128"/>
      <c r="CF10" s="128"/>
      <c r="CG10" s="128"/>
      <c r="CH10" s="128"/>
      <c r="CI10" s="128"/>
      <c r="CJ10" s="128"/>
      <c r="CK10" s="128"/>
      <c r="CL10" s="128"/>
      <c r="CM10" s="128"/>
      <c r="CN10" s="128"/>
      <c r="CO10" s="128"/>
      <c r="CP10" s="128"/>
      <c r="CQ10" s="128"/>
      <c r="CR10" s="128"/>
      <c r="CS10" s="128"/>
      <c r="CT10" s="128"/>
      <c r="CU10" s="128"/>
      <c r="CV10" s="128"/>
      <c r="CW10" s="128"/>
      <c r="CX10" s="128"/>
      <c r="CY10" s="128"/>
      <c r="CZ10" s="128"/>
      <c r="DA10" s="128"/>
      <c r="DB10" s="128"/>
      <c r="DC10" s="128"/>
      <c r="DD10" s="128"/>
      <c r="DE10" s="128"/>
      <c r="DF10" s="128"/>
      <c r="DG10" s="128"/>
      <c r="DH10" s="128"/>
      <c r="DI10" s="128"/>
      <c r="DJ10" s="128"/>
      <c r="DK10" s="128"/>
      <c r="DL10" s="128"/>
      <c r="DM10" s="128"/>
      <c r="DN10" s="128"/>
      <c r="DO10" s="128"/>
      <c r="DP10" s="128"/>
      <c r="DQ10" s="128"/>
      <c r="DR10" s="128"/>
      <c r="DS10" s="128"/>
      <c r="DT10" s="128"/>
      <c r="DU10" s="128"/>
      <c r="DV10" s="128"/>
      <c r="DW10" s="128"/>
      <c r="DX10" s="128"/>
      <c r="DY10" s="128"/>
      <c r="DZ10" s="128"/>
      <c r="EA10" s="128"/>
      <c r="EB10" s="128"/>
      <c r="EC10" s="128"/>
      <c r="ED10" s="128"/>
      <c r="EE10" s="128"/>
      <c r="EF10" s="128"/>
      <c r="EG10" s="128"/>
      <c r="EH10" s="128"/>
      <c r="EI10" s="128"/>
      <c r="EJ10" s="128"/>
      <c r="EK10" s="128"/>
      <c r="EL10" s="128"/>
      <c r="EM10" s="128"/>
      <c r="EN10" s="128"/>
      <c r="EO10" s="128"/>
      <c r="EP10" s="128"/>
      <c r="EQ10" s="128"/>
      <c r="ER10" s="128"/>
      <c r="ES10" s="128"/>
      <c r="ET10" s="128"/>
      <c r="EU10" s="128"/>
      <c r="EV10" s="128"/>
      <c r="EW10" s="128"/>
      <c r="EX10" s="128"/>
      <c r="EY10" s="128"/>
      <c r="EZ10" s="128"/>
      <c r="FA10" s="128"/>
      <c r="FB10" s="128"/>
      <c r="FC10" s="128"/>
      <c r="FD10" s="128"/>
      <c r="FE10" s="128"/>
      <c r="FF10" s="128"/>
      <c r="FG10" s="128"/>
      <c r="FH10" s="128"/>
      <c r="FI10" s="128"/>
      <c r="FJ10" s="128"/>
      <c r="FK10" s="128"/>
      <c r="FL10" s="128"/>
      <c r="FM10" s="128"/>
      <c r="FN10" s="128"/>
      <c r="FO10" s="128"/>
      <c r="FP10" s="128"/>
      <c r="FQ10" s="128"/>
      <c r="FR10" s="128"/>
      <c r="FS10" s="128"/>
      <c r="FT10" s="128"/>
      <c r="FU10" s="128"/>
      <c r="FV10" s="128"/>
      <c r="FW10" s="128"/>
      <c r="FX10" s="128"/>
      <c r="FY10" s="128"/>
      <c r="FZ10" s="128"/>
      <c r="GA10" s="128"/>
      <c r="GB10" s="128"/>
      <c r="GC10" s="128"/>
      <c r="GD10" s="128"/>
      <c r="GE10" s="128"/>
      <c r="GF10" s="128"/>
      <c r="GG10" s="128"/>
      <c r="GH10" s="128"/>
      <c r="GI10" s="128"/>
      <c r="GJ10" s="128"/>
      <c r="GK10" s="128"/>
      <c r="GL10" s="128"/>
      <c r="GM10" s="128"/>
      <c r="GN10" s="128"/>
      <c r="GO10" s="128"/>
      <c r="GP10" s="128"/>
      <c r="GQ10" s="128"/>
      <c r="GR10" s="128"/>
      <c r="GS10" s="128"/>
      <c r="GT10" s="128"/>
      <c r="GU10" s="128"/>
      <c r="GV10" s="128"/>
      <c r="GW10" s="128"/>
      <c r="GX10" s="128"/>
      <c r="GY10" s="128"/>
      <c r="GZ10" s="128"/>
      <c r="HA10" s="128"/>
      <c r="HB10" s="128"/>
      <c r="HC10" s="128"/>
      <c r="HD10" s="128"/>
      <c r="HE10" s="128"/>
      <c r="HF10" s="128"/>
      <c r="HG10" s="128"/>
      <c r="HH10" s="128"/>
      <c r="HI10" s="128"/>
      <c r="HJ10" s="128"/>
      <c r="HK10" s="128"/>
      <c r="HL10" s="128"/>
      <c r="HM10" s="128"/>
      <c r="HN10" s="128"/>
      <c r="HO10" s="128"/>
      <c r="HP10" s="128"/>
      <c r="HQ10" s="128"/>
      <c r="HR10" s="128"/>
      <c r="HS10" s="128"/>
      <c r="HT10" s="128"/>
      <c r="HU10" s="128"/>
      <c r="HV10" s="128"/>
      <c r="HW10" s="128"/>
      <c r="HX10" s="128"/>
      <c r="HY10" s="128"/>
      <c r="HZ10" s="128"/>
      <c r="IA10" s="128"/>
      <c r="IB10" s="128"/>
      <c r="IC10" s="128"/>
      <c r="ID10" s="128"/>
      <c r="IE10" s="128"/>
      <c r="IF10" s="128"/>
      <c r="IG10" s="128"/>
      <c r="IH10" s="128"/>
      <c r="II10" s="128"/>
      <c r="IJ10" s="128"/>
      <c r="IK10" s="128"/>
      <c r="IL10" s="128"/>
      <c r="IM10" s="128"/>
      <c r="IN10" s="128"/>
      <c r="IO10" s="128"/>
      <c r="IP10" s="128"/>
      <c r="IQ10" s="128"/>
      <c r="IR10" s="128"/>
      <c r="IS10" s="128"/>
      <c r="IT10" s="128"/>
      <c r="IU10" s="128"/>
      <c r="IV10" s="128"/>
    </row>
    <row r="11" spans="1:256" s="113" customFormat="1" x14ac:dyDescent="0.25">
      <c r="A11" s="118" t="str">
        <f t="shared" si="0"/>
        <v>12STL GALV</v>
      </c>
      <c r="B11" s="119"/>
      <c r="C11" s="120"/>
      <c r="D11" s="121" t="s">
        <v>702</v>
      </c>
      <c r="E11" s="122">
        <v>12</v>
      </c>
      <c r="F11" s="123" t="s">
        <v>719</v>
      </c>
      <c r="G11" s="123" t="s">
        <v>720</v>
      </c>
      <c r="H11" s="124">
        <v>9.7009999999999999E-2</v>
      </c>
      <c r="I11" s="123" t="s">
        <v>716</v>
      </c>
      <c r="J11" s="123" t="s">
        <v>705</v>
      </c>
      <c r="K11" s="118" t="s">
        <v>721</v>
      </c>
      <c r="L11" s="122" t="s">
        <v>707</v>
      </c>
      <c r="M11" s="123" t="s">
        <v>708</v>
      </c>
      <c r="N11" s="125" t="s">
        <v>709</v>
      </c>
      <c r="O11" s="123" t="s">
        <v>722</v>
      </c>
      <c r="P11" s="123" t="s">
        <v>711</v>
      </c>
      <c r="Q11" s="123" t="s">
        <v>651</v>
      </c>
      <c r="R11" s="118" t="s">
        <v>723</v>
      </c>
      <c r="S11" s="118" t="s">
        <v>713</v>
      </c>
      <c r="T11" s="126" t="s">
        <v>713</v>
      </c>
      <c r="U11" s="127"/>
      <c r="V11" s="128"/>
      <c r="W11" s="128"/>
      <c r="X11" s="128"/>
      <c r="Y11" s="128"/>
      <c r="Z11" s="128"/>
      <c r="AA11" s="128"/>
      <c r="AB11" s="128"/>
      <c r="AC11" s="128"/>
      <c r="AD11" s="128"/>
      <c r="AE11" s="128"/>
      <c r="AF11" s="128"/>
      <c r="AG11" s="128"/>
      <c r="AH11" s="128"/>
      <c r="AI11" s="128"/>
      <c r="AJ11" s="128"/>
      <c r="AK11" s="128"/>
      <c r="AL11" s="128"/>
      <c r="AM11" s="128"/>
      <c r="AN11" s="128"/>
      <c r="AO11" s="128"/>
      <c r="AP11" s="128"/>
      <c r="AQ11" s="128"/>
      <c r="AR11" s="128"/>
      <c r="AS11" s="128"/>
      <c r="AT11" s="128"/>
      <c r="AU11" s="128"/>
      <c r="AV11" s="128"/>
      <c r="AW11" s="128"/>
      <c r="AX11" s="128"/>
      <c r="AY11" s="128"/>
      <c r="AZ11" s="128"/>
      <c r="BA11" s="128"/>
      <c r="BB11" s="128"/>
      <c r="BC11" s="128"/>
      <c r="BD11" s="128"/>
      <c r="BE11" s="128"/>
      <c r="BF11" s="128"/>
      <c r="BG11" s="128"/>
      <c r="BH11" s="128"/>
      <c r="BI11" s="128"/>
      <c r="BJ11" s="128"/>
      <c r="BK11" s="128"/>
      <c r="BL11" s="128"/>
      <c r="BM11" s="128"/>
      <c r="BN11" s="128"/>
      <c r="BO11" s="128"/>
      <c r="BP11" s="128"/>
      <c r="BQ11" s="128"/>
      <c r="BR11" s="128"/>
      <c r="BS11" s="128"/>
      <c r="BT11" s="128"/>
      <c r="BU11" s="128"/>
      <c r="BV11" s="128"/>
      <c r="BW11" s="128"/>
      <c r="BX11" s="128"/>
      <c r="BY11" s="128"/>
      <c r="BZ11" s="128"/>
      <c r="CA11" s="128"/>
      <c r="CB11" s="128"/>
      <c r="CC11" s="128"/>
      <c r="CD11" s="128"/>
      <c r="CE11" s="128"/>
      <c r="CF11" s="128"/>
      <c r="CG11" s="128"/>
      <c r="CH11" s="128"/>
      <c r="CI11" s="128"/>
      <c r="CJ11" s="128"/>
      <c r="CK11" s="128"/>
      <c r="CL11" s="128"/>
      <c r="CM11" s="128"/>
      <c r="CN11" s="128"/>
      <c r="CO11" s="128"/>
      <c r="CP11" s="128"/>
      <c r="CQ11" s="128"/>
      <c r="CR11" s="128"/>
      <c r="CS11" s="128"/>
      <c r="CT11" s="128"/>
      <c r="CU11" s="128"/>
      <c r="CV11" s="128"/>
      <c r="CW11" s="128"/>
      <c r="CX11" s="128"/>
      <c r="CY11" s="128"/>
      <c r="CZ11" s="128"/>
      <c r="DA11" s="128"/>
      <c r="DB11" s="128"/>
      <c r="DC11" s="128"/>
      <c r="DD11" s="128"/>
      <c r="DE11" s="128"/>
      <c r="DF11" s="128"/>
      <c r="DG11" s="128"/>
      <c r="DH11" s="128"/>
      <c r="DI11" s="128"/>
      <c r="DJ11" s="128"/>
      <c r="DK11" s="128"/>
      <c r="DL11" s="128"/>
      <c r="DM11" s="128"/>
      <c r="DN11" s="128"/>
      <c r="DO11" s="128"/>
      <c r="DP11" s="128"/>
      <c r="DQ11" s="128"/>
      <c r="DR11" s="128"/>
      <c r="DS11" s="128"/>
      <c r="DT11" s="128"/>
      <c r="DU11" s="128"/>
      <c r="DV11" s="128"/>
      <c r="DW11" s="128"/>
      <c r="DX11" s="128"/>
      <c r="DY11" s="128"/>
      <c r="DZ11" s="128"/>
      <c r="EA11" s="128"/>
      <c r="EB11" s="128"/>
      <c r="EC11" s="128"/>
      <c r="ED11" s="128"/>
      <c r="EE11" s="128"/>
      <c r="EF11" s="128"/>
      <c r="EG11" s="128"/>
      <c r="EH11" s="128"/>
      <c r="EI11" s="128"/>
      <c r="EJ11" s="128"/>
      <c r="EK11" s="128"/>
      <c r="EL11" s="128"/>
      <c r="EM11" s="128"/>
      <c r="EN11" s="128"/>
      <c r="EO11" s="128"/>
      <c r="EP11" s="128"/>
      <c r="EQ11" s="128"/>
      <c r="ER11" s="128"/>
      <c r="ES11" s="128"/>
      <c r="ET11" s="128"/>
      <c r="EU11" s="128"/>
      <c r="EV11" s="128"/>
      <c r="EW11" s="128"/>
      <c r="EX11" s="128"/>
      <c r="EY11" s="128"/>
      <c r="EZ11" s="128"/>
      <c r="FA11" s="128"/>
      <c r="FB11" s="128"/>
      <c r="FC11" s="128"/>
      <c r="FD11" s="128"/>
      <c r="FE11" s="128"/>
      <c r="FF11" s="128"/>
      <c r="FG11" s="128"/>
      <c r="FH11" s="128"/>
      <c r="FI11" s="128"/>
      <c r="FJ11" s="128"/>
      <c r="FK11" s="128"/>
      <c r="FL11" s="128"/>
      <c r="FM11" s="128"/>
      <c r="FN11" s="128"/>
      <c r="FO11" s="128"/>
      <c r="FP11" s="128"/>
      <c r="FQ11" s="128"/>
      <c r="FR11" s="128"/>
      <c r="FS11" s="128"/>
      <c r="FT11" s="128"/>
      <c r="FU11" s="128"/>
      <c r="FV11" s="128"/>
      <c r="FW11" s="128"/>
      <c r="FX11" s="128"/>
      <c r="FY11" s="128"/>
      <c r="FZ11" s="128"/>
      <c r="GA11" s="128"/>
      <c r="GB11" s="128"/>
      <c r="GC11" s="128"/>
      <c r="GD11" s="128"/>
      <c r="GE11" s="128"/>
      <c r="GF11" s="128"/>
      <c r="GG11" s="128"/>
      <c r="GH11" s="128"/>
      <c r="GI11" s="128"/>
      <c r="GJ11" s="128"/>
      <c r="GK11" s="128"/>
      <c r="GL11" s="128"/>
      <c r="GM11" s="128"/>
      <c r="GN11" s="128"/>
      <c r="GO11" s="128"/>
      <c r="GP11" s="128"/>
      <c r="GQ11" s="128"/>
      <c r="GR11" s="128"/>
      <c r="GS11" s="128"/>
      <c r="GT11" s="128"/>
      <c r="GU11" s="128"/>
      <c r="GV11" s="128"/>
      <c r="GW11" s="128"/>
      <c r="GX11" s="128"/>
      <c r="GY11" s="128"/>
      <c r="GZ11" s="128"/>
      <c r="HA11" s="128"/>
      <c r="HB11" s="128"/>
      <c r="HC11" s="128"/>
      <c r="HD11" s="128"/>
      <c r="HE11" s="128"/>
      <c r="HF11" s="128"/>
      <c r="HG11" s="128"/>
      <c r="HH11" s="128"/>
      <c r="HI11" s="128"/>
      <c r="HJ11" s="128"/>
      <c r="HK11" s="128"/>
      <c r="HL11" s="128"/>
      <c r="HM11" s="128"/>
      <c r="HN11" s="128"/>
      <c r="HO11" s="128"/>
      <c r="HP11" s="128"/>
      <c r="HQ11" s="128"/>
      <c r="HR11" s="128"/>
      <c r="HS11" s="128"/>
      <c r="HT11" s="128"/>
      <c r="HU11" s="128"/>
      <c r="HV11" s="128"/>
      <c r="HW11" s="128"/>
      <c r="HX11" s="128"/>
      <c r="HY11" s="128"/>
      <c r="HZ11" s="128"/>
      <c r="IA11" s="128"/>
      <c r="IB11" s="128"/>
      <c r="IC11" s="128"/>
      <c r="ID11" s="128"/>
      <c r="IE11" s="128"/>
      <c r="IF11" s="128"/>
      <c r="IG11" s="128"/>
      <c r="IH11" s="128"/>
      <c r="II11" s="128"/>
      <c r="IJ11" s="128"/>
      <c r="IK11" s="128"/>
      <c r="IL11" s="128"/>
      <c r="IM11" s="128"/>
      <c r="IN11" s="128"/>
      <c r="IO11" s="128"/>
      <c r="IP11" s="128"/>
      <c r="IQ11" s="128"/>
      <c r="IR11" s="128"/>
      <c r="IS11" s="128"/>
      <c r="IT11" s="128"/>
      <c r="IU11" s="128"/>
      <c r="IV11" s="128"/>
    </row>
    <row r="12" spans="1:256" s="113" customFormat="1" x14ac:dyDescent="0.25">
      <c r="A12" s="118" t="str">
        <f t="shared" si="0"/>
        <v>14STL GALV</v>
      </c>
      <c r="B12" s="119"/>
      <c r="C12" s="120"/>
      <c r="D12" s="121" t="s">
        <v>702</v>
      </c>
      <c r="E12" s="122">
        <v>14</v>
      </c>
      <c r="F12" s="123" t="s">
        <v>724</v>
      </c>
      <c r="G12" s="123" t="s">
        <v>725</v>
      </c>
      <c r="H12" s="124">
        <v>7.0010000000000003E-2</v>
      </c>
      <c r="I12" s="123" t="s">
        <v>716</v>
      </c>
      <c r="J12" s="123" t="s">
        <v>705</v>
      </c>
      <c r="K12" s="118" t="s">
        <v>726</v>
      </c>
      <c r="L12" s="122" t="s">
        <v>707</v>
      </c>
      <c r="M12" s="123" t="s">
        <v>708</v>
      </c>
      <c r="N12" s="125" t="s">
        <v>709</v>
      </c>
      <c r="O12" s="123" t="s">
        <v>722</v>
      </c>
      <c r="P12" s="123" t="s">
        <v>711</v>
      </c>
      <c r="Q12" s="123" t="s">
        <v>651</v>
      </c>
      <c r="R12" s="118" t="s">
        <v>727</v>
      </c>
      <c r="S12" s="118" t="s">
        <v>713</v>
      </c>
      <c r="T12" s="126" t="s">
        <v>713</v>
      </c>
      <c r="U12" s="127"/>
      <c r="V12" s="128"/>
      <c r="W12" s="128"/>
      <c r="X12" s="128"/>
      <c r="Y12" s="128"/>
      <c r="Z12" s="128"/>
      <c r="AA12" s="128"/>
      <c r="AB12" s="128"/>
      <c r="AC12" s="128"/>
      <c r="AD12" s="128"/>
      <c r="AE12" s="128"/>
      <c r="AF12" s="128"/>
      <c r="AG12" s="128"/>
      <c r="AH12" s="128"/>
      <c r="AI12" s="128"/>
      <c r="AJ12" s="128"/>
      <c r="AK12" s="128"/>
      <c r="AL12" s="128"/>
      <c r="AM12" s="128"/>
      <c r="AN12" s="128"/>
      <c r="AO12" s="128"/>
      <c r="AP12" s="128"/>
      <c r="AQ12" s="128"/>
      <c r="AR12" s="128"/>
      <c r="AS12" s="128"/>
      <c r="AT12" s="128"/>
      <c r="AU12" s="128"/>
      <c r="AV12" s="128"/>
      <c r="AW12" s="128"/>
      <c r="AX12" s="128"/>
      <c r="AY12" s="128"/>
      <c r="AZ12" s="128"/>
      <c r="BA12" s="128"/>
      <c r="BB12" s="128"/>
      <c r="BC12" s="128"/>
      <c r="BD12" s="128"/>
      <c r="BE12" s="128"/>
      <c r="BF12" s="128"/>
      <c r="BG12" s="128"/>
      <c r="BH12" s="128"/>
      <c r="BI12" s="128"/>
      <c r="BJ12" s="128"/>
      <c r="BK12" s="128"/>
      <c r="BL12" s="128"/>
      <c r="BM12" s="128"/>
      <c r="BN12" s="128"/>
      <c r="BO12" s="128"/>
      <c r="BP12" s="128"/>
      <c r="BQ12" s="128"/>
      <c r="BR12" s="128"/>
      <c r="BS12" s="128"/>
      <c r="BT12" s="128"/>
      <c r="BU12" s="128"/>
      <c r="BV12" s="128"/>
      <c r="BW12" s="128"/>
      <c r="BX12" s="128"/>
      <c r="BY12" s="128"/>
      <c r="BZ12" s="128"/>
      <c r="CA12" s="128"/>
      <c r="CB12" s="128"/>
      <c r="CC12" s="128"/>
      <c r="CD12" s="128"/>
      <c r="CE12" s="128"/>
      <c r="CF12" s="128"/>
      <c r="CG12" s="128"/>
      <c r="CH12" s="128"/>
      <c r="CI12" s="128"/>
      <c r="CJ12" s="128"/>
      <c r="CK12" s="128"/>
      <c r="CL12" s="128"/>
      <c r="CM12" s="128"/>
      <c r="CN12" s="128"/>
      <c r="CO12" s="128"/>
      <c r="CP12" s="128"/>
      <c r="CQ12" s="128"/>
      <c r="CR12" s="128"/>
      <c r="CS12" s="128"/>
      <c r="CT12" s="128"/>
      <c r="CU12" s="128"/>
      <c r="CV12" s="128"/>
      <c r="CW12" s="128"/>
      <c r="CX12" s="128"/>
      <c r="CY12" s="128"/>
      <c r="CZ12" s="128"/>
      <c r="DA12" s="128"/>
      <c r="DB12" s="128"/>
      <c r="DC12" s="128"/>
      <c r="DD12" s="128"/>
      <c r="DE12" s="128"/>
      <c r="DF12" s="128"/>
      <c r="DG12" s="128"/>
      <c r="DH12" s="128"/>
      <c r="DI12" s="128"/>
      <c r="DJ12" s="128"/>
      <c r="DK12" s="128"/>
      <c r="DL12" s="128"/>
      <c r="DM12" s="128"/>
      <c r="DN12" s="128"/>
      <c r="DO12" s="128"/>
      <c r="DP12" s="128"/>
      <c r="DQ12" s="128"/>
      <c r="DR12" s="128"/>
      <c r="DS12" s="128"/>
      <c r="DT12" s="128"/>
      <c r="DU12" s="128"/>
      <c r="DV12" s="128"/>
      <c r="DW12" s="128"/>
      <c r="DX12" s="128"/>
      <c r="DY12" s="128"/>
      <c r="DZ12" s="128"/>
      <c r="EA12" s="128"/>
      <c r="EB12" s="128"/>
      <c r="EC12" s="128"/>
      <c r="ED12" s="128"/>
      <c r="EE12" s="128"/>
      <c r="EF12" s="128"/>
      <c r="EG12" s="128"/>
      <c r="EH12" s="128"/>
      <c r="EI12" s="128"/>
      <c r="EJ12" s="128"/>
      <c r="EK12" s="128"/>
      <c r="EL12" s="128"/>
      <c r="EM12" s="128"/>
      <c r="EN12" s="128"/>
      <c r="EO12" s="128"/>
      <c r="EP12" s="128"/>
      <c r="EQ12" s="128"/>
      <c r="ER12" s="128"/>
      <c r="ES12" s="128"/>
      <c r="ET12" s="128"/>
      <c r="EU12" s="128"/>
      <c r="EV12" s="128"/>
      <c r="EW12" s="128"/>
      <c r="EX12" s="128"/>
      <c r="EY12" s="128"/>
      <c r="EZ12" s="128"/>
      <c r="FA12" s="128"/>
      <c r="FB12" s="128"/>
      <c r="FC12" s="128"/>
      <c r="FD12" s="128"/>
      <c r="FE12" s="128"/>
      <c r="FF12" s="128"/>
      <c r="FG12" s="128"/>
      <c r="FH12" s="128"/>
      <c r="FI12" s="128"/>
      <c r="FJ12" s="128"/>
      <c r="FK12" s="128"/>
      <c r="FL12" s="128"/>
      <c r="FM12" s="128"/>
      <c r="FN12" s="128"/>
      <c r="FO12" s="128"/>
      <c r="FP12" s="128"/>
      <c r="FQ12" s="128"/>
      <c r="FR12" s="128"/>
      <c r="FS12" s="128"/>
      <c r="FT12" s="128"/>
      <c r="FU12" s="128"/>
      <c r="FV12" s="128"/>
      <c r="FW12" s="128"/>
      <c r="FX12" s="128"/>
      <c r="FY12" s="128"/>
      <c r="FZ12" s="128"/>
      <c r="GA12" s="128"/>
      <c r="GB12" s="128"/>
      <c r="GC12" s="128"/>
      <c r="GD12" s="128"/>
      <c r="GE12" s="128"/>
      <c r="GF12" s="128"/>
      <c r="GG12" s="128"/>
      <c r="GH12" s="128"/>
      <c r="GI12" s="128"/>
      <c r="GJ12" s="128"/>
      <c r="GK12" s="128"/>
      <c r="GL12" s="128"/>
      <c r="GM12" s="128"/>
      <c r="GN12" s="128"/>
      <c r="GO12" s="128"/>
      <c r="GP12" s="128"/>
      <c r="GQ12" s="128"/>
      <c r="GR12" s="128"/>
      <c r="GS12" s="128"/>
      <c r="GT12" s="128"/>
      <c r="GU12" s="128"/>
      <c r="GV12" s="128"/>
      <c r="GW12" s="128"/>
      <c r="GX12" s="128"/>
      <c r="GY12" s="128"/>
      <c r="GZ12" s="128"/>
      <c r="HA12" s="128"/>
      <c r="HB12" s="128"/>
      <c r="HC12" s="128"/>
      <c r="HD12" s="128"/>
      <c r="HE12" s="128"/>
      <c r="HF12" s="128"/>
      <c r="HG12" s="128"/>
      <c r="HH12" s="128"/>
      <c r="HI12" s="128"/>
      <c r="HJ12" s="128"/>
      <c r="HK12" s="128"/>
      <c r="HL12" s="128"/>
      <c r="HM12" s="128"/>
      <c r="HN12" s="128"/>
      <c r="HO12" s="128"/>
      <c r="HP12" s="128"/>
      <c r="HQ12" s="128"/>
      <c r="HR12" s="128"/>
      <c r="HS12" s="128"/>
      <c r="HT12" s="128"/>
      <c r="HU12" s="128"/>
      <c r="HV12" s="128"/>
      <c r="HW12" s="128"/>
      <c r="HX12" s="128"/>
      <c r="HY12" s="128"/>
      <c r="HZ12" s="128"/>
      <c r="IA12" s="128"/>
      <c r="IB12" s="128"/>
      <c r="IC12" s="128"/>
      <c r="ID12" s="128"/>
      <c r="IE12" s="128"/>
      <c r="IF12" s="128"/>
      <c r="IG12" s="128"/>
      <c r="IH12" s="128"/>
      <c r="II12" s="128"/>
      <c r="IJ12" s="128"/>
      <c r="IK12" s="128"/>
      <c r="IL12" s="128"/>
      <c r="IM12" s="128"/>
      <c r="IN12" s="128"/>
      <c r="IO12" s="128"/>
      <c r="IP12" s="128"/>
      <c r="IQ12" s="128"/>
      <c r="IR12" s="128"/>
      <c r="IS12" s="128"/>
      <c r="IT12" s="128"/>
      <c r="IU12" s="128"/>
      <c r="IV12" s="128"/>
    </row>
    <row r="13" spans="1:256" s="113" customFormat="1" x14ac:dyDescent="0.25">
      <c r="A13" s="118" t="str">
        <f t="shared" si="0"/>
        <v>16STL GALV</v>
      </c>
      <c r="B13" s="119"/>
      <c r="C13" s="120"/>
      <c r="D13" s="121" t="s">
        <v>702</v>
      </c>
      <c r="E13" s="122">
        <v>16</v>
      </c>
      <c r="F13" s="123" t="s">
        <v>728</v>
      </c>
      <c r="G13" s="123" t="s">
        <v>729</v>
      </c>
      <c r="H13" s="124">
        <v>5.6009999999999997E-2</v>
      </c>
      <c r="I13" s="123" t="s">
        <v>704</v>
      </c>
      <c r="J13" s="123" t="s">
        <v>705</v>
      </c>
      <c r="K13" s="118" t="s">
        <v>730</v>
      </c>
      <c r="L13" s="122" t="s">
        <v>707</v>
      </c>
      <c r="M13" s="123" t="s">
        <v>708</v>
      </c>
      <c r="N13" s="125" t="s">
        <v>709</v>
      </c>
      <c r="O13" s="123" t="s">
        <v>722</v>
      </c>
      <c r="P13" s="123" t="s">
        <v>711</v>
      </c>
      <c r="Q13" s="123" t="s">
        <v>651</v>
      </c>
      <c r="R13" s="118" t="s">
        <v>731</v>
      </c>
      <c r="S13" s="118" t="s">
        <v>713</v>
      </c>
      <c r="T13" s="126" t="s">
        <v>713</v>
      </c>
      <c r="U13" s="127"/>
      <c r="V13" s="128"/>
      <c r="W13" s="128"/>
      <c r="X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8"/>
      <c r="BB13" s="128"/>
      <c r="BC13" s="128"/>
      <c r="BD13" s="128"/>
      <c r="BE13" s="128"/>
      <c r="BF13" s="128"/>
      <c r="BG13" s="128"/>
      <c r="BH13" s="128"/>
      <c r="BI13" s="128"/>
      <c r="BJ13" s="128"/>
      <c r="BK13" s="128"/>
      <c r="BL13" s="128"/>
      <c r="BM13" s="128"/>
      <c r="BN13" s="128"/>
      <c r="BO13" s="128"/>
      <c r="BP13" s="128"/>
      <c r="BQ13" s="128"/>
      <c r="BR13" s="128"/>
      <c r="BS13" s="128"/>
      <c r="BT13" s="128"/>
      <c r="BU13" s="128"/>
      <c r="BV13" s="128"/>
      <c r="BW13" s="128"/>
      <c r="BX13" s="128"/>
      <c r="BY13" s="128"/>
      <c r="BZ13" s="128"/>
      <c r="CA13" s="128"/>
      <c r="CB13" s="128"/>
      <c r="CC13" s="128"/>
      <c r="CD13" s="128"/>
      <c r="CE13" s="128"/>
      <c r="CF13" s="128"/>
      <c r="CG13" s="128"/>
      <c r="CH13" s="128"/>
      <c r="CI13" s="128"/>
      <c r="CJ13" s="128"/>
      <c r="CK13" s="128"/>
      <c r="CL13" s="128"/>
      <c r="CM13" s="128"/>
      <c r="CN13" s="128"/>
      <c r="CO13" s="128"/>
      <c r="CP13" s="128"/>
      <c r="CQ13" s="128"/>
      <c r="CR13" s="128"/>
      <c r="CS13" s="128"/>
      <c r="CT13" s="128"/>
      <c r="CU13" s="128"/>
      <c r="CV13" s="128"/>
      <c r="CW13" s="128"/>
      <c r="CX13" s="128"/>
      <c r="CY13" s="128"/>
      <c r="CZ13" s="128"/>
      <c r="DA13" s="128"/>
      <c r="DB13" s="128"/>
      <c r="DC13" s="128"/>
      <c r="DD13" s="128"/>
      <c r="DE13" s="128"/>
      <c r="DF13" s="128"/>
      <c r="DG13" s="128"/>
      <c r="DH13" s="128"/>
      <c r="DI13" s="128"/>
      <c r="DJ13" s="128"/>
      <c r="DK13" s="128"/>
      <c r="DL13" s="128"/>
      <c r="DM13" s="128"/>
      <c r="DN13" s="128"/>
      <c r="DO13" s="128"/>
      <c r="DP13" s="128"/>
      <c r="DQ13" s="128"/>
      <c r="DR13" s="128"/>
      <c r="DS13" s="128"/>
      <c r="DT13" s="128"/>
      <c r="DU13" s="128"/>
      <c r="DV13" s="128"/>
      <c r="DW13" s="128"/>
      <c r="DX13" s="128"/>
      <c r="DY13" s="128"/>
      <c r="DZ13" s="128"/>
      <c r="EA13" s="128"/>
      <c r="EB13" s="128"/>
      <c r="EC13" s="128"/>
      <c r="ED13" s="128"/>
      <c r="EE13" s="128"/>
      <c r="EF13" s="128"/>
      <c r="EG13" s="128"/>
      <c r="EH13" s="128"/>
      <c r="EI13" s="128"/>
      <c r="EJ13" s="128"/>
      <c r="EK13" s="128"/>
      <c r="EL13" s="128"/>
      <c r="EM13" s="128"/>
      <c r="EN13" s="128"/>
      <c r="EO13" s="128"/>
      <c r="EP13" s="128"/>
      <c r="EQ13" s="128"/>
      <c r="ER13" s="128"/>
      <c r="ES13" s="128"/>
      <c r="ET13" s="128"/>
      <c r="EU13" s="128"/>
      <c r="EV13" s="128"/>
      <c r="EW13" s="128"/>
      <c r="EX13" s="128"/>
      <c r="EY13" s="128"/>
      <c r="EZ13" s="128"/>
      <c r="FA13" s="128"/>
      <c r="FB13" s="128"/>
      <c r="FC13" s="128"/>
      <c r="FD13" s="128"/>
      <c r="FE13" s="128"/>
      <c r="FF13" s="128"/>
      <c r="FG13" s="128"/>
      <c r="FH13" s="128"/>
      <c r="FI13" s="128"/>
      <c r="FJ13" s="128"/>
      <c r="FK13" s="128"/>
      <c r="FL13" s="128"/>
      <c r="FM13" s="128"/>
      <c r="FN13" s="128"/>
      <c r="FO13" s="128"/>
      <c r="FP13" s="128"/>
      <c r="FQ13" s="128"/>
      <c r="FR13" s="128"/>
      <c r="FS13" s="128"/>
      <c r="FT13" s="128"/>
      <c r="FU13" s="128"/>
      <c r="FV13" s="128"/>
      <c r="FW13" s="128"/>
      <c r="FX13" s="128"/>
      <c r="FY13" s="128"/>
      <c r="FZ13" s="128"/>
      <c r="GA13" s="128"/>
      <c r="GB13" s="128"/>
      <c r="GC13" s="128"/>
      <c r="GD13" s="128"/>
      <c r="GE13" s="128"/>
      <c r="GF13" s="128"/>
      <c r="GG13" s="128"/>
      <c r="GH13" s="128"/>
      <c r="GI13" s="128"/>
      <c r="GJ13" s="128"/>
      <c r="GK13" s="128"/>
      <c r="GL13" s="128"/>
      <c r="GM13" s="128"/>
      <c r="GN13" s="128"/>
      <c r="GO13" s="128"/>
      <c r="GP13" s="128"/>
      <c r="GQ13" s="128"/>
      <c r="GR13" s="128"/>
      <c r="GS13" s="128"/>
      <c r="GT13" s="128"/>
      <c r="GU13" s="128"/>
      <c r="GV13" s="128"/>
      <c r="GW13" s="128"/>
      <c r="GX13" s="128"/>
      <c r="GY13" s="128"/>
      <c r="GZ13" s="128"/>
      <c r="HA13" s="128"/>
      <c r="HB13" s="128"/>
      <c r="HC13" s="128"/>
      <c r="HD13" s="128"/>
      <c r="HE13" s="128"/>
      <c r="HF13" s="128"/>
      <c r="HG13" s="128"/>
      <c r="HH13" s="128"/>
      <c r="HI13" s="128"/>
      <c r="HJ13" s="128"/>
      <c r="HK13" s="128"/>
      <c r="HL13" s="128"/>
      <c r="HM13" s="128"/>
      <c r="HN13" s="128"/>
      <c r="HO13" s="128"/>
      <c r="HP13" s="128"/>
      <c r="HQ13" s="128"/>
      <c r="HR13" s="128"/>
      <c r="HS13" s="128"/>
      <c r="HT13" s="128"/>
      <c r="HU13" s="128"/>
      <c r="HV13" s="128"/>
      <c r="HW13" s="128"/>
      <c r="HX13" s="128"/>
      <c r="HY13" s="128"/>
      <c r="HZ13" s="128"/>
      <c r="IA13" s="128"/>
      <c r="IB13" s="128"/>
      <c r="IC13" s="128"/>
      <c r="ID13" s="128"/>
      <c r="IE13" s="128"/>
      <c r="IF13" s="128"/>
      <c r="IG13" s="128"/>
      <c r="IH13" s="128"/>
      <c r="II13" s="128"/>
      <c r="IJ13" s="128"/>
      <c r="IK13" s="128"/>
      <c r="IL13" s="128"/>
      <c r="IM13" s="128"/>
      <c r="IN13" s="128"/>
      <c r="IO13" s="128"/>
      <c r="IP13" s="128"/>
      <c r="IQ13" s="128"/>
      <c r="IR13" s="128"/>
      <c r="IS13" s="128"/>
      <c r="IT13" s="128"/>
      <c r="IU13" s="128"/>
      <c r="IV13" s="128"/>
    </row>
    <row r="14" spans="1:256" s="113" customFormat="1" x14ac:dyDescent="0.25">
      <c r="A14" s="118" t="str">
        <f t="shared" si="0"/>
        <v>18STL GALV</v>
      </c>
      <c r="B14" s="119"/>
      <c r="C14" s="120"/>
      <c r="D14" s="121" t="s">
        <v>702</v>
      </c>
      <c r="E14" s="122">
        <v>18</v>
      </c>
      <c r="F14" s="123" t="s">
        <v>732</v>
      </c>
      <c r="G14" s="123" t="s">
        <v>733</v>
      </c>
      <c r="H14" s="124">
        <v>4.5010000000000001E-2</v>
      </c>
      <c r="I14" s="123" t="s">
        <v>704</v>
      </c>
      <c r="J14" s="123" t="s">
        <v>705</v>
      </c>
      <c r="K14" s="118" t="s">
        <v>734</v>
      </c>
      <c r="L14" s="122" t="s">
        <v>707</v>
      </c>
      <c r="M14" s="123" t="s">
        <v>708</v>
      </c>
      <c r="N14" s="125" t="s">
        <v>709</v>
      </c>
      <c r="O14" s="123" t="s">
        <v>722</v>
      </c>
      <c r="P14" s="123" t="s">
        <v>711</v>
      </c>
      <c r="Q14" s="123" t="s">
        <v>651</v>
      </c>
      <c r="R14" s="118" t="s">
        <v>735</v>
      </c>
      <c r="S14" s="118" t="s">
        <v>713</v>
      </c>
      <c r="T14" s="126" t="s">
        <v>713</v>
      </c>
      <c r="U14" s="127"/>
      <c r="V14" s="128"/>
      <c r="W14" s="128"/>
      <c r="X14" s="128"/>
      <c r="Y14" s="128"/>
      <c r="Z14" s="128"/>
      <c r="AA14" s="128"/>
      <c r="AB14" s="128"/>
      <c r="AC14" s="128"/>
      <c r="AD14" s="128"/>
      <c r="AE14" s="128"/>
      <c r="AF14" s="128"/>
      <c r="AG14" s="128"/>
      <c r="AH14" s="128"/>
      <c r="AI14" s="128"/>
      <c r="AJ14" s="128"/>
      <c r="AK14" s="128"/>
      <c r="AL14" s="128"/>
      <c r="AM14" s="128"/>
      <c r="AN14" s="128"/>
      <c r="AO14" s="128"/>
      <c r="AP14" s="128"/>
      <c r="AQ14" s="128"/>
      <c r="AR14" s="128"/>
      <c r="AS14" s="128"/>
      <c r="AT14" s="128"/>
      <c r="AU14" s="128"/>
      <c r="AV14" s="128"/>
      <c r="AW14" s="128"/>
      <c r="AX14" s="128"/>
      <c r="AY14" s="128"/>
      <c r="AZ14" s="128"/>
      <c r="BA14" s="128"/>
      <c r="BB14" s="128"/>
      <c r="BC14" s="128"/>
      <c r="BD14" s="128"/>
      <c r="BE14" s="128"/>
      <c r="BF14" s="128"/>
      <c r="BG14" s="128"/>
      <c r="BH14" s="128"/>
      <c r="BI14" s="128"/>
      <c r="BJ14" s="128"/>
      <c r="BK14" s="128"/>
      <c r="BL14" s="128"/>
      <c r="BM14" s="128"/>
      <c r="BN14" s="128"/>
      <c r="BO14" s="128"/>
      <c r="BP14" s="128"/>
      <c r="BQ14" s="128"/>
      <c r="BR14" s="128"/>
      <c r="BS14" s="128"/>
      <c r="BT14" s="128"/>
      <c r="BU14" s="128"/>
      <c r="BV14" s="128"/>
      <c r="BW14" s="128"/>
      <c r="BX14" s="128"/>
      <c r="BY14" s="128"/>
      <c r="BZ14" s="128"/>
      <c r="CA14" s="128"/>
      <c r="CB14" s="128"/>
      <c r="CC14" s="128"/>
      <c r="CD14" s="128"/>
      <c r="CE14" s="128"/>
      <c r="CF14" s="128"/>
      <c r="CG14" s="128"/>
      <c r="CH14" s="128"/>
      <c r="CI14" s="128"/>
      <c r="CJ14" s="128"/>
      <c r="CK14" s="128"/>
      <c r="CL14" s="128"/>
      <c r="CM14" s="128"/>
      <c r="CN14" s="128"/>
      <c r="CO14" s="128"/>
      <c r="CP14" s="128"/>
      <c r="CQ14" s="128"/>
      <c r="CR14" s="128"/>
      <c r="CS14" s="128"/>
      <c r="CT14" s="128"/>
      <c r="CU14" s="128"/>
      <c r="CV14" s="128"/>
      <c r="CW14" s="128"/>
      <c r="CX14" s="128"/>
      <c r="CY14" s="128"/>
      <c r="CZ14" s="128"/>
      <c r="DA14" s="128"/>
      <c r="DB14" s="128"/>
      <c r="DC14" s="128"/>
      <c r="DD14" s="128"/>
      <c r="DE14" s="128"/>
      <c r="DF14" s="128"/>
      <c r="DG14" s="128"/>
      <c r="DH14" s="128"/>
      <c r="DI14" s="128"/>
      <c r="DJ14" s="128"/>
      <c r="DK14" s="128"/>
      <c r="DL14" s="128"/>
      <c r="DM14" s="128"/>
      <c r="DN14" s="128"/>
      <c r="DO14" s="128"/>
      <c r="DP14" s="128"/>
      <c r="DQ14" s="128"/>
      <c r="DR14" s="128"/>
      <c r="DS14" s="128"/>
      <c r="DT14" s="128"/>
      <c r="DU14" s="128"/>
      <c r="DV14" s="128"/>
      <c r="DW14" s="128"/>
      <c r="DX14" s="128"/>
      <c r="DY14" s="128"/>
      <c r="DZ14" s="128"/>
      <c r="EA14" s="128"/>
      <c r="EB14" s="128"/>
      <c r="EC14" s="128"/>
      <c r="ED14" s="128"/>
      <c r="EE14" s="128"/>
      <c r="EF14" s="128"/>
      <c r="EG14" s="128"/>
      <c r="EH14" s="128"/>
      <c r="EI14" s="128"/>
      <c r="EJ14" s="128"/>
      <c r="EK14" s="128"/>
      <c r="EL14" s="128"/>
      <c r="EM14" s="128"/>
      <c r="EN14" s="128"/>
      <c r="EO14" s="128"/>
      <c r="EP14" s="128"/>
      <c r="EQ14" s="128"/>
      <c r="ER14" s="128"/>
      <c r="ES14" s="128"/>
      <c r="ET14" s="128"/>
      <c r="EU14" s="128"/>
      <c r="EV14" s="128"/>
      <c r="EW14" s="128"/>
      <c r="EX14" s="128"/>
      <c r="EY14" s="128"/>
      <c r="EZ14" s="128"/>
      <c r="FA14" s="128"/>
      <c r="FB14" s="128"/>
      <c r="FC14" s="128"/>
      <c r="FD14" s="128"/>
      <c r="FE14" s="128"/>
      <c r="FF14" s="128"/>
      <c r="FG14" s="128"/>
      <c r="FH14" s="128"/>
      <c r="FI14" s="128"/>
      <c r="FJ14" s="128"/>
      <c r="FK14" s="128"/>
      <c r="FL14" s="128"/>
      <c r="FM14" s="128"/>
      <c r="FN14" s="128"/>
      <c r="FO14" s="128"/>
      <c r="FP14" s="128"/>
      <c r="FQ14" s="128"/>
      <c r="FR14" s="128"/>
      <c r="FS14" s="128"/>
      <c r="FT14" s="128"/>
      <c r="FU14" s="128"/>
      <c r="FV14" s="128"/>
      <c r="FW14" s="128"/>
      <c r="FX14" s="128"/>
      <c r="FY14" s="128"/>
      <c r="FZ14" s="128"/>
      <c r="GA14" s="128"/>
      <c r="GB14" s="128"/>
      <c r="GC14" s="128"/>
      <c r="GD14" s="128"/>
      <c r="GE14" s="128"/>
      <c r="GF14" s="128"/>
      <c r="GG14" s="128"/>
      <c r="GH14" s="128"/>
      <c r="GI14" s="128"/>
      <c r="GJ14" s="128"/>
      <c r="GK14" s="128"/>
      <c r="GL14" s="128"/>
      <c r="GM14" s="128"/>
      <c r="GN14" s="128"/>
      <c r="GO14" s="128"/>
      <c r="GP14" s="128"/>
      <c r="GQ14" s="128"/>
      <c r="GR14" s="128"/>
      <c r="GS14" s="128"/>
      <c r="GT14" s="128"/>
      <c r="GU14" s="128"/>
      <c r="GV14" s="128"/>
      <c r="GW14" s="128"/>
      <c r="GX14" s="128"/>
      <c r="GY14" s="128"/>
      <c r="GZ14" s="128"/>
      <c r="HA14" s="128"/>
      <c r="HB14" s="128"/>
      <c r="HC14" s="128"/>
      <c r="HD14" s="128"/>
      <c r="HE14" s="128"/>
      <c r="HF14" s="128"/>
      <c r="HG14" s="128"/>
      <c r="HH14" s="128"/>
      <c r="HI14" s="128"/>
      <c r="HJ14" s="128"/>
      <c r="HK14" s="128"/>
      <c r="HL14" s="128"/>
      <c r="HM14" s="128"/>
      <c r="HN14" s="128"/>
      <c r="HO14" s="128"/>
      <c r="HP14" s="128"/>
      <c r="HQ14" s="128"/>
      <c r="HR14" s="128"/>
      <c r="HS14" s="128"/>
      <c r="HT14" s="128"/>
      <c r="HU14" s="128"/>
      <c r="HV14" s="128"/>
      <c r="HW14" s="128"/>
      <c r="HX14" s="128"/>
      <c r="HY14" s="128"/>
      <c r="HZ14" s="128"/>
      <c r="IA14" s="128"/>
      <c r="IB14" s="128"/>
      <c r="IC14" s="128"/>
      <c r="ID14" s="128"/>
      <c r="IE14" s="128"/>
      <c r="IF14" s="128"/>
      <c r="IG14" s="128"/>
      <c r="IH14" s="128"/>
      <c r="II14" s="128"/>
      <c r="IJ14" s="128"/>
      <c r="IK14" s="128"/>
      <c r="IL14" s="128"/>
      <c r="IM14" s="128"/>
      <c r="IN14" s="128"/>
      <c r="IO14" s="128"/>
      <c r="IP14" s="128"/>
      <c r="IQ14" s="128"/>
      <c r="IR14" s="128"/>
      <c r="IS14" s="128"/>
      <c r="IT14" s="128"/>
      <c r="IU14" s="128"/>
      <c r="IV14" s="128"/>
    </row>
    <row r="15" spans="1:256" s="113" customFormat="1" x14ac:dyDescent="0.25">
      <c r="A15" s="118" t="str">
        <f t="shared" si="0"/>
        <v>20STL GALV</v>
      </c>
      <c r="B15" s="119"/>
      <c r="C15" s="120"/>
      <c r="D15" s="121" t="s">
        <v>702</v>
      </c>
      <c r="E15" s="122">
        <v>20</v>
      </c>
      <c r="F15" s="123" t="s">
        <v>736</v>
      </c>
      <c r="G15" s="123" t="s">
        <v>737</v>
      </c>
      <c r="H15" s="124">
        <v>3.4009999999999999E-2</v>
      </c>
      <c r="I15" s="123" t="s">
        <v>704</v>
      </c>
      <c r="J15" s="123" t="s">
        <v>705</v>
      </c>
      <c r="K15" s="118" t="s">
        <v>738</v>
      </c>
      <c r="L15" s="122" t="s">
        <v>707</v>
      </c>
      <c r="M15" s="123" t="s">
        <v>708</v>
      </c>
      <c r="N15" s="125" t="s">
        <v>709</v>
      </c>
      <c r="O15" s="123" t="s">
        <v>722</v>
      </c>
      <c r="P15" s="123" t="s">
        <v>711</v>
      </c>
      <c r="Q15" s="123" t="s">
        <v>651</v>
      </c>
      <c r="R15" s="118" t="s">
        <v>739</v>
      </c>
      <c r="S15" s="118" t="s">
        <v>713</v>
      </c>
      <c r="T15" s="126" t="s">
        <v>713</v>
      </c>
      <c r="U15" s="127"/>
      <c r="V15" s="128"/>
      <c r="W15" s="128"/>
      <c r="X15" s="128"/>
      <c r="Y15" s="128"/>
      <c r="Z15" s="128"/>
      <c r="AA15" s="128"/>
      <c r="AB15" s="128"/>
      <c r="AC15" s="128"/>
      <c r="AD15" s="128"/>
      <c r="AE15" s="128"/>
      <c r="AF15" s="128"/>
      <c r="AG15" s="128"/>
      <c r="AH15" s="128"/>
      <c r="AI15" s="128"/>
      <c r="AJ15" s="128"/>
      <c r="AK15" s="128"/>
      <c r="AL15" s="128"/>
      <c r="AM15" s="128"/>
      <c r="AN15" s="128"/>
      <c r="AO15" s="128"/>
      <c r="AP15" s="128"/>
      <c r="AQ15" s="128"/>
      <c r="AR15" s="128"/>
      <c r="AS15" s="128"/>
      <c r="AT15" s="128"/>
      <c r="AU15" s="128"/>
      <c r="AV15" s="128"/>
      <c r="AW15" s="128"/>
      <c r="AX15" s="128"/>
      <c r="AY15" s="128"/>
      <c r="AZ15" s="128"/>
      <c r="BA15" s="128"/>
      <c r="BB15" s="128"/>
      <c r="BC15" s="128"/>
      <c r="BD15" s="128"/>
      <c r="BE15" s="128"/>
      <c r="BF15" s="128"/>
      <c r="BG15" s="128"/>
      <c r="BH15" s="128"/>
      <c r="BI15" s="128"/>
      <c r="BJ15" s="128"/>
      <c r="BK15" s="128"/>
      <c r="BL15" s="128"/>
      <c r="BM15" s="128"/>
      <c r="BN15" s="128"/>
      <c r="BO15" s="128"/>
      <c r="BP15" s="128"/>
      <c r="BQ15" s="128"/>
      <c r="BR15" s="128"/>
      <c r="BS15" s="128"/>
      <c r="BT15" s="128"/>
      <c r="BU15" s="128"/>
      <c r="BV15" s="128"/>
      <c r="BW15" s="128"/>
      <c r="BX15" s="128"/>
      <c r="BY15" s="128"/>
      <c r="BZ15" s="128"/>
      <c r="CA15" s="128"/>
      <c r="CB15" s="128"/>
      <c r="CC15" s="128"/>
      <c r="CD15" s="128"/>
      <c r="CE15" s="128"/>
      <c r="CF15" s="128"/>
      <c r="CG15" s="128"/>
      <c r="CH15" s="128"/>
      <c r="CI15" s="128"/>
      <c r="CJ15" s="128"/>
      <c r="CK15" s="128"/>
      <c r="CL15" s="128"/>
      <c r="CM15" s="128"/>
      <c r="CN15" s="128"/>
      <c r="CO15" s="128"/>
      <c r="CP15" s="128"/>
      <c r="CQ15" s="128"/>
      <c r="CR15" s="128"/>
      <c r="CS15" s="128"/>
      <c r="CT15" s="128"/>
      <c r="CU15" s="128"/>
      <c r="CV15" s="128"/>
      <c r="CW15" s="128"/>
      <c r="CX15" s="128"/>
      <c r="CY15" s="128"/>
      <c r="CZ15" s="128"/>
      <c r="DA15" s="128"/>
      <c r="DB15" s="128"/>
      <c r="DC15" s="128"/>
      <c r="DD15" s="128"/>
      <c r="DE15" s="128"/>
      <c r="DF15" s="128"/>
      <c r="DG15" s="128"/>
      <c r="DH15" s="128"/>
      <c r="DI15" s="128"/>
      <c r="DJ15" s="128"/>
      <c r="DK15" s="128"/>
      <c r="DL15" s="128"/>
      <c r="DM15" s="128"/>
      <c r="DN15" s="128"/>
      <c r="DO15" s="128"/>
      <c r="DP15" s="128"/>
      <c r="DQ15" s="128"/>
      <c r="DR15" s="128"/>
      <c r="DS15" s="128"/>
      <c r="DT15" s="128"/>
      <c r="DU15" s="128"/>
      <c r="DV15" s="128"/>
      <c r="DW15" s="128"/>
      <c r="DX15" s="128"/>
      <c r="DY15" s="128"/>
      <c r="DZ15" s="128"/>
      <c r="EA15" s="128"/>
      <c r="EB15" s="128"/>
      <c r="EC15" s="128"/>
      <c r="ED15" s="128"/>
      <c r="EE15" s="128"/>
      <c r="EF15" s="128"/>
      <c r="EG15" s="128"/>
      <c r="EH15" s="128"/>
      <c r="EI15" s="128"/>
      <c r="EJ15" s="128"/>
      <c r="EK15" s="128"/>
      <c r="EL15" s="128"/>
      <c r="EM15" s="128"/>
      <c r="EN15" s="128"/>
      <c r="EO15" s="128"/>
      <c r="EP15" s="128"/>
      <c r="EQ15" s="128"/>
      <c r="ER15" s="128"/>
      <c r="ES15" s="128"/>
      <c r="ET15" s="128"/>
      <c r="EU15" s="128"/>
      <c r="EV15" s="128"/>
      <c r="EW15" s="128"/>
      <c r="EX15" s="128"/>
      <c r="EY15" s="128"/>
      <c r="EZ15" s="128"/>
      <c r="FA15" s="128"/>
      <c r="FB15" s="128"/>
      <c r="FC15" s="128"/>
      <c r="FD15" s="128"/>
      <c r="FE15" s="128"/>
      <c r="FF15" s="128"/>
      <c r="FG15" s="128"/>
      <c r="FH15" s="128"/>
      <c r="FI15" s="128"/>
      <c r="FJ15" s="128"/>
      <c r="FK15" s="128"/>
      <c r="FL15" s="128"/>
      <c r="FM15" s="128"/>
      <c r="FN15" s="128"/>
      <c r="FO15" s="128"/>
      <c r="FP15" s="128"/>
      <c r="FQ15" s="128"/>
      <c r="FR15" s="128"/>
      <c r="FS15" s="128"/>
      <c r="FT15" s="128"/>
      <c r="FU15" s="128"/>
      <c r="FV15" s="128"/>
      <c r="FW15" s="128"/>
      <c r="FX15" s="128"/>
      <c r="FY15" s="128"/>
      <c r="FZ15" s="128"/>
      <c r="GA15" s="128"/>
      <c r="GB15" s="128"/>
      <c r="GC15" s="128"/>
      <c r="GD15" s="128"/>
      <c r="GE15" s="128"/>
      <c r="GF15" s="128"/>
      <c r="GG15" s="128"/>
      <c r="GH15" s="128"/>
      <c r="GI15" s="128"/>
      <c r="GJ15" s="128"/>
      <c r="GK15" s="128"/>
      <c r="GL15" s="128"/>
      <c r="GM15" s="128"/>
      <c r="GN15" s="128"/>
      <c r="GO15" s="128"/>
      <c r="GP15" s="128"/>
      <c r="GQ15" s="128"/>
      <c r="GR15" s="128"/>
      <c r="GS15" s="128"/>
      <c r="GT15" s="128"/>
      <c r="GU15" s="128"/>
      <c r="GV15" s="128"/>
      <c r="GW15" s="128"/>
      <c r="GX15" s="128"/>
      <c r="GY15" s="128"/>
      <c r="GZ15" s="128"/>
      <c r="HA15" s="128"/>
      <c r="HB15" s="128"/>
      <c r="HC15" s="128"/>
      <c r="HD15" s="128"/>
      <c r="HE15" s="128"/>
      <c r="HF15" s="128"/>
      <c r="HG15" s="128"/>
      <c r="HH15" s="128"/>
      <c r="HI15" s="128"/>
      <c r="HJ15" s="128"/>
      <c r="HK15" s="128"/>
      <c r="HL15" s="128"/>
      <c r="HM15" s="128"/>
      <c r="HN15" s="128"/>
      <c r="HO15" s="128"/>
      <c r="HP15" s="128"/>
      <c r="HQ15" s="128"/>
      <c r="HR15" s="128"/>
      <c r="HS15" s="128"/>
      <c r="HT15" s="128"/>
      <c r="HU15" s="128"/>
      <c r="HV15" s="128"/>
      <c r="HW15" s="128"/>
      <c r="HX15" s="128"/>
      <c r="HY15" s="128"/>
      <c r="HZ15" s="128"/>
      <c r="IA15" s="128"/>
      <c r="IB15" s="128"/>
      <c r="IC15" s="128"/>
      <c r="ID15" s="128"/>
      <c r="IE15" s="128"/>
      <c r="IF15" s="128"/>
      <c r="IG15" s="128"/>
      <c r="IH15" s="128"/>
      <c r="II15" s="128"/>
      <c r="IJ15" s="128"/>
      <c r="IK15" s="128"/>
      <c r="IL15" s="128"/>
      <c r="IM15" s="128"/>
      <c r="IN15" s="128"/>
      <c r="IO15" s="128"/>
      <c r="IP15" s="128"/>
      <c r="IQ15" s="128"/>
      <c r="IR15" s="128"/>
      <c r="IS15" s="128"/>
      <c r="IT15" s="128"/>
      <c r="IU15" s="128"/>
      <c r="IV15" s="128"/>
    </row>
    <row r="16" spans="1:256" s="113" customFormat="1" x14ac:dyDescent="0.25">
      <c r="A16" s="118" t="str">
        <f t="shared" si="0"/>
        <v>22STL GALV</v>
      </c>
      <c r="B16" s="119"/>
      <c r="C16" s="120"/>
      <c r="D16" s="121" t="s">
        <v>702</v>
      </c>
      <c r="E16" s="122" t="s">
        <v>740</v>
      </c>
      <c r="F16" s="123" t="s">
        <v>741</v>
      </c>
      <c r="G16" s="123" t="s">
        <v>741</v>
      </c>
      <c r="H16" s="124">
        <v>2.801E-2</v>
      </c>
      <c r="I16" s="123" t="s">
        <v>716</v>
      </c>
      <c r="J16" s="123" t="s">
        <v>705</v>
      </c>
      <c r="K16" s="129" t="s">
        <v>742</v>
      </c>
      <c r="L16" s="122" t="s">
        <v>707</v>
      </c>
      <c r="M16" s="123" t="s">
        <v>708</v>
      </c>
      <c r="N16" s="125" t="s">
        <v>709</v>
      </c>
      <c r="O16" s="123" t="s">
        <v>722</v>
      </c>
      <c r="P16" s="123" t="s">
        <v>711</v>
      </c>
      <c r="Q16" s="123" t="s">
        <v>651</v>
      </c>
      <c r="R16" s="118" t="s">
        <v>743</v>
      </c>
      <c r="S16" s="118" t="s">
        <v>713</v>
      </c>
      <c r="T16" s="126" t="s">
        <v>713</v>
      </c>
      <c r="U16" s="127"/>
      <c r="V16" s="128"/>
      <c r="W16" s="128"/>
      <c r="X16" s="128"/>
      <c r="Y16" s="128"/>
      <c r="Z16" s="128"/>
      <c r="AA16" s="128"/>
      <c r="AB16" s="128"/>
      <c r="AC16" s="128"/>
      <c r="AD16" s="128"/>
      <c r="AE16" s="128"/>
      <c r="AF16" s="128"/>
      <c r="AG16" s="128"/>
      <c r="AH16" s="128"/>
      <c r="AI16" s="128"/>
      <c r="AJ16" s="128"/>
      <c r="AK16" s="128"/>
      <c r="AL16" s="128"/>
      <c r="AM16" s="128"/>
      <c r="AN16" s="128"/>
      <c r="AO16" s="128"/>
      <c r="AP16" s="128"/>
      <c r="AQ16" s="128"/>
      <c r="AR16" s="128"/>
      <c r="AS16" s="128"/>
      <c r="AT16" s="128"/>
      <c r="AU16" s="128"/>
      <c r="AV16" s="128"/>
      <c r="AW16" s="128"/>
      <c r="AX16" s="128"/>
      <c r="AY16" s="128"/>
      <c r="AZ16" s="128"/>
      <c r="BA16" s="128"/>
      <c r="BB16" s="128"/>
      <c r="BC16" s="128"/>
      <c r="BD16" s="128"/>
      <c r="BE16" s="128"/>
      <c r="BF16" s="128"/>
      <c r="BG16" s="128"/>
      <c r="BH16" s="128"/>
      <c r="BI16" s="128"/>
      <c r="BJ16" s="128"/>
      <c r="BK16" s="128"/>
      <c r="BL16" s="128"/>
      <c r="BM16" s="128"/>
      <c r="BN16" s="128"/>
      <c r="BO16" s="128"/>
      <c r="BP16" s="128"/>
      <c r="BQ16" s="128"/>
      <c r="BR16" s="128"/>
      <c r="BS16" s="128"/>
      <c r="BT16" s="128"/>
      <c r="BU16" s="128"/>
      <c r="BV16" s="128"/>
      <c r="BW16" s="128"/>
      <c r="BX16" s="128"/>
      <c r="BY16" s="128"/>
      <c r="BZ16" s="128"/>
      <c r="CA16" s="128"/>
      <c r="CB16" s="128"/>
      <c r="CC16" s="128"/>
      <c r="CD16" s="128"/>
      <c r="CE16" s="128"/>
      <c r="CF16" s="128"/>
      <c r="CG16" s="128"/>
      <c r="CH16" s="128"/>
      <c r="CI16" s="128"/>
      <c r="CJ16" s="128"/>
      <c r="CK16" s="128"/>
      <c r="CL16" s="128"/>
      <c r="CM16" s="128"/>
      <c r="CN16" s="128"/>
      <c r="CO16" s="128"/>
      <c r="CP16" s="128"/>
      <c r="CQ16" s="128"/>
      <c r="CR16" s="128"/>
      <c r="CS16" s="128"/>
      <c r="CT16" s="128"/>
      <c r="CU16" s="128"/>
      <c r="CV16" s="128"/>
      <c r="CW16" s="128"/>
      <c r="CX16" s="128"/>
      <c r="CY16" s="128"/>
      <c r="CZ16" s="128"/>
      <c r="DA16" s="128"/>
      <c r="DB16" s="128"/>
      <c r="DC16" s="128"/>
      <c r="DD16" s="128"/>
      <c r="DE16" s="128"/>
      <c r="DF16" s="128"/>
      <c r="DG16" s="128"/>
      <c r="DH16" s="128"/>
      <c r="DI16" s="128"/>
      <c r="DJ16" s="128"/>
      <c r="DK16" s="128"/>
      <c r="DL16" s="128"/>
      <c r="DM16" s="128"/>
      <c r="DN16" s="128"/>
      <c r="DO16" s="128"/>
      <c r="DP16" s="128"/>
      <c r="DQ16" s="128"/>
      <c r="DR16" s="128"/>
      <c r="DS16" s="128"/>
      <c r="DT16" s="128"/>
      <c r="DU16" s="128"/>
      <c r="DV16" s="128"/>
      <c r="DW16" s="128"/>
      <c r="DX16" s="128"/>
      <c r="DY16" s="128"/>
      <c r="DZ16" s="128"/>
      <c r="EA16" s="128"/>
      <c r="EB16" s="128"/>
      <c r="EC16" s="128"/>
      <c r="ED16" s="128"/>
      <c r="EE16" s="128"/>
      <c r="EF16" s="128"/>
      <c r="EG16" s="128"/>
      <c r="EH16" s="128"/>
      <c r="EI16" s="128"/>
      <c r="EJ16" s="128"/>
      <c r="EK16" s="128"/>
      <c r="EL16" s="128"/>
      <c r="EM16" s="128"/>
      <c r="EN16" s="128"/>
      <c r="EO16" s="128"/>
      <c r="EP16" s="128"/>
      <c r="EQ16" s="128"/>
      <c r="ER16" s="128"/>
      <c r="ES16" s="128"/>
      <c r="ET16" s="128"/>
      <c r="EU16" s="128"/>
      <c r="EV16" s="128"/>
      <c r="EW16" s="128"/>
      <c r="EX16" s="128"/>
      <c r="EY16" s="128"/>
      <c r="EZ16" s="128"/>
      <c r="FA16" s="128"/>
      <c r="FB16" s="128"/>
      <c r="FC16" s="128"/>
      <c r="FD16" s="128"/>
      <c r="FE16" s="128"/>
      <c r="FF16" s="128"/>
      <c r="FG16" s="128"/>
      <c r="FH16" s="128"/>
      <c r="FI16" s="128"/>
      <c r="FJ16" s="128"/>
      <c r="FK16" s="128"/>
      <c r="FL16" s="128"/>
      <c r="FM16" s="128"/>
      <c r="FN16" s="128"/>
      <c r="FO16" s="128"/>
      <c r="FP16" s="128"/>
      <c r="FQ16" s="128"/>
      <c r="FR16" s="128"/>
      <c r="FS16" s="128"/>
      <c r="FT16" s="128"/>
      <c r="FU16" s="128"/>
      <c r="FV16" s="128"/>
      <c r="FW16" s="128"/>
      <c r="FX16" s="128"/>
      <c r="FY16" s="128"/>
      <c r="FZ16" s="128"/>
      <c r="GA16" s="128"/>
      <c r="GB16" s="128"/>
      <c r="GC16" s="128"/>
      <c r="GD16" s="128"/>
      <c r="GE16" s="128"/>
      <c r="GF16" s="128"/>
      <c r="GG16" s="128"/>
      <c r="GH16" s="128"/>
      <c r="GI16" s="128"/>
      <c r="GJ16" s="128"/>
      <c r="GK16" s="128"/>
      <c r="GL16" s="128"/>
      <c r="GM16" s="128"/>
      <c r="GN16" s="128"/>
      <c r="GO16" s="128"/>
      <c r="GP16" s="128"/>
      <c r="GQ16" s="128"/>
      <c r="GR16" s="128"/>
      <c r="GS16" s="128"/>
      <c r="GT16" s="128"/>
      <c r="GU16" s="128"/>
      <c r="GV16" s="128"/>
      <c r="GW16" s="128"/>
      <c r="GX16" s="128"/>
      <c r="GY16" s="128"/>
      <c r="GZ16" s="128"/>
      <c r="HA16" s="128"/>
      <c r="HB16" s="128"/>
      <c r="HC16" s="128"/>
      <c r="HD16" s="128"/>
      <c r="HE16" s="128"/>
      <c r="HF16" s="128"/>
      <c r="HG16" s="128"/>
      <c r="HH16" s="128"/>
      <c r="HI16" s="128"/>
      <c r="HJ16" s="128"/>
      <c r="HK16" s="128"/>
      <c r="HL16" s="128"/>
      <c r="HM16" s="128"/>
      <c r="HN16" s="128"/>
      <c r="HO16" s="128"/>
      <c r="HP16" s="128"/>
      <c r="HQ16" s="128"/>
      <c r="HR16" s="128"/>
      <c r="HS16" s="128"/>
      <c r="HT16" s="128"/>
      <c r="HU16" s="128"/>
      <c r="HV16" s="128"/>
      <c r="HW16" s="128"/>
      <c r="HX16" s="128"/>
      <c r="HY16" s="128"/>
      <c r="HZ16" s="128"/>
      <c r="IA16" s="128"/>
      <c r="IB16" s="128"/>
      <c r="IC16" s="128"/>
      <c r="ID16" s="128"/>
      <c r="IE16" s="128"/>
      <c r="IF16" s="128"/>
      <c r="IG16" s="128"/>
      <c r="IH16" s="128"/>
      <c r="II16" s="128"/>
      <c r="IJ16" s="128"/>
      <c r="IK16" s="128"/>
      <c r="IL16" s="128"/>
      <c r="IM16" s="128"/>
      <c r="IN16" s="128"/>
      <c r="IO16" s="128"/>
      <c r="IP16" s="128"/>
      <c r="IQ16" s="128"/>
      <c r="IR16" s="128"/>
      <c r="IS16" s="128"/>
      <c r="IT16" s="128"/>
      <c r="IU16" s="128"/>
      <c r="IV16" s="128"/>
    </row>
    <row r="17" spans="1:256" s="113" customFormat="1" x14ac:dyDescent="0.25">
      <c r="A17" s="118" t="str">
        <f t="shared" si="0"/>
        <v>24STL GALV</v>
      </c>
      <c r="B17" s="119"/>
      <c r="C17" s="120"/>
      <c r="D17" s="121" t="s">
        <v>702</v>
      </c>
      <c r="E17" s="121" t="s">
        <v>744</v>
      </c>
      <c r="F17" s="130" t="s">
        <v>745</v>
      </c>
      <c r="G17" s="130" t="s">
        <v>745</v>
      </c>
      <c r="H17" s="131">
        <v>2.2009999999999998E-2</v>
      </c>
      <c r="I17" s="130" t="s">
        <v>704</v>
      </c>
      <c r="J17" s="123" t="s">
        <v>705</v>
      </c>
      <c r="K17" s="129" t="s">
        <v>746</v>
      </c>
      <c r="L17" s="122" t="s">
        <v>707</v>
      </c>
      <c r="M17" s="123" t="s">
        <v>708</v>
      </c>
      <c r="N17" s="125" t="s">
        <v>709</v>
      </c>
      <c r="O17" s="123" t="s">
        <v>722</v>
      </c>
      <c r="P17" s="123" t="s">
        <v>711</v>
      </c>
      <c r="Q17" s="123" t="s">
        <v>651</v>
      </c>
      <c r="R17" s="132" t="s">
        <v>747</v>
      </c>
      <c r="S17" s="118" t="s">
        <v>713</v>
      </c>
      <c r="T17" s="126" t="s">
        <v>713</v>
      </c>
      <c r="U17" s="127"/>
      <c r="V17" s="128"/>
      <c r="W17" s="128"/>
      <c r="X17" s="128"/>
      <c r="Y17" s="128"/>
      <c r="Z17" s="128"/>
      <c r="AA17" s="128"/>
      <c r="AB17" s="128"/>
      <c r="AC17" s="128"/>
      <c r="AD17" s="128"/>
      <c r="AE17" s="128"/>
      <c r="AF17" s="128"/>
      <c r="AG17" s="128"/>
      <c r="AH17" s="128"/>
      <c r="AI17" s="128"/>
      <c r="AJ17" s="128"/>
      <c r="AK17" s="128"/>
      <c r="AL17" s="128"/>
      <c r="AM17" s="128"/>
      <c r="AN17" s="128"/>
      <c r="AO17" s="128"/>
      <c r="AP17" s="128"/>
      <c r="AQ17" s="128"/>
      <c r="AR17" s="128"/>
      <c r="AS17" s="128"/>
      <c r="AT17" s="128"/>
      <c r="AU17" s="128"/>
      <c r="AV17" s="128"/>
      <c r="AW17" s="128"/>
      <c r="AX17" s="128"/>
      <c r="AY17" s="128"/>
      <c r="AZ17" s="128"/>
      <c r="BA17" s="128"/>
      <c r="BB17" s="128"/>
      <c r="BC17" s="128"/>
      <c r="BD17" s="128"/>
      <c r="BE17" s="128"/>
      <c r="BF17" s="128"/>
      <c r="BG17" s="128"/>
      <c r="BH17" s="128"/>
      <c r="BI17" s="128"/>
      <c r="BJ17" s="128"/>
      <c r="BK17" s="128"/>
      <c r="BL17" s="128"/>
      <c r="BM17" s="128"/>
      <c r="BN17" s="128"/>
      <c r="BO17" s="128"/>
      <c r="BP17" s="128"/>
      <c r="BQ17" s="128"/>
      <c r="BR17" s="128"/>
      <c r="BS17" s="128"/>
      <c r="BT17" s="128"/>
      <c r="BU17" s="128"/>
      <c r="BV17" s="128"/>
      <c r="BW17" s="128"/>
      <c r="BX17" s="128"/>
      <c r="BY17" s="128"/>
      <c r="BZ17" s="128"/>
      <c r="CA17" s="128"/>
      <c r="CB17" s="128"/>
      <c r="CC17" s="128"/>
      <c r="CD17" s="128"/>
      <c r="CE17" s="128"/>
      <c r="CF17" s="128"/>
      <c r="CG17" s="128"/>
      <c r="CH17" s="128"/>
      <c r="CI17" s="128"/>
      <c r="CJ17" s="128"/>
      <c r="CK17" s="128"/>
      <c r="CL17" s="128"/>
      <c r="CM17" s="128"/>
      <c r="CN17" s="128"/>
      <c r="CO17" s="128"/>
      <c r="CP17" s="128"/>
      <c r="CQ17" s="128"/>
      <c r="CR17" s="128"/>
      <c r="CS17" s="128"/>
      <c r="CT17" s="128"/>
      <c r="CU17" s="128"/>
      <c r="CV17" s="128"/>
      <c r="CW17" s="128"/>
      <c r="CX17" s="128"/>
      <c r="CY17" s="128"/>
      <c r="CZ17" s="128"/>
      <c r="DA17" s="128"/>
      <c r="DB17" s="128"/>
      <c r="DC17" s="128"/>
      <c r="DD17" s="128"/>
      <c r="DE17" s="128"/>
      <c r="DF17" s="128"/>
      <c r="DG17" s="128"/>
      <c r="DH17" s="128"/>
      <c r="DI17" s="128"/>
      <c r="DJ17" s="128"/>
      <c r="DK17" s="128"/>
      <c r="DL17" s="128"/>
      <c r="DM17" s="128"/>
      <c r="DN17" s="128"/>
      <c r="DO17" s="128"/>
      <c r="DP17" s="128"/>
      <c r="DQ17" s="128"/>
      <c r="DR17" s="128"/>
      <c r="DS17" s="128"/>
      <c r="DT17" s="128"/>
      <c r="DU17" s="128"/>
      <c r="DV17" s="128"/>
      <c r="DW17" s="128"/>
      <c r="DX17" s="128"/>
      <c r="DY17" s="128"/>
      <c r="DZ17" s="128"/>
      <c r="EA17" s="128"/>
      <c r="EB17" s="128"/>
      <c r="EC17" s="128"/>
      <c r="ED17" s="128"/>
      <c r="EE17" s="128"/>
      <c r="EF17" s="128"/>
      <c r="EG17" s="128"/>
      <c r="EH17" s="128"/>
      <c r="EI17" s="128"/>
      <c r="EJ17" s="128"/>
      <c r="EK17" s="128"/>
      <c r="EL17" s="128"/>
      <c r="EM17" s="128"/>
      <c r="EN17" s="128"/>
      <c r="EO17" s="128"/>
      <c r="EP17" s="128"/>
      <c r="EQ17" s="128"/>
      <c r="ER17" s="128"/>
      <c r="ES17" s="128"/>
      <c r="ET17" s="128"/>
      <c r="EU17" s="128"/>
      <c r="EV17" s="128"/>
      <c r="EW17" s="128"/>
      <c r="EX17" s="128"/>
      <c r="EY17" s="128"/>
      <c r="EZ17" s="128"/>
      <c r="FA17" s="128"/>
      <c r="FB17" s="128"/>
      <c r="FC17" s="128"/>
      <c r="FD17" s="128"/>
      <c r="FE17" s="128"/>
      <c r="FF17" s="128"/>
      <c r="FG17" s="128"/>
      <c r="FH17" s="128"/>
      <c r="FI17" s="128"/>
      <c r="FJ17" s="128"/>
      <c r="FK17" s="128"/>
      <c r="FL17" s="128"/>
      <c r="FM17" s="128"/>
      <c r="FN17" s="128"/>
      <c r="FO17" s="128"/>
      <c r="FP17" s="128"/>
      <c r="FQ17" s="128"/>
      <c r="FR17" s="128"/>
      <c r="FS17" s="128"/>
      <c r="FT17" s="128"/>
      <c r="FU17" s="128"/>
      <c r="FV17" s="128"/>
      <c r="FW17" s="128"/>
      <c r="FX17" s="128"/>
      <c r="FY17" s="128"/>
      <c r="FZ17" s="128"/>
      <c r="GA17" s="128"/>
      <c r="GB17" s="128"/>
      <c r="GC17" s="128"/>
      <c r="GD17" s="128"/>
      <c r="GE17" s="128"/>
      <c r="GF17" s="128"/>
      <c r="GG17" s="128"/>
      <c r="GH17" s="128"/>
      <c r="GI17" s="128"/>
      <c r="GJ17" s="128"/>
      <c r="GK17" s="128"/>
      <c r="GL17" s="128"/>
      <c r="GM17" s="128"/>
      <c r="GN17" s="128"/>
      <c r="GO17" s="128"/>
      <c r="GP17" s="128"/>
      <c r="GQ17" s="128"/>
      <c r="GR17" s="128"/>
      <c r="GS17" s="128"/>
      <c r="GT17" s="128"/>
      <c r="GU17" s="128"/>
      <c r="GV17" s="128"/>
      <c r="GW17" s="128"/>
      <c r="GX17" s="128"/>
      <c r="GY17" s="128"/>
      <c r="GZ17" s="128"/>
      <c r="HA17" s="128"/>
      <c r="HB17" s="128"/>
      <c r="HC17" s="128"/>
      <c r="HD17" s="128"/>
      <c r="HE17" s="128"/>
      <c r="HF17" s="128"/>
      <c r="HG17" s="128"/>
      <c r="HH17" s="128"/>
      <c r="HI17" s="128"/>
      <c r="HJ17" s="128"/>
      <c r="HK17" s="128"/>
      <c r="HL17" s="128"/>
      <c r="HM17" s="128"/>
      <c r="HN17" s="128"/>
      <c r="HO17" s="128"/>
      <c r="HP17" s="128"/>
      <c r="HQ17" s="128"/>
      <c r="HR17" s="128"/>
      <c r="HS17" s="128"/>
      <c r="HT17" s="128"/>
      <c r="HU17" s="128"/>
      <c r="HV17" s="128"/>
      <c r="HW17" s="128"/>
      <c r="HX17" s="128"/>
      <c r="HY17" s="128"/>
      <c r="HZ17" s="128"/>
      <c r="IA17" s="128"/>
      <c r="IB17" s="128"/>
      <c r="IC17" s="128"/>
      <c r="ID17" s="128"/>
      <c r="IE17" s="128"/>
      <c r="IF17" s="128"/>
      <c r="IG17" s="128"/>
      <c r="IH17" s="128"/>
      <c r="II17" s="128"/>
      <c r="IJ17" s="128"/>
      <c r="IK17" s="128"/>
      <c r="IL17" s="128"/>
      <c r="IM17" s="128"/>
      <c r="IN17" s="128"/>
      <c r="IO17" s="128"/>
      <c r="IP17" s="128"/>
      <c r="IQ17" s="128"/>
      <c r="IR17" s="128"/>
      <c r="IS17" s="128"/>
      <c r="IT17" s="128"/>
      <c r="IU17" s="128"/>
      <c r="IV17" s="128"/>
    </row>
    <row r="18" spans="1:256" s="113" customFormat="1" x14ac:dyDescent="0.25">
      <c r="A18" s="118" t="str">
        <f t="shared" si="0"/>
        <v>16STL GALV2</v>
      </c>
      <c r="B18" s="119"/>
      <c r="C18" s="120"/>
      <c r="D18" s="122" t="s">
        <v>748</v>
      </c>
      <c r="E18" s="122">
        <v>16</v>
      </c>
      <c r="F18" s="123" t="s">
        <v>728</v>
      </c>
      <c r="G18" s="123" t="s">
        <v>729</v>
      </c>
      <c r="H18" s="124">
        <v>5.6050000000000003E-2</v>
      </c>
      <c r="I18" s="123" t="s">
        <v>716</v>
      </c>
      <c r="J18" s="123" t="s">
        <v>705</v>
      </c>
      <c r="K18" s="123" t="s">
        <v>749</v>
      </c>
      <c r="L18" s="122" t="s">
        <v>750</v>
      </c>
      <c r="M18" s="123" t="s">
        <v>751</v>
      </c>
      <c r="N18" s="125" t="s">
        <v>709</v>
      </c>
      <c r="O18" s="130" t="s">
        <v>752</v>
      </c>
      <c r="P18" s="130" t="s">
        <v>711</v>
      </c>
      <c r="Q18" s="123" t="s">
        <v>753</v>
      </c>
      <c r="R18" s="118" t="s">
        <v>754</v>
      </c>
      <c r="S18" s="118" t="s">
        <v>713</v>
      </c>
      <c r="T18" s="126" t="s">
        <v>713</v>
      </c>
      <c r="U18" s="127"/>
      <c r="V18" s="128"/>
      <c r="W18" s="128"/>
      <c r="X18" s="128"/>
      <c r="Y18" s="128"/>
      <c r="Z18" s="128"/>
      <c r="AA18" s="128"/>
      <c r="AB18" s="128"/>
      <c r="AC18" s="128"/>
      <c r="AD18" s="128"/>
      <c r="AE18" s="128"/>
      <c r="AF18" s="128"/>
      <c r="AG18" s="128"/>
      <c r="AH18" s="128"/>
      <c r="AI18" s="128"/>
      <c r="AJ18" s="128"/>
      <c r="AK18" s="128"/>
      <c r="AL18" s="128"/>
      <c r="AM18" s="128"/>
      <c r="AN18" s="128"/>
      <c r="AO18" s="128"/>
      <c r="AP18" s="128"/>
      <c r="AQ18" s="128"/>
      <c r="AR18" s="128"/>
      <c r="AS18" s="128"/>
      <c r="AT18" s="128"/>
      <c r="AU18" s="128"/>
      <c r="AV18" s="128"/>
      <c r="AW18" s="128"/>
      <c r="AX18" s="128"/>
      <c r="AY18" s="128"/>
      <c r="AZ18" s="128"/>
      <c r="BA18" s="128"/>
      <c r="BB18" s="128"/>
      <c r="BC18" s="128"/>
      <c r="BD18" s="128"/>
      <c r="BE18" s="128"/>
      <c r="BF18" s="128"/>
      <c r="BG18" s="128"/>
      <c r="BH18" s="128"/>
      <c r="BI18" s="128"/>
      <c r="BJ18" s="128"/>
      <c r="BK18" s="128"/>
      <c r="BL18" s="128"/>
      <c r="BM18" s="128"/>
      <c r="BN18" s="128"/>
      <c r="BO18" s="128"/>
      <c r="BP18" s="128"/>
      <c r="BQ18" s="128"/>
      <c r="BR18" s="128"/>
      <c r="BS18" s="128"/>
      <c r="BT18" s="128"/>
      <c r="BU18" s="128"/>
      <c r="BV18" s="128"/>
      <c r="BW18" s="128"/>
      <c r="BX18" s="128"/>
      <c r="BY18" s="128"/>
      <c r="BZ18" s="128"/>
      <c r="CA18" s="128"/>
      <c r="CB18" s="128"/>
      <c r="CC18" s="128"/>
      <c r="CD18" s="128"/>
      <c r="CE18" s="128"/>
      <c r="CF18" s="128"/>
      <c r="CG18" s="128"/>
      <c r="CH18" s="128"/>
      <c r="CI18" s="128"/>
      <c r="CJ18" s="128"/>
      <c r="CK18" s="128"/>
      <c r="CL18" s="128"/>
      <c r="CM18" s="128"/>
      <c r="CN18" s="128"/>
      <c r="CO18" s="128"/>
      <c r="CP18" s="128"/>
      <c r="CQ18" s="128"/>
      <c r="CR18" s="128"/>
      <c r="CS18" s="128"/>
      <c r="CT18" s="128"/>
      <c r="CU18" s="128"/>
      <c r="CV18" s="128"/>
      <c r="CW18" s="128"/>
      <c r="CX18" s="128"/>
      <c r="CY18" s="128"/>
      <c r="CZ18" s="128"/>
      <c r="DA18" s="128"/>
      <c r="DB18" s="128"/>
      <c r="DC18" s="128"/>
      <c r="DD18" s="128"/>
      <c r="DE18" s="128"/>
      <c r="DF18" s="128"/>
      <c r="DG18" s="128"/>
      <c r="DH18" s="128"/>
      <c r="DI18" s="128"/>
      <c r="DJ18" s="128"/>
      <c r="DK18" s="128"/>
      <c r="DL18" s="128"/>
      <c r="DM18" s="128"/>
      <c r="DN18" s="128"/>
      <c r="DO18" s="128"/>
      <c r="DP18" s="128"/>
      <c r="DQ18" s="128"/>
      <c r="DR18" s="128"/>
      <c r="DS18" s="128"/>
      <c r="DT18" s="128"/>
      <c r="DU18" s="128"/>
      <c r="DV18" s="128"/>
      <c r="DW18" s="128"/>
      <c r="DX18" s="128"/>
      <c r="DY18" s="128"/>
      <c r="DZ18" s="128"/>
      <c r="EA18" s="128"/>
      <c r="EB18" s="128"/>
      <c r="EC18" s="128"/>
      <c r="ED18" s="128"/>
      <c r="EE18" s="128"/>
      <c r="EF18" s="128"/>
      <c r="EG18" s="128"/>
      <c r="EH18" s="128"/>
      <c r="EI18" s="128"/>
      <c r="EJ18" s="128"/>
      <c r="EK18" s="128"/>
      <c r="EL18" s="128"/>
      <c r="EM18" s="128"/>
      <c r="EN18" s="128"/>
      <c r="EO18" s="128"/>
      <c r="EP18" s="128"/>
      <c r="EQ18" s="128"/>
      <c r="ER18" s="128"/>
      <c r="ES18" s="128"/>
      <c r="ET18" s="128"/>
      <c r="EU18" s="128"/>
      <c r="EV18" s="128"/>
      <c r="EW18" s="128"/>
      <c r="EX18" s="128"/>
      <c r="EY18" s="128"/>
      <c r="EZ18" s="128"/>
      <c r="FA18" s="128"/>
      <c r="FB18" s="128"/>
      <c r="FC18" s="128"/>
      <c r="FD18" s="128"/>
      <c r="FE18" s="128"/>
      <c r="FF18" s="128"/>
      <c r="FG18" s="128"/>
      <c r="FH18" s="128"/>
      <c r="FI18" s="128"/>
      <c r="FJ18" s="128"/>
      <c r="FK18" s="128"/>
      <c r="FL18" s="128"/>
      <c r="FM18" s="128"/>
      <c r="FN18" s="128"/>
      <c r="FO18" s="128"/>
      <c r="FP18" s="128"/>
      <c r="FQ18" s="128"/>
      <c r="FR18" s="128"/>
      <c r="FS18" s="128"/>
      <c r="FT18" s="128"/>
      <c r="FU18" s="128"/>
      <c r="FV18" s="128"/>
      <c r="FW18" s="128"/>
      <c r="FX18" s="128"/>
      <c r="FY18" s="128"/>
      <c r="FZ18" s="128"/>
      <c r="GA18" s="128"/>
      <c r="GB18" s="128"/>
      <c r="GC18" s="128"/>
      <c r="GD18" s="128"/>
      <c r="GE18" s="128"/>
      <c r="GF18" s="128"/>
      <c r="GG18" s="128"/>
      <c r="GH18" s="128"/>
      <c r="GI18" s="128"/>
      <c r="GJ18" s="128"/>
      <c r="GK18" s="128"/>
      <c r="GL18" s="128"/>
      <c r="GM18" s="128"/>
      <c r="GN18" s="128"/>
      <c r="GO18" s="128"/>
      <c r="GP18" s="128"/>
      <c r="GQ18" s="128"/>
      <c r="GR18" s="128"/>
      <c r="GS18" s="128"/>
      <c r="GT18" s="128"/>
      <c r="GU18" s="128"/>
      <c r="GV18" s="128"/>
      <c r="GW18" s="128"/>
      <c r="GX18" s="128"/>
      <c r="GY18" s="128"/>
      <c r="GZ18" s="128"/>
      <c r="HA18" s="128"/>
      <c r="HB18" s="128"/>
      <c r="HC18" s="128"/>
      <c r="HD18" s="128"/>
      <c r="HE18" s="128"/>
      <c r="HF18" s="128"/>
      <c r="HG18" s="128"/>
      <c r="HH18" s="128"/>
      <c r="HI18" s="128"/>
      <c r="HJ18" s="128"/>
      <c r="HK18" s="128"/>
      <c r="HL18" s="128"/>
      <c r="HM18" s="128"/>
      <c r="HN18" s="128"/>
      <c r="HO18" s="128"/>
      <c r="HP18" s="128"/>
      <c r="HQ18" s="128"/>
      <c r="HR18" s="128"/>
      <c r="HS18" s="128"/>
      <c r="HT18" s="128"/>
      <c r="HU18" s="128"/>
      <c r="HV18" s="128"/>
      <c r="HW18" s="128"/>
      <c r="HX18" s="128"/>
      <c r="HY18" s="128"/>
      <c r="HZ18" s="128"/>
      <c r="IA18" s="128"/>
      <c r="IB18" s="128"/>
      <c r="IC18" s="128"/>
      <c r="ID18" s="128"/>
      <c r="IE18" s="128"/>
      <c r="IF18" s="128"/>
      <c r="IG18" s="128"/>
      <c r="IH18" s="128"/>
      <c r="II18" s="128"/>
      <c r="IJ18" s="128"/>
      <c r="IK18" s="128"/>
      <c r="IL18" s="128"/>
      <c r="IM18" s="128"/>
      <c r="IN18" s="128"/>
      <c r="IO18" s="128"/>
      <c r="IP18" s="128"/>
      <c r="IQ18" s="128"/>
      <c r="IR18" s="128"/>
      <c r="IS18" s="128"/>
      <c r="IT18" s="128"/>
      <c r="IU18" s="128"/>
      <c r="IV18" s="128"/>
    </row>
    <row r="19" spans="1:256" s="113" customFormat="1" x14ac:dyDescent="0.25">
      <c r="A19" s="118" t="str">
        <f t="shared" si="0"/>
        <v>16STL GALV3</v>
      </c>
      <c r="B19" s="119"/>
      <c r="C19" s="120"/>
      <c r="D19" s="122" t="s">
        <v>748</v>
      </c>
      <c r="E19" s="122">
        <v>16</v>
      </c>
      <c r="F19" s="123" t="s">
        <v>728</v>
      </c>
      <c r="G19" s="123" t="s">
        <v>729</v>
      </c>
      <c r="H19" s="124">
        <v>5.6059999999999999E-2</v>
      </c>
      <c r="I19" s="123" t="s">
        <v>716</v>
      </c>
      <c r="J19" s="123" t="s">
        <v>705</v>
      </c>
      <c r="K19" s="123" t="s">
        <v>755</v>
      </c>
      <c r="L19" s="122" t="s">
        <v>756</v>
      </c>
      <c r="M19" s="123" t="s">
        <v>751</v>
      </c>
      <c r="N19" s="125" t="s">
        <v>709</v>
      </c>
      <c r="O19" s="130" t="s">
        <v>757</v>
      </c>
      <c r="P19" s="130" t="s">
        <v>711</v>
      </c>
      <c r="Q19" s="123" t="s">
        <v>758</v>
      </c>
      <c r="R19" s="118" t="s">
        <v>759</v>
      </c>
      <c r="S19" s="118" t="s">
        <v>713</v>
      </c>
      <c r="T19" s="126" t="s">
        <v>713</v>
      </c>
      <c r="U19" s="127"/>
      <c r="V19" s="128"/>
      <c r="W19" s="128"/>
      <c r="X19" s="128"/>
      <c r="Y19" s="128"/>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28"/>
      <c r="AX19" s="128"/>
      <c r="AY19" s="128"/>
      <c r="AZ19" s="128"/>
      <c r="BA19" s="128"/>
      <c r="BB19" s="128"/>
      <c r="BC19" s="128"/>
      <c r="BD19" s="128"/>
      <c r="BE19" s="128"/>
      <c r="BF19" s="128"/>
      <c r="BG19" s="128"/>
      <c r="BH19" s="128"/>
      <c r="BI19" s="128"/>
      <c r="BJ19" s="128"/>
      <c r="BK19" s="128"/>
      <c r="BL19" s="128"/>
      <c r="BM19" s="128"/>
      <c r="BN19" s="128"/>
      <c r="BO19" s="128"/>
      <c r="BP19" s="128"/>
      <c r="BQ19" s="128"/>
      <c r="BR19" s="128"/>
      <c r="BS19" s="128"/>
      <c r="BT19" s="128"/>
      <c r="BU19" s="128"/>
      <c r="BV19" s="128"/>
      <c r="BW19" s="128"/>
      <c r="BX19" s="128"/>
      <c r="BY19" s="128"/>
      <c r="BZ19" s="128"/>
      <c r="CA19" s="128"/>
      <c r="CB19" s="128"/>
      <c r="CC19" s="128"/>
      <c r="CD19" s="128"/>
      <c r="CE19" s="128"/>
      <c r="CF19" s="128"/>
      <c r="CG19" s="128"/>
      <c r="CH19" s="128"/>
      <c r="CI19" s="128"/>
      <c r="CJ19" s="128"/>
      <c r="CK19" s="128"/>
      <c r="CL19" s="128"/>
      <c r="CM19" s="128"/>
      <c r="CN19" s="128"/>
      <c r="CO19" s="128"/>
      <c r="CP19" s="128"/>
      <c r="CQ19" s="128"/>
      <c r="CR19" s="128"/>
      <c r="CS19" s="128"/>
      <c r="CT19" s="128"/>
      <c r="CU19" s="128"/>
      <c r="CV19" s="128"/>
      <c r="CW19" s="128"/>
      <c r="CX19" s="128"/>
      <c r="CY19" s="128"/>
      <c r="CZ19" s="128"/>
      <c r="DA19" s="128"/>
      <c r="DB19" s="128"/>
      <c r="DC19" s="128"/>
      <c r="DD19" s="128"/>
      <c r="DE19" s="128"/>
      <c r="DF19" s="128"/>
      <c r="DG19" s="128"/>
      <c r="DH19" s="128"/>
      <c r="DI19" s="128"/>
      <c r="DJ19" s="128"/>
      <c r="DK19" s="128"/>
      <c r="DL19" s="128"/>
      <c r="DM19" s="128"/>
      <c r="DN19" s="128"/>
      <c r="DO19" s="128"/>
      <c r="DP19" s="128"/>
      <c r="DQ19" s="128"/>
      <c r="DR19" s="128"/>
      <c r="DS19" s="128"/>
      <c r="DT19" s="128"/>
      <c r="DU19" s="128"/>
      <c r="DV19" s="128"/>
      <c r="DW19" s="128"/>
      <c r="DX19" s="128"/>
      <c r="DY19" s="128"/>
      <c r="DZ19" s="128"/>
      <c r="EA19" s="128"/>
      <c r="EB19" s="128"/>
      <c r="EC19" s="128"/>
      <c r="ED19" s="128"/>
      <c r="EE19" s="128"/>
      <c r="EF19" s="128"/>
      <c r="EG19" s="128"/>
      <c r="EH19" s="128"/>
      <c r="EI19" s="128"/>
      <c r="EJ19" s="128"/>
      <c r="EK19" s="128"/>
      <c r="EL19" s="128"/>
      <c r="EM19" s="128"/>
      <c r="EN19" s="128"/>
      <c r="EO19" s="128"/>
      <c r="EP19" s="128"/>
      <c r="EQ19" s="128"/>
      <c r="ER19" s="128"/>
      <c r="ES19" s="128"/>
      <c r="ET19" s="128"/>
      <c r="EU19" s="128"/>
      <c r="EV19" s="128"/>
      <c r="EW19" s="128"/>
      <c r="EX19" s="128"/>
      <c r="EY19" s="128"/>
      <c r="EZ19" s="128"/>
      <c r="FA19" s="128"/>
      <c r="FB19" s="128"/>
      <c r="FC19" s="128"/>
      <c r="FD19" s="128"/>
      <c r="FE19" s="128"/>
      <c r="FF19" s="128"/>
      <c r="FG19" s="128"/>
      <c r="FH19" s="128"/>
      <c r="FI19" s="128"/>
      <c r="FJ19" s="128"/>
      <c r="FK19" s="128"/>
      <c r="FL19" s="128"/>
      <c r="FM19" s="128"/>
      <c r="FN19" s="128"/>
      <c r="FO19" s="128"/>
      <c r="FP19" s="128"/>
      <c r="FQ19" s="128"/>
      <c r="FR19" s="128"/>
      <c r="FS19" s="128"/>
      <c r="FT19" s="128"/>
      <c r="FU19" s="128"/>
      <c r="FV19" s="128"/>
      <c r="FW19" s="128"/>
      <c r="FX19" s="128"/>
      <c r="FY19" s="128"/>
      <c r="FZ19" s="128"/>
      <c r="GA19" s="128"/>
      <c r="GB19" s="128"/>
      <c r="GC19" s="128"/>
      <c r="GD19" s="128"/>
      <c r="GE19" s="128"/>
      <c r="GF19" s="128"/>
      <c r="GG19" s="128"/>
      <c r="GH19" s="128"/>
      <c r="GI19" s="128"/>
      <c r="GJ19" s="128"/>
      <c r="GK19" s="128"/>
      <c r="GL19" s="128"/>
      <c r="GM19" s="128"/>
      <c r="GN19" s="128"/>
      <c r="GO19" s="128"/>
      <c r="GP19" s="128"/>
      <c r="GQ19" s="128"/>
      <c r="GR19" s="128"/>
      <c r="GS19" s="128"/>
      <c r="GT19" s="128"/>
      <c r="GU19" s="128"/>
      <c r="GV19" s="128"/>
      <c r="GW19" s="128"/>
      <c r="GX19" s="128"/>
      <c r="GY19" s="128"/>
      <c r="GZ19" s="128"/>
      <c r="HA19" s="128"/>
      <c r="HB19" s="128"/>
      <c r="HC19" s="128"/>
      <c r="HD19" s="128"/>
      <c r="HE19" s="128"/>
      <c r="HF19" s="128"/>
      <c r="HG19" s="128"/>
      <c r="HH19" s="128"/>
      <c r="HI19" s="128"/>
      <c r="HJ19" s="128"/>
      <c r="HK19" s="128"/>
      <c r="HL19" s="128"/>
      <c r="HM19" s="128"/>
      <c r="HN19" s="128"/>
      <c r="HO19" s="128"/>
      <c r="HP19" s="128"/>
      <c r="HQ19" s="128"/>
      <c r="HR19" s="128"/>
      <c r="HS19" s="128"/>
      <c r="HT19" s="128"/>
      <c r="HU19" s="128"/>
      <c r="HV19" s="128"/>
      <c r="HW19" s="128"/>
      <c r="HX19" s="128"/>
      <c r="HY19" s="128"/>
      <c r="HZ19" s="128"/>
      <c r="IA19" s="128"/>
      <c r="IB19" s="128"/>
      <c r="IC19" s="128"/>
      <c r="ID19" s="128"/>
      <c r="IE19" s="128"/>
      <c r="IF19" s="128"/>
      <c r="IG19" s="128"/>
      <c r="IH19" s="128"/>
      <c r="II19" s="128"/>
      <c r="IJ19" s="128"/>
      <c r="IK19" s="128"/>
      <c r="IL19" s="128"/>
      <c r="IM19" s="128"/>
      <c r="IN19" s="128"/>
      <c r="IO19" s="128"/>
      <c r="IP19" s="128"/>
      <c r="IQ19" s="128"/>
      <c r="IR19" s="128"/>
      <c r="IS19" s="128"/>
      <c r="IT19" s="128"/>
      <c r="IU19" s="128"/>
      <c r="IV19" s="128"/>
    </row>
    <row r="20" spans="1:256" s="113" customFormat="1" x14ac:dyDescent="0.25">
      <c r="A20" s="118" t="str">
        <f t="shared" si="0"/>
        <v>16STL GALV4</v>
      </c>
      <c r="B20" s="119"/>
      <c r="C20" s="120"/>
      <c r="D20" s="122" t="s">
        <v>748</v>
      </c>
      <c r="E20" s="122">
        <v>16</v>
      </c>
      <c r="F20" s="123" t="s">
        <v>728</v>
      </c>
      <c r="G20" s="123" t="s">
        <v>729</v>
      </c>
      <c r="H20" s="124">
        <v>5.6070000000000002E-2</v>
      </c>
      <c r="I20" s="123" t="s">
        <v>716</v>
      </c>
      <c r="J20" s="123" t="s">
        <v>705</v>
      </c>
      <c r="K20" s="123" t="s">
        <v>760</v>
      </c>
      <c r="L20" s="122" t="s">
        <v>761</v>
      </c>
      <c r="M20" s="123" t="s">
        <v>751</v>
      </c>
      <c r="N20" s="125" t="s">
        <v>709</v>
      </c>
      <c r="O20" s="123" t="s">
        <v>762</v>
      </c>
      <c r="P20" s="130" t="s">
        <v>711</v>
      </c>
      <c r="Q20" s="123" t="s">
        <v>763</v>
      </c>
      <c r="R20" s="118" t="s">
        <v>764</v>
      </c>
      <c r="S20" s="118" t="s">
        <v>713</v>
      </c>
      <c r="T20" s="126" t="s">
        <v>713</v>
      </c>
      <c r="U20" s="127"/>
      <c r="V20" s="128"/>
      <c r="W20" s="128"/>
      <c r="X20" s="128"/>
      <c r="Y20" s="128"/>
      <c r="Z20" s="128"/>
      <c r="AA20" s="128"/>
      <c r="AB20" s="128"/>
      <c r="AC20" s="128"/>
      <c r="AD20" s="128"/>
      <c r="AE20" s="128"/>
      <c r="AF20" s="128"/>
      <c r="AG20" s="128"/>
      <c r="AH20" s="128"/>
      <c r="AI20" s="128"/>
      <c r="AJ20" s="128"/>
      <c r="AK20" s="128"/>
      <c r="AL20" s="128"/>
      <c r="AM20" s="128"/>
      <c r="AN20" s="128"/>
      <c r="AO20" s="128"/>
      <c r="AP20" s="128"/>
      <c r="AQ20" s="128"/>
      <c r="AR20" s="128"/>
      <c r="AS20" s="128"/>
      <c r="AT20" s="128"/>
      <c r="AU20" s="128"/>
      <c r="AV20" s="128"/>
      <c r="AW20" s="128"/>
      <c r="AX20" s="128"/>
      <c r="AY20" s="128"/>
      <c r="AZ20" s="128"/>
      <c r="BA20" s="128"/>
      <c r="BB20" s="128"/>
      <c r="BC20" s="128"/>
      <c r="BD20" s="128"/>
      <c r="BE20" s="128"/>
      <c r="BF20" s="128"/>
      <c r="BG20" s="128"/>
      <c r="BH20" s="128"/>
      <c r="BI20" s="128"/>
      <c r="BJ20" s="128"/>
      <c r="BK20" s="128"/>
      <c r="BL20" s="128"/>
      <c r="BM20" s="128"/>
      <c r="BN20" s="128"/>
      <c r="BO20" s="128"/>
      <c r="BP20" s="128"/>
      <c r="BQ20" s="128"/>
      <c r="BR20" s="128"/>
      <c r="BS20" s="128"/>
      <c r="BT20" s="128"/>
      <c r="BU20" s="128"/>
      <c r="BV20" s="128"/>
      <c r="BW20" s="128"/>
      <c r="BX20" s="128"/>
      <c r="BY20" s="128"/>
      <c r="BZ20" s="128"/>
      <c r="CA20" s="128"/>
      <c r="CB20" s="128"/>
      <c r="CC20" s="128"/>
      <c r="CD20" s="128"/>
      <c r="CE20" s="128"/>
      <c r="CF20" s="128"/>
      <c r="CG20" s="128"/>
      <c r="CH20" s="128"/>
      <c r="CI20" s="128"/>
      <c r="CJ20" s="128"/>
      <c r="CK20" s="128"/>
      <c r="CL20" s="128"/>
      <c r="CM20" s="128"/>
      <c r="CN20" s="128"/>
      <c r="CO20" s="128"/>
      <c r="CP20" s="128"/>
      <c r="CQ20" s="128"/>
      <c r="CR20" s="128"/>
      <c r="CS20" s="128"/>
      <c r="CT20" s="128"/>
      <c r="CU20" s="128"/>
      <c r="CV20" s="128"/>
      <c r="CW20" s="128"/>
      <c r="CX20" s="128"/>
      <c r="CY20" s="128"/>
      <c r="CZ20" s="128"/>
      <c r="DA20" s="128"/>
      <c r="DB20" s="128"/>
      <c r="DC20" s="128"/>
      <c r="DD20" s="128"/>
      <c r="DE20" s="128"/>
      <c r="DF20" s="128"/>
      <c r="DG20" s="128"/>
      <c r="DH20" s="128"/>
      <c r="DI20" s="128"/>
      <c r="DJ20" s="128"/>
      <c r="DK20" s="128"/>
      <c r="DL20" s="128"/>
      <c r="DM20" s="128"/>
      <c r="DN20" s="128"/>
      <c r="DO20" s="128"/>
      <c r="DP20" s="128"/>
      <c r="DQ20" s="128"/>
      <c r="DR20" s="128"/>
      <c r="DS20" s="128"/>
      <c r="DT20" s="128"/>
      <c r="DU20" s="128"/>
      <c r="DV20" s="128"/>
      <c r="DW20" s="128"/>
      <c r="DX20" s="128"/>
      <c r="DY20" s="128"/>
      <c r="DZ20" s="128"/>
      <c r="EA20" s="128"/>
      <c r="EB20" s="128"/>
      <c r="EC20" s="128"/>
      <c r="ED20" s="128"/>
      <c r="EE20" s="128"/>
      <c r="EF20" s="128"/>
      <c r="EG20" s="128"/>
      <c r="EH20" s="128"/>
      <c r="EI20" s="128"/>
      <c r="EJ20" s="128"/>
      <c r="EK20" s="128"/>
      <c r="EL20" s="128"/>
      <c r="EM20" s="128"/>
      <c r="EN20" s="128"/>
      <c r="EO20" s="128"/>
      <c r="EP20" s="128"/>
      <c r="EQ20" s="128"/>
      <c r="ER20" s="128"/>
      <c r="ES20" s="128"/>
      <c r="ET20" s="128"/>
      <c r="EU20" s="128"/>
      <c r="EV20" s="128"/>
      <c r="EW20" s="128"/>
      <c r="EX20" s="128"/>
      <c r="EY20" s="128"/>
      <c r="EZ20" s="128"/>
      <c r="FA20" s="128"/>
      <c r="FB20" s="128"/>
      <c r="FC20" s="128"/>
      <c r="FD20" s="128"/>
      <c r="FE20" s="128"/>
      <c r="FF20" s="128"/>
      <c r="FG20" s="128"/>
      <c r="FH20" s="128"/>
      <c r="FI20" s="128"/>
      <c r="FJ20" s="128"/>
      <c r="FK20" s="128"/>
      <c r="FL20" s="128"/>
      <c r="FM20" s="128"/>
      <c r="FN20" s="128"/>
      <c r="FO20" s="128"/>
      <c r="FP20" s="128"/>
      <c r="FQ20" s="128"/>
      <c r="FR20" s="128"/>
      <c r="FS20" s="128"/>
      <c r="FT20" s="128"/>
      <c r="FU20" s="128"/>
      <c r="FV20" s="128"/>
      <c r="FW20" s="128"/>
      <c r="FX20" s="128"/>
      <c r="FY20" s="128"/>
      <c r="FZ20" s="128"/>
      <c r="GA20" s="128"/>
      <c r="GB20" s="128"/>
      <c r="GC20" s="128"/>
      <c r="GD20" s="128"/>
      <c r="GE20" s="128"/>
      <c r="GF20" s="128"/>
      <c r="GG20" s="128"/>
      <c r="GH20" s="128"/>
      <c r="GI20" s="128"/>
      <c r="GJ20" s="128"/>
      <c r="GK20" s="128"/>
      <c r="GL20" s="128"/>
      <c r="GM20" s="128"/>
      <c r="GN20" s="128"/>
      <c r="GO20" s="128"/>
      <c r="GP20" s="128"/>
      <c r="GQ20" s="128"/>
      <c r="GR20" s="128"/>
      <c r="GS20" s="128"/>
      <c r="GT20" s="128"/>
      <c r="GU20" s="128"/>
      <c r="GV20" s="128"/>
      <c r="GW20" s="128"/>
      <c r="GX20" s="128"/>
      <c r="GY20" s="128"/>
      <c r="GZ20" s="128"/>
      <c r="HA20" s="128"/>
      <c r="HB20" s="128"/>
      <c r="HC20" s="128"/>
      <c r="HD20" s="128"/>
      <c r="HE20" s="128"/>
      <c r="HF20" s="128"/>
      <c r="HG20" s="128"/>
      <c r="HH20" s="128"/>
      <c r="HI20" s="128"/>
      <c r="HJ20" s="128"/>
      <c r="HK20" s="128"/>
      <c r="HL20" s="128"/>
      <c r="HM20" s="128"/>
      <c r="HN20" s="128"/>
      <c r="HO20" s="128"/>
      <c r="HP20" s="128"/>
      <c r="HQ20" s="128"/>
      <c r="HR20" s="128"/>
      <c r="HS20" s="128"/>
      <c r="HT20" s="128"/>
      <c r="HU20" s="128"/>
      <c r="HV20" s="128"/>
      <c r="HW20" s="128"/>
      <c r="HX20" s="128"/>
      <c r="HY20" s="128"/>
      <c r="HZ20" s="128"/>
      <c r="IA20" s="128"/>
      <c r="IB20" s="128"/>
      <c r="IC20" s="128"/>
      <c r="ID20" s="128"/>
      <c r="IE20" s="128"/>
      <c r="IF20" s="128"/>
      <c r="IG20" s="128"/>
      <c r="IH20" s="128"/>
      <c r="II20" s="128"/>
      <c r="IJ20" s="128"/>
      <c r="IK20" s="128"/>
      <c r="IL20" s="128"/>
      <c r="IM20" s="128"/>
      <c r="IN20" s="128"/>
      <c r="IO20" s="128"/>
      <c r="IP20" s="128"/>
      <c r="IQ20" s="128"/>
      <c r="IR20" s="128"/>
      <c r="IS20" s="128"/>
      <c r="IT20" s="128"/>
      <c r="IU20" s="128"/>
      <c r="IV20" s="128"/>
    </row>
    <row r="21" spans="1:256" s="113" customFormat="1" x14ac:dyDescent="0.25">
      <c r="A21" s="118" t="str">
        <f t="shared" si="0"/>
        <v>18STL GALVS</v>
      </c>
      <c r="B21" s="119"/>
      <c r="C21" s="120"/>
      <c r="D21" s="122" t="s">
        <v>748</v>
      </c>
      <c r="E21" s="122">
        <v>18</v>
      </c>
      <c r="F21" s="123" t="s">
        <v>732</v>
      </c>
      <c r="G21" s="123" t="s">
        <v>733</v>
      </c>
      <c r="H21" s="124">
        <v>4.5019999999999998E-2</v>
      </c>
      <c r="I21" s="123" t="s">
        <v>704</v>
      </c>
      <c r="J21" s="123" t="s">
        <v>716</v>
      </c>
      <c r="K21" s="129" t="s">
        <v>765</v>
      </c>
      <c r="L21" s="122" t="s">
        <v>766</v>
      </c>
      <c r="M21" s="123" t="s">
        <v>708</v>
      </c>
      <c r="N21" s="125" t="s">
        <v>709</v>
      </c>
      <c r="O21" s="123" t="s">
        <v>767</v>
      </c>
      <c r="P21" s="130" t="s">
        <v>711</v>
      </c>
      <c r="Q21" s="123" t="s">
        <v>768</v>
      </c>
      <c r="R21" s="118" t="s">
        <v>769</v>
      </c>
      <c r="S21" s="118" t="s">
        <v>713</v>
      </c>
      <c r="T21" s="126" t="s">
        <v>713</v>
      </c>
      <c r="U21" s="127"/>
      <c r="V21" s="128"/>
      <c r="W21" s="128"/>
      <c r="X21" s="128"/>
      <c r="Y21" s="128"/>
      <c r="Z21" s="128"/>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28"/>
      <c r="BB21" s="128"/>
      <c r="BC21" s="128"/>
      <c r="BD21" s="128"/>
      <c r="BE21" s="128"/>
      <c r="BF21" s="128"/>
      <c r="BG21" s="128"/>
      <c r="BH21" s="128"/>
      <c r="BI21" s="128"/>
      <c r="BJ21" s="128"/>
      <c r="BK21" s="128"/>
      <c r="BL21" s="128"/>
      <c r="BM21" s="128"/>
      <c r="BN21" s="128"/>
      <c r="BO21" s="128"/>
      <c r="BP21" s="128"/>
      <c r="BQ21" s="128"/>
      <c r="BR21" s="128"/>
      <c r="BS21" s="128"/>
      <c r="BT21" s="128"/>
      <c r="BU21" s="128"/>
      <c r="BV21" s="128"/>
      <c r="BW21" s="128"/>
      <c r="BX21" s="128"/>
      <c r="BY21" s="128"/>
      <c r="BZ21" s="128"/>
      <c r="CA21" s="128"/>
      <c r="CB21" s="128"/>
      <c r="CC21" s="128"/>
      <c r="CD21" s="128"/>
      <c r="CE21" s="128"/>
      <c r="CF21" s="128"/>
      <c r="CG21" s="128"/>
      <c r="CH21" s="128"/>
      <c r="CI21" s="128"/>
      <c r="CJ21" s="128"/>
      <c r="CK21" s="128"/>
      <c r="CL21" s="128"/>
      <c r="CM21" s="128"/>
      <c r="CN21" s="128"/>
      <c r="CO21" s="128"/>
      <c r="CP21" s="128"/>
      <c r="CQ21" s="128"/>
      <c r="CR21" s="128"/>
      <c r="CS21" s="128"/>
      <c r="CT21" s="128"/>
      <c r="CU21" s="128"/>
      <c r="CV21" s="128"/>
      <c r="CW21" s="128"/>
      <c r="CX21" s="128"/>
      <c r="CY21" s="128"/>
      <c r="CZ21" s="128"/>
      <c r="DA21" s="128"/>
      <c r="DB21" s="128"/>
      <c r="DC21" s="128"/>
      <c r="DD21" s="128"/>
      <c r="DE21" s="128"/>
      <c r="DF21" s="128"/>
      <c r="DG21" s="128"/>
      <c r="DH21" s="128"/>
      <c r="DI21" s="128"/>
      <c r="DJ21" s="128"/>
      <c r="DK21" s="128"/>
      <c r="DL21" s="128"/>
      <c r="DM21" s="128"/>
      <c r="DN21" s="128"/>
      <c r="DO21" s="128"/>
      <c r="DP21" s="128"/>
      <c r="DQ21" s="128"/>
      <c r="DR21" s="128"/>
      <c r="DS21" s="128"/>
      <c r="DT21" s="128"/>
      <c r="DU21" s="128"/>
      <c r="DV21" s="128"/>
      <c r="DW21" s="128"/>
      <c r="DX21" s="128"/>
      <c r="DY21" s="128"/>
      <c r="DZ21" s="128"/>
      <c r="EA21" s="128"/>
      <c r="EB21" s="128"/>
      <c r="EC21" s="128"/>
      <c r="ED21" s="128"/>
      <c r="EE21" s="128"/>
      <c r="EF21" s="128"/>
      <c r="EG21" s="128"/>
      <c r="EH21" s="128"/>
      <c r="EI21" s="128"/>
      <c r="EJ21" s="128"/>
      <c r="EK21" s="128"/>
      <c r="EL21" s="128"/>
      <c r="EM21" s="128"/>
      <c r="EN21" s="128"/>
      <c r="EO21" s="128"/>
      <c r="EP21" s="128"/>
      <c r="EQ21" s="128"/>
      <c r="ER21" s="128"/>
      <c r="ES21" s="128"/>
      <c r="ET21" s="128"/>
      <c r="EU21" s="128"/>
      <c r="EV21" s="128"/>
      <c r="EW21" s="128"/>
      <c r="EX21" s="128"/>
      <c r="EY21" s="128"/>
      <c r="EZ21" s="128"/>
      <c r="FA21" s="128"/>
      <c r="FB21" s="128"/>
      <c r="FC21" s="128"/>
      <c r="FD21" s="128"/>
      <c r="FE21" s="128"/>
      <c r="FF21" s="128"/>
      <c r="FG21" s="128"/>
      <c r="FH21" s="128"/>
      <c r="FI21" s="128"/>
      <c r="FJ21" s="128"/>
      <c r="FK21" s="128"/>
      <c r="FL21" s="128"/>
      <c r="FM21" s="128"/>
      <c r="FN21" s="128"/>
      <c r="FO21" s="128"/>
      <c r="FP21" s="128"/>
      <c r="FQ21" s="128"/>
      <c r="FR21" s="128"/>
      <c r="FS21" s="128"/>
      <c r="FT21" s="128"/>
      <c r="FU21" s="128"/>
      <c r="FV21" s="128"/>
      <c r="FW21" s="128"/>
      <c r="FX21" s="128"/>
      <c r="FY21" s="128"/>
      <c r="FZ21" s="128"/>
      <c r="GA21" s="128"/>
      <c r="GB21" s="128"/>
      <c r="GC21" s="128"/>
      <c r="GD21" s="128"/>
      <c r="GE21" s="128"/>
      <c r="GF21" s="128"/>
      <c r="GG21" s="128"/>
      <c r="GH21" s="128"/>
      <c r="GI21" s="128"/>
      <c r="GJ21" s="128"/>
      <c r="GK21" s="128"/>
      <c r="GL21" s="128"/>
      <c r="GM21" s="128"/>
      <c r="GN21" s="128"/>
      <c r="GO21" s="128"/>
      <c r="GP21" s="128"/>
      <c r="GQ21" s="128"/>
      <c r="GR21" s="128"/>
      <c r="GS21" s="128"/>
      <c r="GT21" s="128"/>
      <c r="GU21" s="128"/>
      <c r="GV21" s="128"/>
      <c r="GW21" s="128"/>
      <c r="GX21" s="128"/>
      <c r="GY21" s="128"/>
      <c r="GZ21" s="128"/>
      <c r="HA21" s="128"/>
      <c r="HB21" s="128"/>
      <c r="HC21" s="128"/>
      <c r="HD21" s="128"/>
      <c r="HE21" s="128"/>
      <c r="HF21" s="128"/>
      <c r="HG21" s="128"/>
      <c r="HH21" s="128"/>
      <c r="HI21" s="128"/>
      <c r="HJ21" s="128"/>
      <c r="HK21" s="128"/>
      <c r="HL21" s="128"/>
      <c r="HM21" s="128"/>
      <c r="HN21" s="128"/>
      <c r="HO21" s="128"/>
      <c r="HP21" s="128"/>
      <c r="HQ21" s="128"/>
      <c r="HR21" s="128"/>
      <c r="HS21" s="128"/>
      <c r="HT21" s="128"/>
      <c r="HU21" s="128"/>
      <c r="HV21" s="128"/>
      <c r="HW21" s="128"/>
      <c r="HX21" s="128"/>
      <c r="HY21" s="128"/>
      <c r="HZ21" s="128"/>
      <c r="IA21" s="128"/>
      <c r="IB21" s="128"/>
      <c r="IC21" s="128"/>
      <c r="ID21" s="128"/>
      <c r="IE21" s="128"/>
      <c r="IF21" s="128"/>
      <c r="IG21" s="128"/>
      <c r="IH21" s="128"/>
      <c r="II21" s="128"/>
      <c r="IJ21" s="128"/>
      <c r="IK21" s="128"/>
      <c r="IL21" s="128"/>
      <c r="IM21" s="128"/>
      <c r="IN21" s="128"/>
      <c r="IO21" s="128"/>
      <c r="IP21" s="128"/>
      <c r="IQ21" s="128"/>
      <c r="IR21" s="128"/>
      <c r="IS21" s="128"/>
      <c r="IT21" s="128"/>
      <c r="IU21" s="128"/>
      <c r="IV21" s="128"/>
    </row>
    <row r="22" spans="1:256" s="113" customFormat="1" x14ac:dyDescent="0.25">
      <c r="A22" s="118" t="str">
        <f t="shared" si="0"/>
        <v>16STL GALVR</v>
      </c>
      <c r="B22" s="119"/>
      <c r="C22" s="120"/>
      <c r="D22" s="122" t="s">
        <v>748</v>
      </c>
      <c r="E22" s="122">
        <v>16</v>
      </c>
      <c r="F22" s="123" t="s">
        <v>728</v>
      </c>
      <c r="G22" s="123" t="s">
        <v>729</v>
      </c>
      <c r="H22" s="124">
        <v>5.602E-2</v>
      </c>
      <c r="I22" s="123" t="s">
        <v>704</v>
      </c>
      <c r="J22" s="123" t="s">
        <v>716</v>
      </c>
      <c r="K22" s="129" t="s">
        <v>770</v>
      </c>
      <c r="L22" s="122" t="s">
        <v>771</v>
      </c>
      <c r="M22" s="123" t="s">
        <v>708</v>
      </c>
      <c r="N22" s="125" t="s">
        <v>709</v>
      </c>
      <c r="O22" s="123" t="s">
        <v>772</v>
      </c>
      <c r="P22" s="130" t="s">
        <v>711</v>
      </c>
      <c r="Q22" s="123" t="s">
        <v>773</v>
      </c>
      <c r="R22" s="118" t="s">
        <v>774</v>
      </c>
      <c r="S22" s="118" t="s">
        <v>713</v>
      </c>
      <c r="T22" s="126" t="s">
        <v>713</v>
      </c>
      <c r="U22" s="127"/>
      <c r="V22" s="128"/>
      <c r="W22" s="128"/>
      <c r="X22" s="128"/>
      <c r="Y22" s="128"/>
      <c r="Z22" s="128"/>
      <c r="AA22" s="128"/>
      <c r="AB22" s="128"/>
      <c r="AC22" s="128"/>
      <c r="AD22" s="128"/>
      <c r="AE22" s="128"/>
      <c r="AF22" s="128"/>
      <c r="AG22" s="128"/>
      <c r="AH22" s="128"/>
      <c r="AI22" s="128"/>
      <c r="AJ22" s="128"/>
      <c r="AK22" s="128"/>
      <c r="AL22" s="128"/>
      <c r="AM22" s="128"/>
      <c r="AN22" s="128"/>
      <c r="AO22" s="128"/>
      <c r="AP22" s="128"/>
      <c r="AQ22" s="128"/>
      <c r="AR22" s="128"/>
      <c r="AS22" s="128"/>
      <c r="AT22" s="128"/>
      <c r="AU22" s="128"/>
      <c r="AV22" s="128"/>
      <c r="AW22" s="128"/>
      <c r="AX22" s="128"/>
      <c r="AY22" s="128"/>
      <c r="AZ22" s="128"/>
      <c r="BA22" s="128"/>
      <c r="BB22" s="128"/>
      <c r="BC22" s="128"/>
      <c r="BD22" s="128"/>
      <c r="BE22" s="128"/>
      <c r="BF22" s="128"/>
      <c r="BG22" s="128"/>
      <c r="BH22" s="128"/>
      <c r="BI22" s="128"/>
      <c r="BJ22" s="128"/>
      <c r="BK22" s="128"/>
      <c r="BL22" s="128"/>
      <c r="BM22" s="128"/>
      <c r="BN22" s="128"/>
      <c r="BO22" s="128"/>
      <c r="BP22" s="128"/>
      <c r="BQ22" s="128"/>
      <c r="BR22" s="128"/>
      <c r="BS22" s="128"/>
      <c r="BT22" s="128"/>
      <c r="BU22" s="128"/>
      <c r="BV22" s="128"/>
      <c r="BW22" s="128"/>
      <c r="BX22" s="128"/>
      <c r="BY22" s="128"/>
      <c r="BZ22" s="128"/>
      <c r="CA22" s="128"/>
      <c r="CB22" s="128"/>
      <c r="CC22" s="128"/>
      <c r="CD22" s="128"/>
      <c r="CE22" s="128"/>
      <c r="CF22" s="128"/>
      <c r="CG22" s="128"/>
      <c r="CH22" s="128"/>
      <c r="CI22" s="128"/>
      <c r="CJ22" s="128"/>
      <c r="CK22" s="128"/>
      <c r="CL22" s="128"/>
      <c r="CM22" s="128"/>
      <c r="CN22" s="128"/>
      <c r="CO22" s="128"/>
      <c r="CP22" s="128"/>
      <c r="CQ22" s="128"/>
      <c r="CR22" s="128"/>
      <c r="CS22" s="128"/>
      <c r="CT22" s="128"/>
      <c r="CU22" s="128"/>
      <c r="CV22" s="128"/>
      <c r="CW22" s="128"/>
      <c r="CX22" s="128"/>
      <c r="CY22" s="128"/>
      <c r="CZ22" s="128"/>
      <c r="DA22" s="128"/>
      <c r="DB22" s="128"/>
      <c r="DC22" s="128"/>
      <c r="DD22" s="128"/>
      <c r="DE22" s="128"/>
      <c r="DF22" s="128"/>
      <c r="DG22" s="128"/>
      <c r="DH22" s="128"/>
      <c r="DI22" s="128"/>
      <c r="DJ22" s="128"/>
      <c r="DK22" s="128"/>
      <c r="DL22" s="128"/>
      <c r="DM22" s="128"/>
      <c r="DN22" s="128"/>
      <c r="DO22" s="128"/>
      <c r="DP22" s="128"/>
      <c r="DQ22" s="128"/>
      <c r="DR22" s="128"/>
      <c r="DS22" s="128"/>
      <c r="DT22" s="128"/>
      <c r="DU22" s="128"/>
      <c r="DV22" s="128"/>
      <c r="DW22" s="128"/>
      <c r="DX22" s="128"/>
      <c r="DY22" s="128"/>
      <c r="DZ22" s="128"/>
      <c r="EA22" s="128"/>
      <c r="EB22" s="128"/>
      <c r="EC22" s="128"/>
      <c r="ED22" s="128"/>
      <c r="EE22" s="128"/>
      <c r="EF22" s="128"/>
      <c r="EG22" s="128"/>
      <c r="EH22" s="128"/>
      <c r="EI22" s="128"/>
      <c r="EJ22" s="128"/>
      <c r="EK22" s="128"/>
      <c r="EL22" s="128"/>
      <c r="EM22" s="128"/>
      <c r="EN22" s="128"/>
      <c r="EO22" s="128"/>
      <c r="EP22" s="128"/>
      <c r="EQ22" s="128"/>
      <c r="ER22" s="128"/>
      <c r="ES22" s="128"/>
      <c r="ET22" s="128"/>
      <c r="EU22" s="128"/>
      <c r="EV22" s="128"/>
      <c r="EW22" s="128"/>
      <c r="EX22" s="128"/>
      <c r="EY22" s="128"/>
      <c r="EZ22" s="128"/>
      <c r="FA22" s="128"/>
      <c r="FB22" s="128"/>
      <c r="FC22" s="128"/>
      <c r="FD22" s="128"/>
      <c r="FE22" s="128"/>
      <c r="FF22" s="128"/>
      <c r="FG22" s="128"/>
      <c r="FH22" s="128"/>
      <c r="FI22" s="128"/>
      <c r="FJ22" s="128"/>
      <c r="FK22" s="128"/>
      <c r="FL22" s="128"/>
      <c r="FM22" s="128"/>
      <c r="FN22" s="128"/>
      <c r="FO22" s="128"/>
      <c r="FP22" s="128"/>
      <c r="FQ22" s="128"/>
      <c r="FR22" s="128"/>
      <c r="FS22" s="128"/>
      <c r="FT22" s="128"/>
      <c r="FU22" s="128"/>
      <c r="FV22" s="128"/>
      <c r="FW22" s="128"/>
      <c r="FX22" s="128"/>
      <c r="FY22" s="128"/>
      <c r="FZ22" s="128"/>
      <c r="GA22" s="128"/>
      <c r="GB22" s="128"/>
      <c r="GC22" s="128"/>
      <c r="GD22" s="128"/>
      <c r="GE22" s="128"/>
      <c r="GF22" s="128"/>
      <c r="GG22" s="128"/>
      <c r="GH22" s="128"/>
      <c r="GI22" s="128"/>
      <c r="GJ22" s="128"/>
      <c r="GK22" s="128"/>
      <c r="GL22" s="128"/>
      <c r="GM22" s="128"/>
      <c r="GN22" s="128"/>
      <c r="GO22" s="128"/>
      <c r="GP22" s="128"/>
      <c r="GQ22" s="128"/>
      <c r="GR22" s="128"/>
      <c r="GS22" s="128"/>
      <c r="GT22" s="128"/>
      <c r="GU22" s="128"/>
      <c r="GV22" s="128"/>
      <c r="GW22" s="128"/>
      <c r="GX22" s="128"/>
      <c r="GY22" s="128"/>
      <c r="GZ22" s="128"/>
      <c r="HA22" s="128"/>
      <c r="HB22" s="128"/>
      <c r="HC22" s="128"/>
      <c r="HD22" s="128"/>
      <c r="HE22" s="128"/>
      <c r="HF22" s="128"/>
      <c r="HG22" s="128"/>
      <c r="HH22" s="128"/>
      <c r="HI22" s="128"/>
      <c r="HJ22" s="128"/>
      <c r="HK22" s="128"/>
      <c r="HL22" s="128"/>
      <c r="HM22" s="128"/>
      <c r="HN22" s="128"/>
      <c r="HO22" s="128"/>
      <c r="HP22" s="128"/>
      <c r="HQ22" s="128"/>
      <c r="HR22" s="128"/>
      <c r="HS22" s="128"/>
      <c r="HT22" s="128"/>
      <c r="HU22" s="128"/>
      <c r="HV22" s="128"/>
      <c r="HW22" s="128"/>
      <c r="HX22" s="128"/>
      <c r="HY22" s="128"/>
      <c r="HZ22" s="128"/>
      <c r="IA22" s="128"/>
      <c r="IB22" s="128"/>
      <c r="IC22" s="128"/>
      <c r="ID22" s="128"/>
      <c r="IE22" s="128"/>
      <c r="IF22" s="128"/>
      <c r="IG22" s="128"/>
      <c r="IH22" s="128"/>
      <c r="II22" s="128"/>
      <c r="IJ22" s="128"/>
      <c r="IK22" s="128"/>
      <c r="IL22" s="128"/>
      <c r="IM22" s="128"/>
      <c r="IN22" s="128"/>
      <c r="IO22" s="128"/>
      <c r="IP22" s="128"/>
      <c r="IQ22" s="128"/>
      <c r="IR22" s="128"/>
      <c r="IS22" s="128"/>
      <c r="IT22" s="128"/>
      <c r="IU22" s="128"/>
      <c r="IV22" s="128"/>
    </row>
    <row r="23" spans="1:256" s="113" customFormat="1" x14ac:dyDescent="0.25">
      <c r="A23" s="118" t="str">
        <f t="shared" si="0"/>
        <v>14STL GALV PPG</v>
      </c>
      <c r="B23" s="119"/>
      <c r="C23" s="120"/>
      <c r="D23" s="122" t="s">
        <v>775</v>
      </c>
      <c r="E23" s="122">
        <v>14</v>
      </c>
      <c r="F23" s="123" t="s">
        <v>724</v>
      </c>
      <c r="G23" s="123" t="s">
        <v>725</v>
      </c>
      <c r="H23" s="124">
        <v>7.0029999999999995E-2</v>
      </c>
      <c r="I23" s="123" t="s">
        <v>716</v>
      </c>
      <c r="J23" s="123" t="s">
        <v>705</v>
      </c>
      <c r="K23" s="123" t="s">
        <v>776</v>
      </c>
      <c r="L23" s="122" t="s">
        <v>777</v>
      </c>
      <c r="M23" s="123" t="s">
        <v>778</v>
      </c>
      <c r="N23" s="118" t="s">
        <v>779</v>
      </c>
      <c r="O23" s="123" t="s">
        <v>780</v>
      </c>
      <c r="P23" s="123" t="s">
        <v>711</v>
      </c>
      <c r="Q23" s="123" t="s">
        <v>781</v>
      </c>
      <c r="R23" s="118" t="s">
        <v>782</v>
      </c>
      <c r="S23" s="123" t="s">
        <v>783</v>
      </c>
      <c r="T23" s="133" t="s">
        <v>713</v>
      </c>
      <c r="U23" s="127"/>
      <c r="V23" s="128"/>
      <c r="W23" s="128"/>
      <c r="X23" s="128"/>
      <c r="Y23" s="128"/>
      <c r="Z23" s="128"/>
      <c r="AA23" s="128"/>
      <c r="AB23" s="128"/>
      <c r="AC23" s="128"/>
      <c r="AD23" s="128"/>
      <c r="AE23" s="128"/>
      <c r="AF23" s="128"/>
      <c r="AG23" s="128"/>
      <c r="AH23" s="128"/>
      <c r="AI23" s="128"/>
      <c r="AJ23" s="128"/>
      <c r="AK23" s="128"/>
      <c r="AL23" s="128"/>
      <c r="AM23" s="128"/>
      <c r="AN23" s="128"/>
      <c r="AO23" s="128"/>
      <c r="AP23" s="128"/>
      <c r="AQ23" s="128"/>
      <c r="AR23" s="128"/>
      <c r="AS23" s="128"/>
      <c r="AT23" s="128"/>
      <c r="AU23" s="128"/>
      <c r="AV23" s="128"/>
      <c r="AW23" s="128"/>
      <c r="AX23" s="128"/>
      <c r="AY23" s="128"/>
      <c r="AZ23" s="128"/>
      <c r="BA23" s="128"/>
      <c r="BB23" s="128"/>
      <c r="BC23" s="128"/>
      <c r="BD23" s="128"/>
      <c r="BE23" s="128"/>
      <c r="BF23" s="128"/>
      <c r="BG23" s="128"/>
      <c r="BH23" s="128"/>
      <c r="BI23" s="128"/>
      <c r="BJ23" s="128"/>
      <c r="BK23" s="128"/>
      <c r="BL23" s="128"/>
      <c r="BM23" s="128"/>
      <c r="BN23" s="128"/>
      <c r="BO23" s="128"/>
      <c r="BP23" s="128"/>
      <c r="BQ23" s="128"/>
      <c r="BR23" s="128"/>
      <c r="BS23" s="128"/>
      <c r="BT23" s="128"/>
      <c r="BU23" s="128"/>
      <c r="BV23" s="128"/>
      <c r="BW23" s="128"/>
      <c r="BX23" s="128"/>
      <c r="BY23" s="128"/>
      <c r="BZ23" s="128"/>
      <c r="CA23" s="128"/>
      <c r="CB23" s="128"/>
      <c r="CC23" s="128"/>
      <c r="CD23" s="128"/>
      <c r="CE23" s="128"/>
      <c r="CF23" s="128"/>
      <c r="CG23" s="128"/>
      <c r="CH23" s="128"/>
      <c r="CI23" s="128"/>
      <c r="CJ23" s="128"/>
      <c r="CK23" s="128"/>
      <c r="CL23" s="128"/>
      <c r="CM23" s="128"/>
      <c r="CN23" s="128"/>
      <c r="CO23" s="128"/>
      <c r="CP23" s="128"/>
      <c r="CQ23" s="128"/>
      <c r="CR23" s="128"/>
      <c r="CS23" s="128"/>
      <c r="CT23" s="128"/>
      <c r="CU23" s="128"/>
      <c r="CV23" s="128"/>
      <c r="CW23" s="128"/>
      <c r="CX23" s="128"/>
      <c r="CY23" s="128"/>
      <c r="CZ23" s="128"/>
      <c r="DA23" s="128"/>
      <c r="DB23" s="128"/>
      <c r="DC23" s="128"/>
      <c r="DD23" s="128"/>
      <c r="DE23" s="128"/>
      <c r="DF23" s="128"/>
      <c r="DG23" s="128"/>
      <c r="DH23" s="128"/>
      <c r="DI23" s="128"/>
      <c r="DJ23" s="128"/>
      <c r="DK23" s="128"/>
      <c r="DL23" s="128"/>
      <c r="DM23" s="128"/>
      <c r="DN23" s="128"/>
      <c r="DO23" s="128"/>
      <c r="DP23" s="128"/>
      <c r="DQ23" s="128"/>
      <c r="DR23" s="128"/>
      <c r="DS23" s="128"/>
      <c r="DT23" s="128"/>
      <c r="DU23" s="128"/>
      <c r="DV23" s="128"/>
      <c r="DW23" s="128"/>
      <c r="DX23" s="128"/>
      <c r="DY23" s="128"/>
      <c r="DZ23" s="128"/>
      <c r="EA23" s="128"/>
      <c r="EB23" s="128"/>
      <c r="EC23" s="128"/>
      <c r="ED23" s="128"/>
      <c r="EE23" s="128"/>
      <c r="EF23" s="128"/>
      <c r="EG23" s="128"/>
      <c r="EH23" s="128"/>
      <c r="EI23" s="128"/>
      <c r="EJ23" s="128"/>
      <c r="EK23" s="128"/>
      <c r="EL23" s="128"/>
      <c r="EM23" s="128"/>
      <c r="EN23" s="128"/>
      <c r="EO23" s="128"/>
      <c r="EP23" s="128"/>
      <c r="EQ23" s="128"/>
      <c r="ER23" s="128"/>
      <c r="ES23" s="128"/>
      <c r="ET23" s="128"/>
      <c r="EU23" s="128"/>
      <c r="EV23" s="128"/>
      <c r="EW23" s="128"/>
      <c r="EX23" s="128"/>
      <c r="EY23" s="128"/>
      <c r="EZ23" s="128"/>
      <c r="FA23" s="128"/>
      <c r="FB23" s="128"/>
      <c r="FC23" s="128"/>
      <c r="FD23" s="128"/>
      <c r="FE23" s="128"/>
      <c r="FF23" s="128"/>
      <c r="FG23" s="128"/>
      <c r="FH23" s="128"/>
      <c r="FI23" s="128"/>
      <c r="FJ23" s="128"/>
      <c r="FK23" s="128"/>
      <c r="FL23" s="128"/>
      <c r="FM23" s="128"/>
      <c r="FN23" s="128"/>
      <c r="FO23" s="128"/>
      <c r="FP23" s="128"/>
      <c r="FQ23" s="128"/>
      <c r="FR23" s="128"/>
      <c r="FS23" s="128"/>
      <c r="FT23" s="128"/>
      <c r="FU23" s="128"/>
      <c r="FV23" s="128"/>
      <c r="FW23" s="128"/>
      <c r="FX23" s="128"/>
      <c r="FY23" s="128"/>
      <c r="FZ23" s="128"/>
      <c r="GA23" s="128"/>
      <c r="GB23" s="128"/>
      <c r="GC23" s="128"/>
      <c r="GD23" s="128"/>
      <c r="GE23" s="128"/>
      <c r="GF23" s="128"/>
      <c r="GG23" s="128"/>
      <c r="GH23" s="128"/>
      <c r="GI23" s="128"/>
      <c r="GJ23" s="128"/>
      <c r="GK23" s="128"/>
      <c r="GL23" s="128"/>
      <c r="GM23" s="128"/>
      <c r="GN23" s="128"/>
      <c r="GO23" s="128"/>
      <c r="GP23" s="128"/>
      <c r="GQ23" s="128"/>
      <c r="GR23" s="128"/>
      <c r="GS23" s="128"/>
      <c r="GT23" s="128"/>
      <c r="GU23" s="128"/>
      <c r="GV23" s="128"/>
      <c r="GW23" s="128"/>
      <c r="GX23" s="128"/>
      <c r="GY23" s="128"/>
      <c r="GZ23" s="128"/>
      <c r="HA23" s="128"/>
      <c r="HB23" s="128"/>
      <c r="HC23" s="128"/>
      <c r="HD23" s="128"/>
      <c r="HE23" s="128"/>
      <c r="HF23" s="128"/>
      <c r="HG23" s="128"/>
      <c r="HH23" s="128"/>
      <c r="HI23" s="128"/>
      <c r="HJ23" s="128"/>
      <c r="HK23" s="128"/>
      <c r="HL23" s="128"/>
      <c r="HM23" s="128"/>
      <c r="HN23" s="128"/>
      <c r="HO23" s="128"/>
      <c r="HP23" s="128"/>
      <c r="HQ23" s="128"/>
      <c r="HR23" s="128"/>
      <c r="HS23" s="128"/>
      <c r="HT23" s="128"/>
      <c r="HU23" s="128"/>
      <c r="HV23" s="128"/>
      <c r="HW23" s="128"/>
      <c r="HX23" s="128"/>
      <c r="HY23" s="128"/>
      <c r="HZ23" s="128"/>
      <c r="IA23" s="128"/>
      <c r="IB23" s="128"/>
      <c r="IC23" s="128"/>
      <c r="ID23" s="128"/>
      <c r="IE23" s="128"/>
      <c r="IF23" s="128"/>
      <c r="IG23" s="128"/>
      <c r="IH23" s="128"/>
      <c r="II23" s="128"/>
      <c r="IJ23" s="128"/>
      <c r="IK23" s="128"/>
      <c r="IL23" s="128"/>
      <c r="IM23" s="128"/>
      <c r="IN23" s="128"/>
      <c r="IO23" s="128"/>
      <c r="IP23" s="128"/>
      <c r="IQ23" s="128"/>
      <c r="IR23" s="128"/>
      <c r="IS23" s="128"/>
      <c r="IT23" s="128"/>
      <c r="IU23" s="128"/>
      <c r="IV23" s="128"/>
    </row>
    <row r="24" spans="1:256" s="113" customFormat="1" x14ac:dyDescent="0.25">
      <c r="A24" s="118" t="str">
        <f t="shared" si="0"/>
        <v>16STL GALV PPG</v>
      </c>
      <c r="B24" s="119"/>
      <c r="C24" s="120"/>
      <c r="D24" s="122" t="s">
        <v>775</v>
      </c>
      <c r="E24" s="122">
        <v>16</v>
      </c>
      <c r="F24" s="123" t="s">
        <v>728</v>
      </c>
      <c r="G24" s="123" t="s">
        <v>729</v>
      </c>
      <c r="H24" s="124">
        <v>5.6030000000000003E-2</v>
      </c>
      <c r="I24" s="123" t="s">
        <v>716</v>
      </c>
      <c r="J24" s="123" t="s">
        <v>705</v>
      </c>
      <c r="K24" s="123" t="s">
        <v>784</v>
      </c>
      <c r="L24" s="122" t="s">
        <v>785</v>
      </c>
      <c r="M24" s="134" t="s">
        <v>778</v>
      </c>
      <c r="N24" s="118" t="s">
        <v>779</v>
      </c>
      <c r="O24" s="123" t="s">
        <v>780</v>
      </c>
      <c r="P24" s="123" t="s">
        <v>711</v>
      </c>
      <c r="Q24" s="123" t="s">
        <v>781</v>
      </c>
      <c r="R24" s="118" t="s">
        <v>786</v>
      </c>
      <c r="S24" s="123" t="s">
        <v>783</v>
      </c>
      <c r="T24" s="133" t="s">
        <v>713</v>
      </c>
      <c r="U24" s="127"/>
      <c r="V24" s="128"/>
      <c r="W24" s="128"/>
      <c r="X24" s="128"/>
      <c r="Y24" s="128"/>
      <c r="Z24" s="128"/>
      <c r="AA24" s="128"/>
      <c r="AB24" s="128"/>
      <c r="AC24" s="128"/>
      <c r="AD24" s="128"/>
      <c r="AE24" s="128"/>
      <c r="AF24" s="128"/>
      <c r="AG24" s="128"/>
      <c r="AH24" s="128"/>
      <c r="AI24" s="128"/>
      <c r="AJ24" s="128"/>
      <c r="AK24" s="128"/>
      <c r="AL24" s="128"/>
      <c r="AM24" s="128"/>
      <c r="AN24" s="128"/>
      <c r="AO24" s="128"/>
      <c r="AP24" s="128"/>
      <c r="AQ24" s="128"/>
      <c r="AR24" s="128"/>
      <c r="AS24" s="128"/>
      <c r="AT24" s="128"/>
      <c r="AU24" s="128"/>
      <c r="AV24" s="128"/>
      <c r="AW24" s="128"/>
      <c r="AX24" s="128"/>
      <c r="AY24" s="128"/>
      <c r="AZ24" s="128"/>
      <c r="BA24" s="128"/>
      <c r="BB24" s="128"/>
      <c r="BC24" s="128"/>
      <c r="BD24" s="128"/>
      <c r="BE24" s="128"/>
      <c r="BF24" s="128"/>
      <c r="BG24" s="128"/>
      <c r="BH24" s="128"/>
      <c r="BI24" s="128"/>
      <c r="BJ24" s="128"/>
      <c r="BK24" s="128"/>
      <c r="BL24" s="128"/>
      <c r="BM24" s="128"/>
      <c r="BN24" s="128"/>
      <c r="BO24" s="128"/>
      <c r="BP24" s="128"/>
      <c r="BQ24" s="128"/>
      <c r="BR24" s="128"/>
      <c r="BS24" s="128"/>
      <c r="BT24" s="128"/>
      <c r="BU24" s="128"/>
      <c r="BV24" s="128"/>
      <c r="BW24" s="128"/>
      <c r="BX24" s="128"/>
      <c r="BY24" s="128"/>
      <c r="BZ24" s="128"/>
      <c r="CA24" s="128"/>
      <c r="CB24" s="128"/>
      <c r="CC24" s="128"/>
      <c r="CD24" s="128"/>
      <c r="CE24" s="128"/>
      <c r="CF24" s="128"/>
      <c r="CG24" s="128"/>
      <c r="CH24" s="128"/>
      <c r="CI24" s="128"/>
      <c r="CJ24" s="128"/>
      <c r="CK24" s="128"/>
      <c r="CL24" s="128"/>
      <c r="CM24" s="128"/>
      <c r="CN24" s="128"/>
      <c r="CO24" s="128"/>
      <c r="CP24" s="128"/>
      <c r="CQ24" s="128"/>
      <c r="CR24" s="128"/>
      <c r="CS24" s="128"/>
      <c r="CT24" s="128"/>
      <c r="CU24" s="128"/>
      <c r="CV24" s="128"/>
      <c r="CW24" s="128"/>
      <c r="CX24" s="128"/>
      <c r="CY24" s="128"/>
      <c r="CZ24" s="128"/>
      <c r="DA24" s="128"/>
      <c r="DB24" s="128"/>
      <c r="DC24" s="128"/>
      <c r="DD24" s="128"/>
      <c r="DE24" s="128"/>
      <c r="DF24" s="128"/>
      <c r="DG24" s="128"/>
      <c r="DH24" s="128"/>
      <c r="DI24" s="128"/>
      <c r="DJ24" s="128"/>
      <c r="DK24" s="128"/>
      <c r="DL24" s="128"/>
      <c r="DM24" s="128"/>
      <c r="DN24" s="128"/>
      <c r="DO24" s="128"/>
      <c r="DP24" s="128"/>
      <c r="DQ24" s="128"/>
      <c r="DR24" s="128"/>
      <c r="DS24" s="128"/>
      <c r="DT24" s="128"/>
      <c r="DU24" s="128"/>
      <c r="DV24" s="128"/>
      <c r="DW24" s="128"/>
      <c r="DX24" s="128"/>
      <c r="DY24" s="128"/>
      <c r="DZ24" s="128"/>
      <c r="EA24" s="128"/>
      <c r="EB24" s="128"/>
      <c r="EC24" s="128"/>
      <c r="ED24" s="128"/>
      <c r="EE24" s="128"/>
      <c r="EF24" s="128"/>
      <c r="EG24" s="128"/>
      <c r="EH24" s="128"/>
      <c r="EI24" s="128"/>
      <c r="EJ24" s="128"/>
      <c r="EK24" s="128"/>
      <c r="EL24" s="128"/>
      <c r="EM24" s="128"/>
      <c r="EN24" s="128"/>
      <c r="EO24" s="128"/>
      <c r="EP24" s="128"/>
      <c r="EQ24" s="128"/>
      <c r="ER24" s="128"/>
      <c r="ES24" s="128"/>
      <c r="ET24" s="128"/>
      <c r="EU24" s="128"/>
      <c r="EV24" s="128"/>
      <c r="EW24" s="128"/>
      <c r="EX24" s="128"/>
      <c r="EY24" s="128"/>
      <c r="EZ24" s="128"/>
      <c r="FA24" s="128"/>
      <c r="FB24" s="128"/>
      <c r="FC24" s="128"/>
      <c r="FD24" s="128"/>
      <c r="FE24" s="128"/>
      <c r="FF24" s="128"/>
      <c r="FG24" s="128"/>
      <c r="FH24" s="128"/>
      <c r="FI24" s="128"/>
      <c r="FJ24" s="128"/>
      <c r="FK24" s="128"/>
      <c r="FL24" s="128"/>
      <c r="FM24" s="128"/>
      <c r="FN24" s="128"/>
      <c r="FO24" s="128"/>
      <c r="FP24" s="128"/>
      <c r="FQ24" s="128"/>
      <c r="FR24" s="128"/>
      <c r="FS24" s="128"/>
      <c r="FT24" s="128"/>
      <c r="FU24" s="128"/>
      <c r="FV24" s="128"/>
      <c r="FW24" s="128"/>
      <c r="FX24" s="128"/>
      <c r="FY24" s="128"/>
      <c r="FZ24" s="128"/>
      <c r="GA24" s="128"/>
      <c r="GB24" s="128"/>
      <c r="GC24" s="128"/>
      <c r="GD24" s="128"/>
      <c r="GE24" s="128"/>
      <c r="GF24" s="128"/>
      <c r="GG24" s="128"/>
      <c r="GH24" s="128"/>
      <c r="GI24" s="128"/>
      <c r="GJ24" s="128"/>
      <c r="GK24" s="128"/>
      <c r="GL24" s="128"/>
      <c r="GM24" s="128"/>
      <c r="GN24" s="128"/>
      <c r="GO24" s="128"/>
      <c r="GP24" s="128"/>
      <c r="GQ24" s="128"/>
      <c r="GR24" s="128"/>
      <c r="GS24" s="128"/>
      <c r="GT24" s="128"/>
      <c r="GU24" s="128"/>
      <c r="GV24" s="128"/>
      <c r="GW24" s="128"/>
      <c r="GX24" s="128"/>
      <c r="GY24" s="128"/>
      <c r="GZ24" s="128"/>
      <c r="HA24" s="128"/>
      <c r="HB24" s="128"/>
      <c r="HC24" s="128"/>
      <c r="HD24" s="128"/>
      <c r="HE24" s="128"/>
      <c r="HF24" s="128"/>
      <c r="HG24" s="128"/>
      <c r="HH24" s="128"/>
      <c r="HI24" s="128"/>
      <c r="HJ24" s="128"/>
      <c r="HK24" s="128"/>
      <c r="HL24" s="128"/>
      <c r="HM24" s="128"/>
      <c r="HN24" s="128"/>
      <c r="HO24" s="128"/>
      <c r="HP24" s="128"/>
      <c r="HQ24" s="128"/>
      <c r="HR24" s="128"/>
      <c r="HS24" s="128"/>
      <c r="HT24" s="128"/>
      <c r="HU24" s="128"/>
      <c r="HV24" s="128"/>
      <c r="HW24" s="128"/>
      <c r="HX24" s="128"/>
      <c r="HY24" s="128"/>
      <c r="HZ24" s="128"/>
      <c r="IA24" s="128"/>
      <c r="IB24" s="128"/>
      <c r="IC24" s="128"/>
      <c r="ID24" s="128"/>
      <c r="IE24" s="128"/>
      <c r="IF24" s="128"/>
      <c r="IG24" s="128"/>
      <c r="IH24" s="128"/>
      <c r="II24" s="128"/>
      <c r="IJ24" s="128"/>
      <c r="IK24" s="128"/>
      <c r="IL24" s="128"/>
      <c r="IM24" s="128"/>
      <c r="IN24" s="128"/>
      <c r="IO24" s="128"/>
      <c r="IP24" s="128"/>
      <c r="IQ24" s="128"/>
      <c r="IR24" s="128"/>
      <c r="IS24" s="128"/>
      <c r="IT24" s="128"/>
      <c r="IU24" s="128"/>
      <c r="IV24" s="128"/>
    </row>
    <row r="25" spans="1:256" s="113" customFormat="1" x14ac:dyDescent="0.25">
      <c r="A25" s="118" t="str">
        <f t="shared" si="0"/>
        <v>16STL GALV PPC</v>
      </c>
      <c r="B25" s="119"/>
      <c r="C25" s="120"/>
      <c r="D25" s="122" t="s">
        <v>775</v>
      </c>
      <c r="E25" s="122">
        <v>16</v>
      </c>
      <c r="F25" s="123" t="s">
        <v>728</v>
      </c>
      <c r="G25" s="123" t="s">
        <v>729</v>
      </c>
      <c r="H25" s="124">
        <v>5.604E-2</v>
      </c>
      <c r="I25" s="123" t="s">
        <v>716</v>
      </c>
      <c r="J25" s="123" t="s">
        <v>705</v>
      </c>
      <c r="K25" s="123" t="s">
        <v>787</v>
      </c>
      <c r="L25" s="122" t="s">
        <v>788</v>
      </c>
      <c r="M25" s="123" t="s">
        <v>778</v>
      </c>
      <c r="N25" s="118" t="s">
        <v>779</v>
      </c>
      <c r="O25" s="130" t="s">
        <v>780</v>
      </c>
      <c r="P25" s="123" t="s">
        <v>711</v>
      </c>
      <c r="Q25" s="123" t="s">
        <v>789</v>
      </c>
      <c r="R25" s="118" t="s">
        <v>790</v>
      </c>
      <c r="S25" s="123" t="s">
        <v>791</v>
      </c>
      <c r="T25" s="133" t="s">
        <v>713</v>
      </c>
      <c r="U25" s="127"/>
      <c r="V25" s="128"/>
      <c r="W25" s="128"/>
      <c r="X25" s="128"/>
      <c r="Y25" s="128"/>
      <c r="Z25" s="128"/>
      <c r="AA25" s="128"/>
      <c r="AB25" s="128"/>
      <c r="AC25" s="128"/>
      <c r="AD25" s="128"/>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28"/>
      <c r="BB25" s="128"/>
      <c r="BC25" s="128"/>
      <c r="BD25" s="128"/>
      <c r="BE25" s="128"/>
      <c r="BF25" s="128"/>
      <c r="BG25" s="128"/>
      <c r="BH25" s="128"/>
      <c r="BI25" s="128"/>
      <c r="BJ25" s="128"/>
      <c r="BK25" s="128"/>
      <c r="BL25" s="128"/>
      <c r="BM25" s="128"/>
      <c r="BN25" s="128"/>
      <c r="BO25" s="128"/>
      <c r="BP25" s="128"/>
      <c r="BQ25" s="128"/>
      <c r="BR25" s="128"/>
      <c r="BS25" s="128"/>
      <c r="BT25" s="128"/>
      <c r="BU25" s="128"/>
      <c r="BV25" s="128"/>
      <c r="BW25" s="128"/>
      <c r="BX25" s="128"/>
      <c r="BY25" s="128"/>
      <c r="BZ25" s="128"/>
      <c r="CA25" s="128"/>
      <c r="CB25" s="128"/>
      <c r="CC25" s="128"/>
      <c r="CD25" s="128"/>
      <c r="CE25" s="128"/>
      <c r="CF25" s="128"/>
      <c r="CG25" s="128"/>
      <c r="CH25" s="128"/>
      <c r="CI25" s="128"/>
      <c r="CJ25" s="128"/>
      <c r="CK25" s="128"/>
      <c r="CL25" s="128"/>
      <c r="CM25" s="128"/>
      <c r="CN25" s="128"/>
      <c r="CO25" s="128"/>
      <c r="CP25" s="128"/>
      <c r="CQ25" s="128"/>
      <c r="CR25" s="128"/>
      <c r="CS25" s="128"/>
      <c r="CT25" s="128"/>
      <c r="CU25" s="128"/>
      <c r="CV25" s="128"/>
      <c r="CW25" s="128"/>
      <c r="CX25" s="128"/>
      <c r="CY25" s="128"/>
      <c r="CZ25" s="128"/>
      <c r="DA25" s="128"/>
      <c r="DB25" s="128"/>
      <c r="DC25" s="128"/>
      <c r="DD25" s="128"/>
      <c r="DE25" s="128"/>
      <c r="DF25" s="128"/>
      <c r="DG25" s="128"/>
      <c r="DH25" s="128"/>
      <c r="DI25" s="128"/>
      <c r="DJ25" s="128"/>
      <c r="DK25" s="128"/>
      <c r="DL25" s="128"/>
      <c r="DM25" s="128"/>
      <c r="DN25" s="128"/>
      <c r="DO25" s="128"/>
      <c r="DP25" s="128"/>
      <c r="DQ25" s="128"/>
      <c r="DR25" s="128"/>
      <c r="DS25" s="128"/>
      <c r="DT25" s="128"/>
      <c r="DU25" s="128"/>
      <c r="DV25" s="128"/>
      <c r="DW25" s="128"/>
      <c r="DX25" s="128"/>
      <c r="DY25" s="128"/>
      <c r="DZ25" s="128"/>
      <c r="EA25" s="128"/>
      <c r="EB25" s="128"/>
      <c r="EC25" s="128"/>
      <c r="ED25" s="128"/>
      <c r="EE25" s="128"/>
      <c r="EF25" s="128"/>
      <c r="EG25" s="128"/>
      <c r="EH25" s="128"/>
      <c r="EI25" s="128"/>
      <c r="EJ25" s="128"/>
      <c r="EK25" s="128"/>
      <c r="EL25" s="128"/>
      <c r="EM25" s="128"/>
      <c r="EN25" s="128"/>
      <c r="EO25" s="128"/>
      <c r="EP25" s="128"/>
      <c r="EQ25" s="128"/>
      <c r="ER25" s="128"/>
      <c r="ES25" s="128"/>
      <c r="ET25" s="128"/>
      <c r="EU25" s="128"/>
      <c r="EV25" s="128"/>
      <c r="EW25" s="128"/>
      <c r="EX25" s="128"/>
      <c r="EY25" s="128"/>
      <c r="EZ25" s="128"/>
      <c r="FA25" s="128"/>
      <c r="FB25" s="128"/>
      <c r="FC25" s="128"/>
      <c r="FD25" s="128"/>
      <c r="FE25" s="128"/>
      <c r="FF25" s="128"/>
      <c r="FG25" s="128"/>
      <c r="FH25" s="128"/>
      <c r="FI25" s="128"/>
      <c r="FJ25" s="128"/>
      <c r="FK25" s="128"/>
      <c r="FL25" s="128"/>
      <c r="FM25" s="128"/>
      <c r="FN25" s="128"/>
      <c r="FO25" s="128"/>
      <c r="FP25" s="128"/>
      <c r="FQ25" s="128"/>
      <c r="FR25" s="128"/>
      <c r="FS25" s="128"/>
      <c r="FT25" s="128"/>
      <c r="FU25" s="128"/>
      <c r="FV25" s="128"/>
      <c r="FW25" s="128"/>
      <c r="FX25" s="128"/>
      <c r="FY25" s="128"/>
      <c r="FZ25" s="128"/>
      <c r="GA25" s="128"/>
      <c r="GB25" s="128"/>
      <c r="GC25" s="128"/>
      <c r="GD25" s="128"/>
      <c r="GE25" s="128"/>
      <c r="GF25" s="128"/>
      <c r="GG25" s="128"/>
      <c r="GH25" s="128"/>
      <c r="GI25" s="128"/>
      <c r="GJ25" s="128"/>
      <c r="GK25" s="128"/>
      <c r="GL25" s="128"/>
      <c r="GM25" s="128"/>
      <c r="GN25" s="128"/>
      <c r="GO25" s="128"/>
      <c r="GP25" s="128"/>
      <c r="GQ25" s="128"/>
      <c r="GR25" s="128"/>
      <c r="GS25" s="128"/>
      <c r="GT25" s="128"/>
      <c r="GU25" s="128"/>
      <c r="GV25" s="128"/>
      <c r="GW25" s="128"/>
      <c r="GX25" s="128"/>
      <c r="GY25" s="128"/>
      <c r="GZ25" s="128"/>
      <c r="HA25" s="128"/>
      <c r="HB25" s="128"/>
      <c r="HC25" s="128"/>
      <c r="HD25" s="128"/>
      <c r="HE25" s="128"/>
      <c r="HF25" s="128"/>
      <c r="HG25" s="128"/>
      <c r="HH25" s="128"/>
      <c r="HI25" s="128"/>
      <c r="HJ25" s="128"/>
      <c r="HK25" s="128"/>
      <c r="HL25" s="128"/>
      <c r="HM25" s="128"/>
      <c r="HN25" s="128"/>
      <c r="HO25" s="128"/>
      <c r="HP25" s="128"/>
      <c r="HQ25" s="128"/>
      <c r="HR25" s="128"/>
      <c r="HS25" s="128"/>
      <c r="HT25" s="128"/>
      <c r="HU25" s="128"/>
      <c r="HV25" s="128"/>
      <c r="HW25" s="128"/>
      <c r="HX25" s="128"/>
      <c r="HY25" s="128"/>
      <c r="HZ25" s="128"/>
      <c r="IA25" s="128"/>
      <c r="IB25" s="128"/>
      <c r="IC25" s="128"/>
      <c r="ID25" s="128"/>
      <c r="IE25" s="128"/>
      <c r="IF25" s="128"/>
      <c r="IG25" s="128"/>
      <c r="IH25" s="128"/>
      <c r="II25" s="128"/>
      <c r="IJ25" s="128"/>
      <c r="IK25" s="128"/>
      <c r="IL25" s="128"/>
      <c r="IM25" s="128"/>
      <c r="IN25" s="128"/>
      <c r="IO25" s="128"/>
      <c r="IP25" s="128"/>
      <c r="IQ25" s="128"/>
      <c r="IR25" s="128"/>
      <c r="IS25" s="128"/>
      <c r="IT25" s="128"/>
      <c r="IU25" s="128"/>
      <c r="IV25" s="128"/>
    </row>
    <row r="26" spans="1:256" s="113" customFormat="1" x14ac:dyDescent="0.25">
      <c r="A26" s="118" t="str">
        <f t="shared" si="0"/>
        <v>18STL GALV PPW</v>
      </c>
      <c r="B26" s="119"/>
      <c r="C26" s="120"/>
      <c r="D26" s="122" t="s">
        <v>775</v>
      </c>
      <c r="E26" s="122">
        <v>18</v>
      </c>
      <c r="F26" s="123" t="s">
        <v>732</v>
      </c>
      <c r="G26" s="123" t="s">
        <v>733</v>
      </c>
      <c r="H26" s="124">
        <v>4.5030000000000001E-2</v>
      </c>
      <c r="I26" s="123" t="s">
        <v>716</v>
      </c>
      <c r="J26" s="123" t="s">
        <v>705</v>
      </c>
      <c r="K26" s="123" t="s">
        <v>792</v>
      </c>
      <c r="L26" s="122" t="s">
        <v>793</v>
      </c>
      <c r="M26" s="123" t="s">
        <v>778</v>
      </c>
      <c r="N26" s="118" t="s">
        <v>779</v>
      </c>
      <c r="O26" s="123" t="s">
        <v>780</v>
      </c>
      <c r="P26" s="123" t="s">
        <v>711</v>
      </c>
      <c r="Q26" s="123" t="s">
        <v>794</v>
      </c>
      <c r="R26" s="118" t="s">
        <v>795</v>
      </c>
      <c r="S26" s="123" t="s">
        <v>796</v>
      </c>
      <c r="T26" s="133" t="s">
        <v>713</v>
      </c>
      <c r="U26" s="127"/>
      <c r="V26" s="128"/>
      <c r="W26" s="128"/>
      <c r="X26" s="128"/>
      <c r="Y26" s="128"/>
      <c r="Z26" s="128"/>
      <c r="AA26" s="128"/>
      <c r="AB26" s="128"/>
      <c r="AC26" s="128"/>
      <c r="AD26" s="128"/>
      <c r="AE26" s="128"/>
      <c r="AF26" s="128"/>
      <c r="AG26" s="128"/>
      <c r="AH26" s="128"/>
      <c r="AI26" s="128"/>
      <c r="AJ26" s="128"/>
      <c r="AK26" s="128"/>
      <c r="AL26" s="128"/>
      <c r="AM26" s="128"/>
      <c r="AN26" s="128"/>
      <c r="AO26" s="128"/>
      <c r="AP26" s="128"/>
      <c r="AQ26" s="128"/>
      <c r="AR26" s="128"/>
      <c r="AS26" s="128"/>
      <c r="AT26" s="128"/>
      <c r="AU26" s="128"/>
      <c r="AV26" s="128"/>
      <c r="AW26" s="128"/>
      <c r="AX26" s="128"/>
      <c r="AY26" s="128"/>
      <c r="AZ26" s="128"/>
      <c r="BA26" s="128"/>
      <c r="BB26" s="128"/>
      <c r="BC26" s="128"/>
      <c r="BD26" s="128"/>
      <c r="BE26" s="128"/>
      <c r="BF26" s="128"/>
      <c r="BG26" s="128"/>
      <c r="BH26" s="128"/>
      <c r="BI26" s="128"/>
      <c r="BJ26" s="128"/>
      <c r="BK26" s="128"/>
      <c r="BL26" s="128"/>
      <c r="BM26" s="128"/>
      <c r="BN26" s="128"/>
      <c r="BO26" s="128"/>
      <c r="BP26" s="128"/>
      <c r="BQ26" s="128"/>
      <c r="BR26" s="128"/>
      <c r="BS26" s="128"/>
      <c r="BT26" s="128"/>
      <c r="BU26" s="128"/>
      <c r="BV26" s="128"/>
      <c r="BW26" s="128"/>
      <c r="BX26" s="128"/>
      <c r="BY26" s="128"/>
      <c r="BZ26" s="128"/>
      <c r="CA26" s="128"/>
      <c r="CB26" s="128"/>
      <c r="CC26" s="128"/>
      <c r="CD26" s="128"/>
      <c r="CE26" s="128"/>
      <c r="CF26" s="128"/>
      <c r="CG26" s="128"/>
      <c r="CH26" s="128"/>
      <c r="CI26" s="128"/>
      <c r="CJ26" s="128"/>
      <c r="CK26" s="128"/>
      <c r="CL26" s="128"/>
      <c r="CM26" s="128"/>
      <c r="CN26" s="128"/>
      <c r="CO26" s="128"/>
      <c r="CP26" s="128"/>
      <c r="CQ26" s="128"/>
      <c r="CR26" s="128"/>
      <c r="CS26" s="128"/>
      <c r="CT26" s="128"/>
      <c r="CU26" s="128"/>
      <c r="CV26" s="128"/>
      <c r="CW26" s="128"/>
      <c r="CX26" s="128"/>
      <c r="CY26" s="128"/>
      <c r="CZ26" s="128"/>
      <c r="DA26" s="128"/>
      <c r="DB26" s="128"/>
      <c r="DC26" s="128"/>
      <c r="DD26" s="128"/>
      <c r="DE26" s="128"/>
      <c r="DF26" s="128"/>
      <c r="DG26" s="128"/>
      <c r="DH26" s="128"/>
      <c r="DI26" s="128"/>
      <c r="DJ26" s="128"/>
      <c r="DK26" s="128"/>
      <c r="DL26" s="128"/>
      <c r="DM26" s="128"/>
      <c r="DN26" s="128"/>
      <c r="DO26" s="128"/>
      <c r="DP26" s="128"/>
      <c r="DQ26" s="128"/>
      <c r="DR26" s="128"/>
      <c r="DS26" s="128"/>
      <c r="DT26" s="128"/>
      <c r="DU26" s="128"/>
      <c r="DV26" s="128"/>
      <c r="DW26" s="128"/>
      <c r="DX26" s="128"/>
      <c r="DY26" s="128"/>
      <c r="DZ26" s="128"/>
      <c r="EA26" s="128"/>
      <c r="EB26" s="128"/>
      <c r="EC26" s="128"/>
      <c r="ED26" s="128"/>
      <c r="EE26" s="128"/>
      <c r="EF26" s="128"/>
      <c r="EG26" s="128"/>
      <c r="EH26" s="128"/>
      <c r="EI26" s="128"/>
      <c r="EJ26" s="128"/>
      <c r="EK26" s="128"/>
      <c r="EL26" s="128"/>
      <c r="EM26" s="128"/>
      <c r="EN26" s="128"/>
      <c r="EO26" s="128"/>
      <c r="EP26" s="128"/>
      <c r="EQ26" s="128"/>
      <c r="ER26" s="128"/>
      <c r="ES26" s="128"/>
      <c r="ET26" s="128"/>
      <c r="EU26" s="128"/>
      <c r="EV26" s="128"/>
      <c r="EW26" s="128"/>
      <c r="EX26" s="128"/>
      <c r="EY26" s="128"/>
      <c r="EZ26" s="128"/>
      <c r="FA26" s="128"/>
      <c r="FB26" s="128"/>
      <c r="FC26" s="128"/>
      <c r="FD26" s="128"/>
      <c r="FE26" s="128"/>
      <c r="FF26" s="128"/>
      <c r="FG26" s="128"/>
      <c r="FH26" s="128"/>
      <c r="FI26" s="128"/>
      <c r="FJ26" s="128"/>
      <c r="FK26" s="128"/>
      <c r="FL26" s="128"/>
      <c r="FM26" s="128"/>
      <c r="FN26" s="128"/>
      <c r="FO26" s="128"/>
      <c r="FP26" s="128"/>
      <c r="FQ26" s="128"/>
      <c r="FR26" s="128"/>
      <c r="FS26" s="128"/>
      <c r="FT26" s="128"/>
      <c r="FU26" s="128"/>
      <c r="FV26" s="128"/>
      <c r="FW26" s="128"/>
      <c r="FX26" s="128"/>
      <c r="FY26" s="128"/>
      <c r="FZ26" s="128"/>
      <c r="GA26" s="128"/>
      <c r="GB26" s="128"/>
      <c r="GC26" s="128"/>
      <c r="GD26" s="128"/>
      <c r="GE26" s="128"/>
      <c r="GF26" s="128"/>
      <c r="GG26" s="128"/>
      <c r="GH26" s="128"/>
      <c r="GI26" s="128"/>
      <c r="GJ26" s="128"/>
      <c r="GK26" s="128"/>
      <c r="GL26" s="128"/>
      <c r="GM26" s="128"/>
      <c r="GN26" s="128"/>
      <c r="GO26" s="128"/>
      <c r="GP26" s="128"/>
      <c r="GQ26" s="128"/>
      <c r="GR26" s="128"/>
      <c r="GS26" s="128"/>
      <c r="GT26" s="128"/>
      <c r="GU26" s="128"/>
      <c r="GV26" s="128"/>
      <c r="GW26" s="128"/>
      <c r="GX26" s="128"/>
      <c r="GY26" s="128"/>
      <c r="GZ26" s="128"/>
      <c r="HA26" s="128"/>
      <c r="HB26" s="128"/>
      <c r="HC26" s="128"/>
      <c r="HD26" s="128"/>
      <c r="HE26" s="128"/>
      <c r="HF26" s="128"/>
      <c r="HG26" s="128"/>
      <c r="HH26" s="128"/>
      <c r="HI26" s="128"/>
      <c r="HJ26" s="128"/>
      <c r="HK26" s="128"/>
      <c r="HL26" s="128"/>
      <c r="HM26" s="128"/>
      <c r="HN26" s="128"/>
      <c r="HO26" s="128"/>
      <c r="HP26" s="128"/>
      <c r="HQ26" s="128"/>
      <c r="HR26" s="128"/>
      <c r="HS26" s="128"/>
      <c r="HT26" s="128"/>
      <c r="HU26" s="128"/>
      <c r="HV26" s="128"/>
      <c r="HW26" s="128"/>
      <c r="HX26" s="128"/>
      <c r="HY26" s="128"/>
      <c r="HZ26" s="128"/>
      <c r="IA26" s="128"/>
      <c r="IB26" s="128"/>
      <c r="IC26" s="128"/>
      <c r="ID26" s="128"/>
      <c r="IE26" s="128"/>
      <c r="IF26" s="128"/>
      <c r="IG26" s="128"/>
      <c r="IH26" s="128"/>
      <c r="II26" s="128"/>
      <c r="IJ26" s="128"/>
      <c r="IK26" s="128"/>
      <c r="IL26" s="128"/>
      <c r="IM26" s="128"/>
      <c r="IN26" s="128"/>
      <c r="IO26" s="128"/>
      <c r="IP26" s="128"/>
      <c r="IQ26" s="128"/>
      <c r="IR26" s="128"/>
      <c r="IS26" s="128"/>
      <c r="IT26" s="128"/>
      <c r="IU26" s="128"/>
      <c r="IV26" s="128"/>
    </row>
    <row r="27" spans="1:256" s="113" customFormat="1" x14ac:dyDescent="0.25">
      <c r="A27" s="118" t="str">
        <f t="shared" si="0"/>
        <v>18STL GALV PPC</v>
      </c>
      <c r="B27" s="119"/>
      <c r="C27" s="120"/>
      <c r="D27" s="122" t="s">
        <v>775</v>
      </c>
      <c r="E27" s="122">
        <v>18</v>
      </c>
      <c r="F27" s="123" t="s">
        <v>732</v>
      </c>
      <c r="G27" s="123" t="s">
        <v>733</v>
      </c>
      <c r="H27" s="124">
        <v>4.5039999999999997E-2</v>
      </c>
      <c r="I27" s="123" t="s">
        <v>716</v>
      </c>
      <c r="J27" s="123" t="s">
        <v>705</v>
      </c>
      <c r="K27" s="123" t="s">
        <v>797</v>
      </c>
      <c r="L27" s="122" t="s">
        <v>798</v>
      </c>
      <c r="M27" s="123" t="s">
        <v>778</v>
      </c>
      <c r="N27" s="118" t="s">
        <v>779</v>
      </c>
      <c r="O27" s="123" t="s">
        <v>780</v>
      </c>
      <c r="P27" s="123" t="s">
        <v>711</v>
      </c>
      <c r="Q27" s="123" t="s">
        <v>789</v>
      </c>
      <c r="R27" s="118" t="s">
        <v>799</v>
      </c>
      <c r="S27" s="123" t="s">
        <v>791</v>
      </c>
      <c r="T27" s="133" t="s">
        <v>713</v>
      </c>
      <c r="U27" s="127"/>
      <c r="V27" s="128"/>
      <c r="W27" s="128"/>
      <c r="X27" s="128"/>
      <c r="Y27" s="128"/>
      <c r="Z27" s="128"/>
      <c r="AA27" s="128"/>
      <c r="AB27" s="128"/>
      <c r="AC27" s="128"/>
      <c r="AD27" s="128"/>
      <c r="AE27" s="128"/>
      <c r="AF27" s="128"/>
      <c r="AG27" s="128"/>
      <c r="AH27" s="128"/>
      <c r="AI27" s="128"/>
      <c r="AJ27" s="128"/>
      <c r="AK27" s="128"/>
      <c r="AL27" s="128"/>
      <c r="AM27" s="128"/>
      <c r="AN27" s="128"/>
      <c r="AO27" s="128"/>
      <c r="AP27" s="128"/>
      <c r="AQ27" s="128"/>
      <c r="AR27" s="128"/>
      <c r="AS27" s="128"/>
      <c r="AT27" s="128"/>
      <c r="AU27" s="128"/>
      <c r="AV27" s="128"/>
      <c r="AW27" s="128"/>
      <c r="AX27" s="128"/>
      <c r="AY27" s="128"/>
      <c r="AZ27" s="128"/>
      <c r="BA27" s="128"/>
      <c r="BB27" s="128"/>
      <c r="BC27" s="128"/>
      <c r="BD27" s="128"/>
      <c r="BE27" s="128"/>
      <c r="BF27" s="128"/>
      <c r="BG27" s="128"/>
      <c r="BH27" s="128"/>
      <c r="BI27" s="128"/>
      <c r="BJ27" s="128"/>
      <c r="BK27" s="128"/>
      <c r="BL27" s="128"/>
      <c r="BM27" s="128"/>
      <c r="BN27" s="128"/>
      <c r="BO27" s="128"/>
      <c r="BP27" s="128"/>
      <c r="BQ27" s="128"/>
      <c r="BR27" s="128"/>
      <c r="BS27" s="128"/>
      <c r="BT27" s="128"/>
      <c r="BU27" s="128"/>
      <c r="BV27" s="128"/>
      <c r="BW27" s="128"/>
      <c r="BX27" s="128"/>
      <c r="BY27" s="128"/>
      <c r="BZ27" s="128"/>
      <c r="CA27" s="128"/>
      <c r="CB27" s="128"/>
      <c r="CC27" s="128"/>
      <c r="CD27" s="128"/>
      <c r="CE27" s="128"/>
      <c r="CF27" s="128"/>
      <c r="CG27" s="128"/>
      <c r="CH27" s="128"/>
      <c r="CI27" s="128"/>
      <c r="CJ27" s="128"/>
      <c r="CK27" s="128"/>
      <c r="CL27" s="128"/>
      <c r="CM27" s="128"/>
      <c r="CN27" s="128"/>
      <c r="CO27" s="128"/>
      <c r="CP27" s="128"/>
      <c r="CQ27" s="128"/>
      <c r="CR27" s="128"/>
      <c r="CS27" s="128"/>
      <c r="CT27" s="128"/>
      <c r="CU27" s="128"/>
      <c r="CV27" s="128"/>
      <c r="CW27" s="128"/>
      <c r="CX27" s="128"/>
      <c r="CY27" s="128"/>
      <c r="CZ27" s="128"/>
      <c r="DA27" s="128"/>
      <c r="DB27" s="128"/>
      <c r="DC27" s="128"/>
      <c r="DD27" s="128"/>
      <c r="DE27" s="128"/>
      <c r="DF27" s="128"/>
      <c r="DG27" s="128"/>
      <c r="DH27" s="128"/>
      <c r="DI27" s="128"/>
      <c r="DJ27" s="128"/>
      <c r="DK27" s="128"/>
      <c r="DL27" s="128"/>
      <c r="DM27" s="128"/>
      <c r="DN27" s="128"/>
      <c r="DO27" s="128"/>
      <c r="DP27" s="128"/>
      <c r="DQ27" s="128"/>
      <c r="DR27" s="128"/>
      <c r="DS27" s="128"/>
      <c r="DT27" s="128"/>
      <c r="DU27" s="128"/>
      <c r="DV27" s="128"/>
      <c r="DW27" s="128"/>
      <c r="DX27" s="128"/>
      <c r="DY27" s="128"/>
      <c r="DZ27" s="128"/>
      <c r="EA27" s="128"/>
      <c r="EB27" s="128"/>
      <c r="EC27" s="128"/>
      <c r="ED27" s="128"/>
      <c r="EE27" s="128"/>
      <c r="EF27" s="128"/>
      <c r="EG27" s="128"/>
      <c r="EH27" s="128"/>
      <c r="EI27" s="128"/>
      <c r="EJ27" s="128"/>
      <c r="EK27" s="128"/>
      <c r="EL27" s="128"/>
      <c r="EM27" s="128"/>
      <c r="EN27" s="128"/>
      <c r="EO27" s="128"/>
      <c r="EP27" s="128"/>
      <c r="EQ27" s="128"/>
      <c r="ER27" s="128"/>
      <c r="ES27" s="128"/>
      <c r="ET27" s="128"/>
      <c r="EU27" s="128"/>
      <c r="EV27" s="128"/>
      <c r="EW27" s="128"/>
      <c r="EX27" s="128"/>
      <c r="EY27" s="128"/>
      <c r="EZ27" s="128"/>
      <c r="FA27" s="128"/>
      <c r="FB27" s="128"/>
      <c r="FC27" s="128"/>
      <c r="FD27" s="128"/>
      <c r="FE27" s="128"/>
      <c r="FF27" s="128"/>
      <c r="FG27" s="128"/>
      <c r="FH27" s="128"/>
      <c r="FI27" s="128"/>
      <c r="FJ27" s="128"/>
      <c r="FK27" s="128"/>
      <c r="FL27" s="128"/>
      <c r="FM27" s="128"/>
      <c r="FN27" s="128"/>
      <c r="FO27" s="128"/>
      <c r="FP27" s="128"/>
      <c r="FQ27" s="128"/>
      <c r="FR27" s="128"/>
      <c r="FS27" s="128"/>
      <c r="FT27" s="128"/>
      <c r="FU27" s="128"/>
      <c r="FV27" s="128"/>
      <c r="FW27" s="128"/>
      <c r="FX27" s="128"/>
      <c r="FY27" s="128"/>
      <c r="FZ27" s="128"/>
      <c r="GA27" s="128"/>
      <c r="GB27" s="128"/>
      <c r="GC27" s="128"/>
      <c r="GD27" s="128"/>
      <c r="GE27" s="128"/>
      <c r="GF27" s="128"/>
      <c r="GG27" s="128"/>
      <c r="GH27" s="128"/>
      <c r="GI27" s="128"/>
      <c r="GJ27" s="128"/>
      <c r="GK27" s="128"/>
      <c r="GL27" s="128"/>
      <c r="GM27" s="128"/>
      <c r="GN27" s="128"/>
      <c r="GO27" s="128"/>
      <c r="GP27" s="128"/>
      <c r="GQ27" s="128"/>
      <c r="GR27" s="128"/>
      <c r="GS27" s="128"/>
      <c r="GT27" s="128"/>
      <c r="GU27" s="128"/>
      <c r="GV27" s="128"/>
      <c r="GW27" s="128"/>
      <c r="GX27" s="128"/>
      <c r="GY27" s="128"/>
      <c r="GZ27" s="128"/>
      <c r="HA27" s="128"/>
      <c r="HB27" s="128"/>
      <c r="HC27" s="128"/>
      <c r="HD27" s="128"/>
      <c r="HE27" s="128"/>
      <c r="HF27" s="128"/>
      <c r="HG27" s="128"/>
      <c r="HH27" s="128"/>
      <c r="HI27" s="128"/>
      <c r="HJ27" s="128"/>
      <c r="HK27" s="128"/>
      <c r="HL27" s="128"/>
      <c r="HM27" s="128"/>
      <c r="HN27" s="128"/>
      <c r="HO27" s="128"/>
      <c r="HP27" s="128"/>
      <c r="HQ27" s="128"/>
      <c r="HR27" s="128"/>
      <c r="HS27" s="128"/>
      <c r="HT27" s="128"/>
      <c r="HU27" s="128"/>
      <c r="HV27" s="128"/>
      <c r="HW27" s="128"/>
      <c r="HX27" s="128"/>
      <c r="HY27" s="128"/>
      <c r="HZ27" s="128"/>
      <c r="IA27" s="128"/>
      <c r="IB27" s="128"/>
      <c r="IC27" s="128"/>
      <c r="ID27" s="128"/>
      <c r="IE27" s="128"/>
      <c r="IF27" s="128"/>
      <c r="IG27" s="128"/>
      <c r="IH27" s="128"/>
      <c r="II27" s="128"/>
      <c r="IJ27" s="128"/>
      <c r="IK27" s="128"/>
      <c r="IL27" s="128"/>
      <c r="IM27" s="128"/>
      <c r="IN27" s="128"/>
      <c r="IO27" s="128"/>
      <c r="IP27" s="128"/>
      <c r="IQ27" s="128"/>
      <c r="IR27" s="128"/>
      <c r="IS27" s="128"/>
      <c r="IT27" s="128"/>
      <c r="IU27" s="128"/>
      <c r="IV27" s="128"/>
    </row>
    <row r="28" spans="1:256" s="113" customFormat="1" x14ac:dyDescent="0.25">
      <c r="A28" s="118" t="str">
        <f t="shared" si="0"/>
        <v>10STL HOT ROLL</v>
      </c>
      <c r="B28" s="119"/>
      <c r="C28" s="120"/>
      <c r="D28" s="121" t="s">
        <v>800</v>
      </c>
      <c r="E28" s="121" t="s">
        <v>801</v>
      </c>
      <c r="F28" s="135" t="s">
        <v>802</v>
      </c>
      <c r="G28" s="135" t="s">
        <v>802</v>
      </c>
      <c r="H28" s="131">
        <v>0.12701000000000001</v>
      </c>
      <c r="I28" s="130" t="s">
        <v>716</v>
      </c>
      <c r="J28" s="123" t="s">
        <v>705</v>
      </c>
      <c r="K28" s="123" t="s">
        <v>803</v>
      </c>
      <c r="L28" s="122" t="s">
        <v>804</v>
      </c>
      <c r="M28" s="123" t="s">
        <v>805</v>
      </c>
      <c r="N28" s="118" t="s">
        <v>716</v>
      </c>
      <c r="O28" s="123" t="s">
        <v>710</v>
      </c>
      <c r="P28" s="123" t="s">
        <v>711</v>
      </c>
      <c r="Q28" s="130" t="s">
        <v>806</v>
      </c>
      <c r="R28" s="132" t="s">
        <v>807</v>
      </c>
      <c r="S28" s="123" t="s">
        <v>808</v>
      </c>
      <c r="T28" s="133" t="s">
        <v>713</v>
      </c>
      <c r="U28" s="127"/>
      <c r="V28" s="128"/>
      <c r="W28" s="128"/>
      <c r="X28" s="128"/>
      <c r="Y28" s="128"/>
      <c r="Z28" s="128"/>
      <c r="AA28" s="128"/>
      <c r="AB28" s="128"/>
      <c r="AC28" s="128"/>
      <c r="AD28" s="128"/>
      <c r="AE28" s="128"/>
      <c r="AF28" s="128"/>
      <c r="AG28" s="128"/>
      <c r="AH28" s="128"/>
      <c r="AI28" s="128"/>
      <c r="AJ28" s="128"/>
      <c r="AK28" s="128"/>
      <c r="AL28" s="128"/>
      <c r="AM28" s="128"/>
      <c r="AN28" s="128"/>
      <c r="AO28" s="128"/>
      <c r="AP28" s="128"/>
      <c r="AQ28" s="128"/>
      <c r="AR28" s="128"/>
      <c r="AS28" s="128"/>
      <c r="AT28" s="128"/>
      <c r="AU28" s="128"/>
      <c r="AV28" s="128"/>
      <c r="AW28" s="128"/>
      <c r="AX28" s="128"/>
      <c r="AY28" s="128"/>
      <c r="AZ28" s="128"/>
      <c r="BA28" s="128"/>
      <c r="BB28" s="128"/>
      <c r="BC28" s="128"/>
      <c r="BD28" s="128"/>
      <c r="BE28" s="128"/>
      <c r="BF28" s="128"/>
      <c r="BG28" s="128"/>
      <c r="BH28" s="128"/>
      <c r="BI28" s="128"/>
      <c r="BJ28" s="128"/>
      <c r="BK28" s="128"/>
      <c r="BL28" s="128"/>
      <c r="BM28" s="128"/>
      <c r="BN28" s="128"/>
      <c r="BO28" s="128"/>
      <c r="BP28" s="128"/>
      <c r="BQ28" s="128"/>
      <c r="BR28" s="128"/>
      <c r="BS28" s="128"/>
      <c r="BT28" s="128"/>
      <c r="BU28" s="128"/>
      <c r="BV28" s="128"/>
      <c r="BW28" s="128"/>
      <c r="BX28" s="128"/>
      <c r="BY28" s="128"/>
      <c r="BZ28" s="128"/>
      <c r="CA28" s="128"/>
      <c r="CB28" s="128"/>
      <c r="CC28" s="128"/>
      <c r="CD28" s="128"/>
      <c r="CE28" s="128"/>
      <c r="CF28" s="128"/>
      <c r="CG28" s="128"/>
      <c r="CH28" s="128"/>
      <c r="CI28" s="128"/>
      <c r="CJ28" s="128"/>
      <c r="CK28" s="128"/>
      <c r="CL28" s="128"/>
      <c r="CM28" s="128"/>
      <c r="CN28" s="128"/>
      <c r="CO28" s="128"/>
      <c r="CP28" s="128"/>
      <c r="CQ28" s="128"/>
      <c r="CR28" s="128"/>
      <c r="CS28" s="128"/>
      <c r="CT28" s="128"/>
      <c r="CU28" s="128"/>
      <c r="CV28" s="128"/>
      <c r="CW28" s="128"/>
      <c r="CX28" s="128"/>
      <c r="CY28" s="128"/>
      <c r="CZ28" s="128"/>
      <c r="DA28" s="128"/>
      <c r="DB28" s="128"/>
      <c r="DC28" s="128"/>
      <c r="DD28" s="128"/>
      <c r="DE28" s="128"/>
      <c r="DF28" s="128"/>
      <c r="DG28" s="128"/>
      <c r="DH28" s="128"/>
      <c r="DI28" s="128"/>
      <c r="DJ28" s="128"/>
      <c r="DK28" s="128"/>
      <c r="DL28" s="128"/>
      <c r="DM28" s="128"/>
      <c r="DN28" s="128"/>
      <c r="DO28" s="128"/>
      <c r="DP28" s="128"/>
      <c r="DQ28" s="128"/>
      <c r="DR28" s="128"/>
      <c r="DS28" s="128"/>
      <c r="DT28" s="128"/>
      <c r="DU28" s="128"/>
      <c r="DV28" s="128"/>
      <c r="DW28" s="128"/>
      <c r="DX28" s="128"/>
      <c r="DY28" s="128"/>
      <c r="DZ28" s="128"/>
      <c r="EA28" s="128"/>
      <c r="EB28" s="128"/>
      <c r="EC28" s="128"/>
      <c r="ED28" s="128"/>
      <c r="EE28" s="128"/>
      <c r="EF28" s="128"/>
      <c r="EG28" s="128"/>
      <c r="EH28" s="128"/>
      <c r="EI28" s="128"/>
      <c r="EJ28" s="128"/>
      <c r="EK28" s="128"/>
      <c r="EL28" s="128"/>
      <c r="EM28" s="128"/>
      <c r="EN28" s="128"/>
      <c r="EO28" s="128"/>
      <c r="EP28" s="128"/>
      <c r="EQ28" s="128"/>
      <c r="ER28" s="128"/>
      <c r="ES28" s="128"/>
      <c r="ET28" s="128"/>
      <c r="EU28" s="128"/>
      <c r="EV28" s="128"/>
      <c r="EW28" s="128"/>
      <c r="EX28" s="128"/>
      <c r="EY28" s="128"/>
      <c r="EZ28" s="128"/>
      <c r="FA28" s="128"/>
      <c r="FB28" s="128"/>
      <c r="FC28" s="128"/>
      <c r="FD28" s="128"/>
      <c r="FE28" s="128"/>
      <c r="FF28" s="128"/>
      <c r="FG28" s="128"/>
      <c r="FH28" s="128"/>
      <c r="FI28" s="128"/>
      <c r="FJ28" s="128"/>
      <c r="FK28" s="128"/>
      <c r="FL28" s="128"/>
      <c r="FM28" s="128"/>
      <c r="FN28" s="128"/>
      <c r="FO28" s="128"/>
      <c r="FP28" s="128"/>
      <c r="FQ28" s="128"/>
      <c r="FR28" s="128"/>
      <c r="FS28" s="128"/>
      <c r="FT28" s="128"/>
      <c r="FU28" s="128"/>
      <c r="FV28" s="128"/>
      <c r="FW28" s="128"/>
      <c r="FX28" s="128"/>
      <c r="FY28" s="128"/>
      <c r="FZ28" s="128"/>
      <c r="GA28" s="128"/>
      <c r="GB28" s="128"/>
      <c r="GC28" s="128"/>
      <c r="GD28" s="128"/>
      <c r="GE28" s="128"/>
      <c r="GF28" s="128"/>
      <c r="GG28" s="128"/>
      <c r="GH28" s="128"/>
      <c r="GI28" s="128"/>
      <c r="GJ28" s="128"/>
      <c r="GK28" s="128"/>
      <c r="GL28" s="128"/>
      <c r="GM28" s="128"/>
      <c r="GN28" s="128"/>
      <c r="GO28" s="128"/>
      <c r="GP28" s="128"/>
      <c r="GQ28" s="128"/>
      <c r="GR28" s="128"/>
      <c r="GS28" s="128"/>
      <c r="GT28" s="128"/>
      <c r="GU28" s="128"/>
      <c r="GV28" s="128"/>
      <c r="GW28" s="128"/>
      <c r="GX28" s="128"/>
      <c r="GY28" s="128"/>
      <c r="GZ28" s="128"/>
      <c r="HA28" s="128"/>
      <c r="HB28" s="128"/>
      <c r="HC28" s="128"/>
      <c r="HD28" s="128"/>
      <c r="HE28" s="128"/>
      <c r="HF28" s="128"/>
      <c r="HG28" s="128"/>
      <c r="HH28" s="128"/>
      <c r="HI28" s="128"/>
      <c r="HJ28" s="128"/>
      <c r="HK28" s="128"/>
      <c r="HL28" s="128"/>
      <c r="HM28" s="128"/>
      <c r="HN28" s="128"/>
      <c r="HO28" s="128"/>
      <c r="HP28" s="128"/>
      <c r="HQ28" s="128"/>
      <c r="HR28" s="128"/>
      <c r="HS28" s="128"/>
      <c r="HT28" s="128"/>
      <c r="HU28" s="128"/>
      <c r="HV28" s="128"/>
      <c r="HW28" s="128"/>
      <c r="HX28" s="128"/>
      <c r="HY28" s="128"/>
      <c r="HZ28" s="128"/>
      <c r="IA28" s="128"/>
      <c r="IB28" s="128"/>
      <c r="IC28" s="128"/>
      <c r="ID28" s="128"/>
      <c r="IE28" s="128"/>
      <c r="IF28" s="128"/>
      <c r="IG28" s="128"/>
      <c r="IH28" s="128"/>
      <c r="II28" s="128"/>
      <c r="IJ28" s="128"/>
      <c r="IK28" s="128"/>
      <c r="IL28" s="128"/>
      <c r="IM28" s="128"/>
      <c r="IN28" s="128"/>
      <c r="IO28" s="128"/>
      <c r="IP28" s="128"/>
      <c r="IQ28" s="128"/>
      <c r="IR28" s="128"/>
      <c r="IS28" s="128"/>
      <c r="IT28" s="128"/>
      <c r="IU28" s="128"/>
      <c r="IV28" s="128"/>
    </row>
    <row r="29" spans="1:256" s="113" customFormat="1" x14ac:dyDescent="0.25">
      <c r="A29" s="118" t="str">
        <f t="shared" si="0"/>
        <v>11STL HOT ROLL</v>
      </c>
      <c r="B29" s="119"/>
      <c r="C29" s="120"/>
      <c r="D29" s="121" t="s">
        <v>800</v>
      </c>
      <c r="E29" s="121" t="s">
        <v>809</v>
      </c>
      <c r="F29" s="135" t="s">
        <v>810</v>
      </c>
      <c r="G29" s="135" t="s">
        <v>810</v>
      </c>
      <c r="H29" s="131">
        <v>0.11201</v>
      </c>
      <c r="I29" s="130" t="s">
        <v>716</v>
      </c>
      <c r="J29" s="123" t="s">
        <v>705</v>
      </c>
      <c r="K29" s="123" t="s">
        <v>811</v>
      </c>
      <c r="L29" s="122" t="s">
        <v>812</v>
      </c>
      <c r="M29" s="123" t="s">
        <v>805</v>
      </c>
      <c r="N29" s="118" t="s">
        <v>716</v>
      </c>
      <c r="O29" s="123" t="s">
        <v>813</v>
      </c>
      <c r="P29" s="123" t="s">
        <v>711</v>
      </c>
      <c r="Q29" s="130" t="s">
        <v>806</v>
      </c>
      <c r="R29" s="132" t="s">
        <v>814</v>
      </c>
      <c r="S29" s="123" t="s">
        <v>808</v>
      </c>
      <c r="T29" s="133" t="s">
        <v>713</v>
      </c>
      <c r="U29" s="127"/>
      <c r="V29" s="128"/>
      <c r="W29" s="128"/>
      <c r="X29" s="128"/>
      <c r="Y29" s="128"/>
      <c r="Z29" s="128"/>
      <c r="AA29" s="128"/>
      <c r="AB29" s="128"/>
      <c r="AC29" s="128"/>
      <c r="AD29" s="128"/>
      <c r="AE29" s="128"/>
      <c r="AF29" s="128"/>
      <c r="AG29" s="128"/>
      <c r="AH29" s="128"/>
      <c r="AI29" s="128"/>
      <c r="AJ29" s="128"/>
      <c r="AK29" s="128"/>
      <c r="AL29" s="128"/>
      <c r="AM29" s="128"/>
      <c r="AN29" s="128"/>
      <c r="AO29" s="128"/>
      <c r="AP29" s="128"/>
      <c r="AQ29" s="128"/>
      <c r="AR29" s="128"/>
      <c r="AS29" s="128"/>
      <c r="AT29" s="128"/>
      <c r="AU29" s="128"/>
      <c r="AV29" s="128"/>
      <c r="AW29" s="128"/>
      <c r="AX29" s="128"/>
      <c r="AY29" s="128"/>
      <c r="AZ29" s="128"/>
      <c r="BA29" s="128"/>
      <c r="BB29" s="128"/>
      <c r="BC29" s="128"/>
      <c r="BD29" s="128"/>
      <c r="BE29" s="128"/>
      <c r="BF29" s="128"/>
      <c r="BG29" s="128"/>
      <c r="BH29" s="128"/>
      <c r="BI29" s="128"/>
      <c r="BJ29" s="128"/>
      <c r="BK29" s="128"/>
      <c r="BL29" s="128"/>
      <c r="BM29" s="128"/>
      <c r="BN29" s="128"/>
      <c r="BO29" s="128"/>
      <c r="BP29" s="128"/>
      <c r="BQ29" s="128"/>
      <c r="BR29" s="128"/>
      <c r="BS29" s="128"/>
      <c r="BT29" s="128"/>
      <c r="BU29" s="128"/>
      <c r="BV29" s="128"/>
      <c r="BW29" s="128"/>
      <c r="BX29" s="128"/>
      <c r="BY29" s="128"/>
      <c r="BZ29" s="128"/>
      <c r="CA29" s="128"/>
      <c r="CB29" s="128"/>
      <c r="CC29" s="128"/>
      <c r="CD29" s="128"/>
      <c r="CE29" s="128"/>
      <c r="CF29" s="128"/>
      <c r="CG29" s="128"/>
      <c r="CH29" s="128"/>
      <c r="CI29" s="128"/>
      <c r="CJ29" s="128"/>
      <c r="CK29" s="128"/>
      <c r="CL29" s="128"/>
      <c r="CM29" s="128"/>
      <c r="CN29" s="128"/>
      <c r="CO29" s="128"/>
      <c r="CP29" s="128"/>
      <c r="CQ29" s="128"/>
      <c r="CR29" s="128"/>
      <c r="CS29" s="128"/>
      <c r="CT29" s="128"/>
      <c r="CU29" s="128"/>
      <c r="CV29" s="128"/>
      <c r="CW29" s="128"/>
      <c r="CX29" s="128"/>
      <c r="CY29" s="128"/>
      <c r="CZ29" s="128"/>
      <c r="DA29" s="128"/>
      <c r="DB29" s="128"/>
      <c r="DC29" s="128"/>
      <c r="DD29" s="128"/>
      <c r="DE29" s="128"/>
      <c r="DF29" s="128"/>
      <c r="DG29" s="128"/>
      <c r="DH29" s="128"/>
      <c r="DI29" s="128"/>
      <c r="DJ29" s="128"/>
      <c r="DK29" s="128"/>
      <c r="DL29" s="128"/>
      <c r="DM29" s="128"/>
      <c r="DN29" s="128"/>
      <c r="DO29" s="128"/>
      <c r="DP29" s="128"/>
      <c r="DQ29" s="128"/>
      <c r="DR29" s="128"/>
      <c r="DS29" s="128"/>
      <c r="DT29" s="128"/>
      <c r="DU29" s="128"/>
      <c r="DV29" s="128"/>
      <c r="DW29" s="128"/>
      <c r="DX29" s="128"/>
      <c r="DY29" s="128"/>
      <c r="DZ29" s="128"/>
      <c r="EA29" s="128"/>
      <c r="EB29" s="128"/>
      <c r="EC29" s="128"/>
      <c r="ED29" s="128"/>
      <c r="EE29" s="128"/>
      <c r="EF29" s="128"/>
      <c r="EG29" s="128"/>
      <c r="EH29" s="128"/>
      <c r="EI29" s="128"/>
      <c r="EJ29" s="128"/>
      <c r="EK29" s="128"/>
      <c r="EL29" s="128"/>
      <c r="EM29" s="128"/>
      <c r="EN29" s="128"/>
      <c r="EO29" s="128"/>
      <c r="EP29" s="128"/>
      <c r="EQ29" s="128"/>
      <c r="ER29" s="128"/>
      <c r="ES29" s="128"/>
      <c r="ET29" s="128"/>
      <c r="EU29" s="128"/>
      <c r="EV29" s="128"/>
      <c r="EW29" s="128"/>
      <c r="EX29" s="128"/>
      <c r="EY29" s="128"/>
      <c r="EZ29" s="128"/>
      <c r="FA29" s="128"/>
      <c r="FB29" s="128"/>
      <c r="FC29" s="128"/>
      <c r="FD29" s="128"/>
      <c r="FE29" s="128"/>
      <c r="FF29" s="128"/>
      <c r="FG29" s="128"/>
      <c r="FH29" s="128"/>
      <c r="FI29" s="128"/>
      <c r="FJ29" s="128"/>
      <c r="FK29" s="128"/>
      <c r="FL29" s="128"/>
      <c r="FM29" s="128"/>
      <c r="FN29" s="128"/>
      <c r="FO29" s="128"/>
      <c r="FP29" s="128"/>
      <c r="FQ29" s="128"/>
      <c r="FR29" s="128"/>
      <c r="FS29" s="128"/>
      <c r="FT29" s="128"/>
      <c r="FU29" s="128"/>
      <c r="FV29" s="128"/>
      <c r="FW29" s="128"/>
      <c r="FX29" s="128"/>
      <c r="FY29" s="128"/>
      <c r="FZ29" s="128"/>
      <c r="GA29" s="128"/>
      <c r="GB29" s="128"/>
      <c r="GC29" s="128"/>
      <c r="GD29" s="128"/>
      <c r="GE29" s="128"/>
      <c r="GF29" s="128"/>
      <c r="GG29" s="128"/>
      <c r="GH29" s="128"/>
      <c r="GI29" s="128"/>
      <c r="GJ29" s="128"/>
      <c r="GK29" s="128"/>
      <c r="GL29" s="128"/>
      <c r="GM29" s="128"/>
      <c r="GN29" s="128"/>
      <c r="GO29" s="128"/>
      <c r="GP29" s="128"/>
      <c r="GQ29" s="128"/>
      <c r="GR29" s="128"/>
      <c r="GS29" s="128"/>
      <c r="GT29" s="128"/>
      <c r="GU29" s="128"/>
      <c r="GV29" s="128"/>
      <c r="GW29" s="128"/>
      <c r="GX29" s="128"/>
      <c r="GY29" s="128"/>
      <c r="GZ29" s="128"/>
      <c r="HA29" s="128"/>
      <c r="HB29" s="128"/>
      <c r="HC29" s="128"/>
      <c r="HD29" s="128"/>
      <c r="HE29" s="128"/>
      <c r="HF29" s="128"/>
      <c r="HG29" s="128"/>
      <c r="HH29" s="128"/>
      <c r="HI29" s="128"/>
      <c r="HJ29" s="128"/>
      <c r="HK29" s="128"/>
      <c r="HL29" s="128"/>
      <c r="HM29" s="128"/>
      <c r="HN29" s="128"/>
      <c r="HO29" s="128"/>
      <c r="HP29" s="128"/>
      <c r="HQ29" s="128"/>
      <c r="HR29" s="128"/>
      <c r="HS29" s="128"/>
      <c r="HT29" s="128"/>
      <c r="HU29" s="128"/>
      <c r="HV29" s="128"/>
      <c r="HW29" s="128"/>
      <c r="HX29" s="128"/>
      <c r="HY29" s="128"/>
      <c r="HZ29" s="128"/>
      <c r="IA29" s="128"/>
      <c r="IB29" s="128"/>
      <c r="IC29" s="128"/>
      <c r="ID29" s="128"/>
      <c r="IE29" s="128"/>
      <c r="IF29" s="128"/>
      <c r="IG29" s="128"/>
      <c r="IH29" s="128"/>
      <c r="II29" s="128"/>
      <c r="IJ29" s="128"/>
      <c r="IK29" s="128"/>
      <c r="IL29" s="128"/>
      <c r="IM29" s="128"/>
      <c r="IN29" s="128"/>
      <c r="IO29" s="128"/>
      <c r="IP29" s="128"/>
      <c r="IQ29" s="128"/>
      <c r="IR29" s="128"/>
      <c r="IS29" s="128"/>
      <c r="IT29" s="128"/>
      <c r="IU29" s="128"/>
      <c r="IV29" s="128"/>
    </row>
    <row r="30" spans="1:256" s="113" customFormat="1" x14ac:dyDescent="0.25">
      <c r="A30" s="118" t="str">
        <f t="shared" si="0"/>
        <v>12STL HOT ROLL</v>
      </c>
      <c r="B30" s="119"/>
      <c r="C30" s="120"/>
      <c r="D30" s="121" t="s">
        <v>800</v>
      </c>
      <c r="E30" s="121" t="s">
        <v>815</v>
      </c>
      <c r="F30" s="130" t="s">
        <v>720</v>
      </c>
      <c r="G30" s="130" t="s">
        <v>720</v>
      </c>
      <c r="H30" s="131">
        <v>9.7040000000000001E-2</v>
      </c>
      <c r="I30" s="130" t="s">
        <v>716</v>
      </c>
      <c r="J30" s="123" t="s">
        <v>705</v>
      </c>
      <c r="K30" s="123" t="s">
        <v>816</v>
      </c>
      <c r="L30" s="122" t="s">
        <v>817</v>
      </c>
      <c r="M30" s="123" t="s">
        <v>805</v>
      </c>
      <c r="N30" s="118" t="s">
        <v>716</v>
      </c>
      <c r="O30" s="123" t="s">
        <v>813</v>
      </c>
      <c r="P30" s="123" t="s">
        <v>711</v>
      </c>
      <c r="Q30" s="123" t="s">
        <v>806</v>
      </c>
      <c r="R30" s="132" t="s">
        <v>818</v>
      </c>
      <c r="S30" s="123" t="s">
        <v>808</v>
      </c>
      <c r="T30" s="133" t="s">
        <v>713</v>
      </c>
      <c r="U30" s="127"/>
      <c r="V30" s="128"/>
      <c r="W30" s="128"/>
      <c r="X30" s="128"/>
      <c r="Y30" s="128"/>
      <c r="Z30" s="128"/>
      <c r="AA30" s="128"/>
      <c r="AB30" s="128"/>
      <c r="AC30" s="128"/>
      <c r="AD30" s="128"/>
      <c r="AE30" s="128"/>
      <c r="AF30" s="128"/>
      <c r="AG30" s="128"/>
      <c r="AH30" s="128"/>
      <c r="AI30" s="128"/>
      <c r="AJ30" s="128"/>
      <c r="AK30" s="128"/>
      <c r="AL30" s="128"/>
      <c r="AM30" s="128"/>
      <c r="AN30" s="128"/>
      <c r="AO30" s="128"/>
      <c r="AP30" s="128"/>
      <c r="AQ30" s="128"/>
      <c r="AR30" s="128"/>
      <c r="AS30" s="128"/>
      <c r="AT30" s="128"/>
      <c r="AU30" s="128"/>
      <c r="AV30" s="128"/>
      <c r="AW30" s="128"/>
      <c r="AX30" s="128"/>
      <c r="AY30" s="128"/>
      <c r="AZ30" s="128"/>
      <c r="BA30" s="128"/>
      <c r="BB30" s="128"/>
      <c r="BC30" s="128"/>
      <c r="BD30" s="128"/>
      <c r="BE30" s="128"/>
      <c r="BF30" s="128"/>
      <c r="BG30" s="128"/>
      <c r="BH30" s="128"/>
      <c r="BI30" s="128"/>
      <c r="BJ30" s="128"/>
      <c r="BK30" s="128"/>
      <c r="BL30" s="128"/>
      <c r="BM30" s="128"/>
      <c r="BN30" s="128"/>
      <c r="BO30" s="128"/>
      <c r="BP30" s="128"/>
      <c r="BQ30" s="128"/>
      <c r="BR30" s="128"/>
      <c r="BS30" s="128"/>
      <c r="BT30" s="128"/>
      <c r="BU30" s="128"/>
      <c r="BV30" s="128"/>
      <c r="BW30" s="128"/>
      <c r="BX30" s="128"/>
      <c r="BY30" s="128"/>
      <c r="BZ30" s="128"/>
      <c r="CA30" s="128"/>
      <c r="CB30" s="128"/>
      <c r="CC30" s="128"/>
      <c r="CD30" s="128"/>
      <c r="CE30" s="128"/>
      <c r="CF30" s="128"/>
      <c r="CG30" s="128"/>
      <c r="CH30" s="128"/>
      <c r="CI30" s="128"/>
      <c r="CJ30" s="128"/>
      <c r="CK30" s="128"/>
      <c r="CL30" s="128"/>
      <c r="CM30" s="128"/>
      <c r="CN30" s="128"/>
      <c r="CO30" s="128"/>
      <c r="CP30" s="128"/>
      <c r="CQ30" s="128"/>
      <c r="CR30" s="128"/>
      <c r="CS30" s="128"/>
      <c r="CT30" s="128"/>
      <c r="CU30" s="128"/>
      <c r="CV30" s="128"/>
      <c r="CW30" s="128"/>
      <c r="CX30" s="128"/>
      <c r="CY30" s="128"/>
      <c r="CZ30" s="128"/>
      <c r="DA30" s="128"/>
      <c r="DB30" s="128"/>
      <c r="DC30" s="128"/>
      <c r="DD30" s="128"/>
      <c r="DE30" s="128"/>
      <c r="DF30" s="128"/>
      <c r="DG30" s="128"/>
      <c r="DH30" s="128"/>
      <c r="DI30" s="128"/>
      <c r="DJ30" s="128"/>
      <c r="DK30" s="128"/>
      <c r="DL30" s="128"/>
      <c r="DM30" s="128"/>
      <c r="DN30" s="128"/>
      <c r="DO30" s="128"/>
      <c r="DP30" s="128"/>
      <c r="DQ30" s="128"/>
      <c r="DR30" s="128"/>
      <c r="DS30" s="128"/>
      <c r="DT30" s="128"/>
      <c r="DU30" s="128"/>
      <c r="DV30" s="128"/>
      <c r="DW30" s="128"/>
      <c r="DX30" s="128"/>
      <c r="DY30" s="128"/>
      <c r="DZ30" s="128"/>
      <c r="EA30" s="128"/>
      <c r="EB30" s="128"/>
      <c r="EC30" s="128"/>
      <c r="ED30" s="128"/>
      <c r="EE30" s="128"/>
      <c r="EF30" s="128"/>
      <c r="EG30" s="128"/>
      <c r="EH30" s="128"/>
      <c r="EI30" s="128"/>
      <c r="EJ30" s="128"/>
      <c r="EK30" s="128"/>
      <c r="EL30" s="128"/>
      <c r="EM30" s="128"/>
      <c r="EN30" s="128"/>
      <c r="EO30" s="128"/>
      <c r="EP30" s="128"/>
      <c r="EQ30" s="128"/>
      <c r="ER30" s="128"/>
      <c r="ES30" s="128"/>
      <c r="ET30" s="128"/>
      <c r="EU30" s="128"/>
      <c r="EV30" s="128"/>
      <c r="EW30" s="128"/>
      <c r="EX30" s="128"/>
      <c r="EY30" s="128"/>
      <c r="EZ30" s="128"/>
      <c r="FA30" s="128"/>
      <c r="FB30" s="128"/>
      <c r="FC30" s="128"/>
      <c r="FD30" s="128"/>
      <c r="FE30" s="128"/>
      <c r="FF30" s="128"/>
      <c r="FG30" s="128"/>
      <c r="FH30" s="128"/>
      <c r="FI30" s="128"/>
      <c r="FJ30" s="128"/>
      <c r="FK30" s="128"/>
      <c r="FL30" s="128"/>
      <c r="FM30" s="128"/>
      <c r="FN30" s="128"/>
      <c r="FO30" s="128"/>
      <c r="FP30" s="128"/>
      <c r="FQ30" s="128"/>
      <c r="FR30" s="128"/>
      <c r="FS30" s="128"/>
      <c r="FT30" s="128"/>
      <c r="FU30" s="128"/>
      <c r="FV30" s="128"/>
      <c r="FW30" s="128"/>
      <c r="FX30" s="128"/>
      <c r="FY30" s="128"/>
      <c r="FZ30" s="128"/>
      <c r="GA30" s="128"/>
      <c r="GB30" s="128"/>
      <c r="GC30" s="128"/>
      <c r="GD30" s="128"/>
      <c r="GE30" s="128"/>
      <c r="GF30" s="128"/>
      <c r="GG30" s="128"/>
      <c r="GH30" s="128"/>
      <c r="GI30" s="128"/>
      <c r="GJ30" s="128"/>
      <c r="GK30" s="128"/>
      <c r="GL30" s="128"/>
      <c r="GM30" s="128"/>
      <c r="GN30" s="128"/>
      <c r="GO30" s="128"/>
      <c r="GP30" s="128"/>
      <c r="GQ30" s="128"/>
      <c r="GR30" s="128"/>
      <c r="GS30" s="128"/>
      <c r="GT30" s="128"/>
      <c r="GU30" s="128"/>
      <c r="GV30" s="128"/>
      <c r="GW30" s="128"/>
      <c r="GX30" s="128"/>
      <c r="GY30" s="128"/>
      <c r="GZ30" s="128"/>
      <c r="HA30" s="128"/>
      <c r="HB30" s="128"/>
      <c r="HC30" s="128"/>
      <c r="HD30" s="128"/>
      <c r="HE30" s="128"/>
      <c r="HF30" s="128"/>
      <c r="HG30" s="128"/>
      <c r="HH30" s="128"/>
      <c r="HI30" s="128"/>
      <c r="HJ30" s="128"/>
      <c r="HK30" s="128"/>
      <c r="HL30" s="128"/>
      <c r="HM30" s="128"/>
      <c r="HN30" s="128"/>
      <c r="HO30" s="128"/>
      <c r="HP30" s="128"/>
      <c r="HQ30" s="128"/>
      <c r="HR30" s="128"/>
      <c r="HS30" s="128"/>
      <c r="HT30" s="128"/>
      <c r="HU30" s="128"/>
      <c r="HV30" s="128"/>
      <c r="HW30" s="128"/>
      <c r="HX30" s="128"/>
      <c r="HY30" s="128"/>
      <c r="HZ30" s="128"/>
      <c r="IA30" s="128"/>
      <c r="IB30" s="128"/>
      <c r="IC30" s="128"/>
      <c r="ID30" s="128"/>
      <c r="IE30" s="128"/>
      <c r="IF30" s="128"/>
      <c r="IG30" s="128"/>
      <c r="IH30" s="128"/>
      <c r="II30" s="128"/>
      <c r="IJ30" s="128"/>
      <c r="IK30" s="128"/>
      <c r="IL30" s="128"/>
      <c r="IM30" s="128"/>
      <c r="IN30" s="128"/>
      <c r="IO30" s="128"/>
      <c r="IP30" s="128"/>
      <c r="IQ30" s="128"/>
      <c r="IR30" s="128"/>
      <c r="IS30" s="128"/>
      <c r="IT30" s="128"/>
      <c r="IU30" s="128"/>
      <c r="IV30" s="128"/>
    </row>
    <row r="31" spans="1:256" s="113" customFormat="1" x14ac:dyDescent="0.25">
      <c r="A31" s="118" t="str">
        <f t="shared" si="0"/>
        <v>14STL HOT ROLL</v>
      </c>
      <c r="B31" s="119"/>
      <c r="C31" s="120"/>
      <c r="D31" s="121" t="s">
        <v>800</v>
      </c>
      <c r="E31" s="121" t="s">
        <v>819</v>
      </c>
      <c r="F31" s="135" t="s">
        <v>820</v>
      </c>
      <c r="G31" s="135" t="s">
        <v>820</v>
      </c>
      <c r="H31" s="131">
        <v>6.8010000000000001E-2</v>
      </c>
      <c r="I31" s="130" t="s">
        <v>716</v>
      </c>
      <c r="J31" s="123" t="s">
        <v>705</v>
      </c>
      <c r="K31" s="123" t="s">
        <v>821</v>
      </c>
      <c r="L31" s="122" t="s">
        <v>822</v>
      </c>
      <c r="M31" s="123" t="s">
        <v>805</v>
      </c>
      <c r="N31" s="118" t="s">
        <v>716</v>
      </c>
      <c r="O31" s="123" t="s">
        <v>823</v>
      </c>
      <c r="P31" s="123" t="s">
        <v>711</v>
      </c>
      <c r="Q31" s="130" t="s">
        <v>806</v>
      </c>
      <c r="R31" s="132" t="s">
        <v>824</v>
      </c>
      <c r="S31" s="123" t="s">
        <v>808</v>
      </c>
      <c r="T31" s="133" t="s">
        <v>713</v>
      </c>
      <c r="U31" s="127"/>
      <c r="V31" s="128"/>
      <c r="W31" s="128"/>
      <c r="X31" s="128"/>
      <c r="Y31" s="128"/>
      <c r="Z31" s="128"/>
      <c r="AA31" s="128"/>
      <c r="AB31" s="128"/>
      <c r="AC31" s="128"/>
      <c r="AD31" s="128"/>
      <c r="AE31" s="128"/>
      <c r="AF31" s="128"/>
      <c r="AG31" s="128"/>
      <c r="AH31" s="128"/>
      <c r="AI31" s="128"/>
      <c r="AJ31" s="128"/>
      <c r="AK31" s="128"/>
      <c r="AL31" s="128"/>
      <c r="AM31" s="128"/>
      <c r="AN31" s="128"/>
      <c r="AO31" s="128"/>
      <c r="AP31" s="128"/>
      <c r="AQ31" s="128"/>
      <c r="AR31" s="128"/>
      <c r="AS31" s="128"/>
      <c r="AT31" s="128"/>
      <c r="AU31" s="128"/>
      <c r="AV31" s="128"/>
      <c r="AW31" s="128"/>
      <c r="AX31" s="128"/>
      <c r="AY31" s="128"/>
      <c r="AZ31" s="128"/>
      <c r="BA31" s="128"/>
      <c r="BB31" s="128"/>
      <c r="BC31" s="128"/>
      <c r="BD31" s="128"/>
      <c r="BE31" s="128"/>
      <c r="BF31" s="128"/>
      <c r="BG31" s="128"/>
      <c r="BH31" s="128"/>
      <c r="BI31" s="128"/>
      <c r="BJ31" s="128"/>
      <c r="BK31" s="128"/>
      <c r="BL31" s="128"/>
      <c r="BM31" s="128"/>
      <c r="BN31" s="128"/>
      <c r="BO31" s="128"/>
      <c r="BP31" s="128"/>
      <c r="BQ31" s="128"/>
      <c r="BR31" s="128"/>
      <c r="BS31" s="128"/>
      <c r="BT31" s="128"/>
      <c r="BU31" s="128"/>
      <c r="BV31" s="128"/>
      <c r="BW31" s="128"/>
      <c r="BX31" s="128"/>
      <c r="BY31" s="128"/>
      <c r="BZ31" s="128"/>
      <c r="CA31" s="128"/>
      <c r="CB31" s="128"/>
      <c r="CC31" s="128"/>
      <c r="CD31" s="128"/>
      <c r="CE31" s="128"/>
      <c r="CF31" s="128"/>
      <c r="CG31" s="128"/>
      <c r="CH31" s="128"/>
      <c r="CI31" s="128"/>
      <c r="CJ31" s="128"/>
      <c r="CK31" s="128"/>
      <c r="CL31" s="128"/>
      <c r="CM31" s="128"/>
      <c r="CN31" s="128"/>
      <c r="CO31" s="128"/>
      <c r="CP31" s="128"/>
      <c r="CQ31" s="128"/>
      <c r="CR31" s="128"/>
      <c r="CS31" s="128"/>
      <c r="CT31" s="128"/>
      <c r="CU31" s="128"/>
      <c r="CV31" s="128"/>
      <c r="CW31" s="128"/>
      <c r="CX31" s="128"/>
      <c r="CY31" s="128"/>
      <c r="CZ31" s="128"/>
      <c r="DA31" s="128"/>
      <c r="DB31" s="128"/>
      <c r="DC31" s="128"/>
      <c r="DD31" s="128"/>
      <c r="DE31" s="128"/>
      <c r="DF31" s="128"/>
      <c r="DG31" s="128"/>
      <c r="DH31" s="128"/>
      <c r="DI31" s="128"/>
      <c r="DJ31" s="128"/>
      <c r="DK31" s="128"/>
      <c r="DL31" s="128"/>
      <c r="DM31" s="128"/>
      <c r="DN31" s="128"/>
      <c r="DO31" s="128"/>
      <c r="DP31" s="128"/>
      <c r="DQ31" s="128"/>
      <c r="DR31" s="128"/>
      <c r="DS31" s="128"/>
      <c r="DT31" s="128"/>
      <c r="DU31" s="128"/>
      <c r="DV31" s="128"/>
      <c r="DW31" s="128"/>
      <c r="DX31" s="128"/>
      <c r="DY31" s="128"/>
      <c r="DZ31" s="128"/>
      <c r="EA31" s="128"/>
      <c r="EB31" s="128"/>
      <c r="EC31" s="128"/>
      <c r="ED31" s="128"/>
      <c r="EE31" s="128"/>
      <c r="EF31" s="128"/>
      <c r="EG31" s="128"/>
      <c r="EH31" s="128"/>
      <c r="EI31" s="128"/>
      <c r="EJ31" s="128"/>
      <c r="EK31" s="128"/>
      <c r="EL31" s="128"/>
      <c r="EM31" s="128"/>
      <c r="EN31" s="128"/>
      <c r="EO31" s="128"/>
      <c r="EP31" s="128"/>
      <c r="EQ31" s="128"/>
      <c r="ER31" s="128"/>
      <c r="ES31" s="128"/>
      <c r="ET31" s="128"/>
      <c r="EU31" s="128"/>
      <c r="EV31" s="128"/>
      <c r="EW31" s="128"/>
      <c r="EX31" s="128"/>
      <c r="EY31" s="128"/>
      <c r="EZ31" s="128"/>
      <c r="FA31" s="128"/>
      <c r="FB31" s="128"/>
      <c r="FC31" s="128"/>
      <c r="FD31" s="128"/>
      <c r="FE31" s="128"/>
      <c r="FF31" s="128"/>
      <c r="FG31" s="128"/>
      <c r="FH31" s="128"/>
      <c r="FI31" s="128"/>
      <c r="FJ31" s="128"/>
      <c r="FK31" s="128"/>
      <c r="FL31" s="128"/>
      <c r="FM31" s="128"/>
      <c r="FN31" s="128"/>
      <c r="FO31" s="128"/>
      <c r="FP31" s="128"/>
      <c r="FQ31" s="128"/>
      <c r="FR31" s="128"/>
      <c r="FS31" s="128"/>
      <c r="FT31" s="128"/>
      <c r="FU31" s="128"/>
      <c r="FV31" s="128"/>
      <c r="FW31" s="128"/>
      <c r="FX31" s="128"/>
      <c r="FY31" s="128"/>
      <c r="FZ31" s="128"/>
      <c r="GA31" s="128"/>
      <c r="GB31" s="128"/>
      <c r="GC31" s="128"/>
      <c r="GD31" s="128"/>
      <c r="GE31" s="128"/>
      <c r="GF31" s="128"/>
      <c r="GG31" s="128"/>
      <c r="GH31" s="128"/>
      <c r="GI31" s="128"/>
      <c r="GJ31" s="128"/>
      <c r="GK31" s="128"/>
      <c r="GL31" s="128"/>
      <c r="GM31" s="128"/>
      <c r="GN31" s="128"/>
      <c r="GO31" s="128"/>
      <c r="GP31" s="128"/>
      <c r="GQ31" s="128"/>
      <c r="GR31" s="128"/>
      <c r="GS31" s="128"/>
      <c r="GT31" s="128"/>
      <c r="GU31" s="128"/>
      <c r="GV31" s="128"/>
      <c r="GW31" s="128"/>
      <c r="GX31" s="128"/>
      <c r="GY31" s="128"/>
      <c r="GZ31" s="128"/>
      <c r="HA31" s="128"/>
      <c r="HB31" s="128"/>
      <c r="HC31" s="128"/>
      <c r="HD31" s="128"/>
      <c r="HE31" s="128"/>
      <c r="HF31" s="128"/>
      <c r="HG31" s="128"/>
      <c r="HH31" s="128"/>
      <c r="HI31" s="128"/>
      <c r="HJ31" s="128"/>
      <c r="HK31" s="128"/>
      <c r="HL31" s="128"/>
      <c r="HM31" s="128"/>
      <c r="HN31" s="128"/>
      <c r="HO31" s="128"/>
      <c r="HP31" s="128"/>
      <c r="HQ31" s="128"/>
      <c r="HR31" s="128"/>
      <c r="HS31" s="128"/>
      <c r="HT31" s="128"/>
      <c r="HU31" s="128"/>
      <c r="HV31" s="128"/>
      <c r="HW31" s="128"/>
      <c r="HX31" s="128"/>
      <c r="HY31" s="128"/>
      <c r="HZ31" s="128"/>
      <c r="IA31" s="128"/>
      <c r="IB31" s="128"/>
      <c r="IC31" s="128"/>
      <c r="ID31" s="128"/>
      <c r="IE31" s="128"/>
      <c r="IF31" s="128"/>
      <c r="IG31" s="128"/>
      <c r="IH31" s="128"/>
      <c r="II31" s="128"/>
      <c r="IJ31" s="128"/>
      <c r="IK31" s="128"/>
      <c r="IL31" s="128"/>
      <c r="IM31" s="128"/>
      <c r="IN31" s="128"/>
      <c r="IO31" s="128"/>
      <c r="IP31" s="128"/>
      <c r="IQ31" s="128"/>
      <c r="IR31" s="128"/>
      <c r="IS31" s="128"/>
      <c r="IT31" s="128"/>
      <c r="IU31" s="128"/>
      <c r="IV31" s="128"/>
    </row>
    <row r="32" spans="1:256" s="113" customFormat="1" x14ac:dyDescent="0.25">
      <c r="A32" s="118" t="str">
        <f t="shared" si="0"/>
        <v>20ALM SHT</v>
      </c>
      <c r="B32" s="119"/>
      <c r="C32" s="120"/>
      <c r="D32" s="122" t="s">
        <v>825</v>
      </c>
      <c r="E32" s="122" t="s">
        <v>826</v>
      </c>
      <c r="F32" s="123" t="s">
        <v>827</v>
      </c>
      <c r="G32" s="123" t="s">
        <v>827</v>
      </c>
      <c r="H32" s="124">
        <v>4.0009999999999997E-2</v>
      </c>
      <c r="I32" s="123" t="s">
        <v>716</v>
      </c>
      <c r="J32" s="123" t="s">
        <v>705</v>
      </c>
      <c r="K32" s="123" t="s">
        <v>828</v>
      </c>
      <c r="L32" s="122" t="s">
        <v>829</v>
      </c>
      <c r="M32" s="123" t="s">
        <v>136</v>
      </c>
      <c r="N32" s="118" t="s">
        <v>830</v>
      </c>
      <c r="O32" s="123" t="s">
        <v>831</v>
      </c>
      <c r="P32" s="130" t="s">
        <v>711</v>
      </c>
      <c r="Q32" s="123" t="s">
        <v>832</v>
      </c>
      <c r="R32" s="123" t="s">
        <v>833</v>
      </c>
      <c r="S32" s="123" t="s">
        <v>713</v>
      </c>
      <c r="T32" s="133" t="s">
        <v>713</v>
      </c>
      <c r="U32" s="127"/>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8"/>
      <c r="AY32" s="128"/>
      <c r="AZ32" s="128"/>
      <c r="BA32" s="128"/>
      <c r="BB32" s="128"/>
      <c r="BC32" s="128"/>
      <c r="BD32" s="128"/>
      <c r="BE32" s="128"/>
      <c r="BF32" s="128"/>
      <c r="BG32" s="128"/>
      <c r="BH32" s="128"/>
      <c r="BI32" s="128"/>
      <c r="BJ32" s="128"/>
      <c r="BK32" s="128"/>
      <c r="BL32" s="128"/>
      <c r="BM32" s="128"/>
      <c r="BN32" s="128"/>
      <c r="BO32" s="128"/>
      <c r="BP32" s="128"/>
      <c r="BQ32" s="128"/>
      <c r="BR32" s="128"/>
      <c r="BS32" s="128"/>
      <c r="BT32" s="128"/>
      <c r="BU32" s="128"/>
      <c r="BV32" s="128"/>
      <c r="BW32" s="128"/>
      <c r="BX32" s="128"/>
      <c r="BY32" s="128"/>
      <c r="BZ32" s="128"/>
      <c r="CA32" s="128"/>
      <c r="CB32" s="128"/>
      <c r="CC32" s="128"/>
      <c r="CD32" s="128"/>
      <c r="CE32" s="128"/>
      <c r="CF32" s="128"/>
      <c r="CG32" s="128"/>
      <c r="CH32" s="128"/>
      <c r="CI32" s="128"/>
      <c r="CJ32" s="128"/>
      <c r="CK32" s="128"/>
      <c r="CL32" s="128"/>
      <c r="CM32" s="128"/>
      <c r="CN32" s="128"/>
      <c r="CO32" s="128"/>
      <c r="CP32" s="128"/>
      <c r="CQ32" s="128"/>
      <c r="CR32" s="128"/>
      <c r="CS32" s="128"/>
      <c r="CT32" s="128"/>
      <c r="CU32" s="128"/>
      <c r="CV32" s="128"/>
      <c r="CW32" s="128"/>
      <c r="CX32" s="128"/>
      <c r="CY32" s="128"/>
      <c r="CZ32" s="128"/>
      <c r="DA32" s="128"/>
      <c r="DB32" s="128"/>
      <c r="DC32" s="128"/>
      <c r="DD32" s="128"/>
      <c r="DE32" s="128"/>
      <c r="DF32" s="128"/>
      <c r="DG32" s="128"/>
      <c r="DH32" s="128"/>
      <c r="DI32" s="128"/>
      <c r="DJ32" s="128"/>
      <c r="DK32" s="128"/>
      <c r="DL32" s="128"/>
      <c r="DM32" s="128"/>
      <c r="DN32" s="128"/>
      <c r="DO32" s="128"/>
      <c r="DP32" s="128"/>
      <c r="DQ32" s="128"/>
      <c r="DR32" s="128"/>
      <c r="DS32" s="128"/>
      <c r="DT32" s="128"/>
      <c r="DU32" s="128"/>
      <c r="DV32" s="128"/>
      <c r="DW32" s="128"/>
      <c r="DX32" s="128"/>
      <c r="DY32" s="128"/>
      <c r="DZ32" s="128"/>
      <c r="EA32" s="128"/>
      <c r="EB32" s="128"/>
      <c r="EC32" s="128"/>
      <c r="ED32" s="128"/>
      <c r="EE32" s="128"/>
      <c r="EF32" s="128"/>
      <c r="EG32" s="128"/>
      <c r="EH32" s="128"/>
      <c r="EI32" s="128"/>
      <c r="EJ32" s="128"/>
      <c r="EK32" s="128"/>
      <c r="EL32" s="128"/>
      <c r="EM32" s="128"/>
      <c r="EN32" s="128"/>
      <c r="EO32" s="128"/>
      <c r="EP32" s="128"/>
      <c r="EQ32" s="128"/>
      <c r="ER32" s="128"/>
      <c r="ES32" s="128"/>
      <c r="ET32" s="128"/>
      <c r="EU32" s="128"/>
      <c r="EV32" s="128"/>
      <c r="EW32" s="128"/>
      <c r="EX32" s="128"/>
      <c r="EY32" s="128"/>
      <c r="EZ32" s="128"/>
      <c r="FA32" s="128"/>
      <c r="FB32" s="128"/>
      <c r="FC32" s="128"/>
      <c r="FD32" s="128"/>
      <c r="FE32" s="128"/>
      <c r="FF32" s="128"/>
      <c r="FG32" s="128"/>
      <c r="FH32" s="128"/>
      <c r="FI32" s="128"/>
      <c r="FJ32" s="128"/>
      <c r="FK32" s="128"/>
      <c r="FL32" s="128"/>
      <c r="FM32" s="128"/>
      <c r="FN32" s="128"/>
      <c r="FO32" s="128"/>
      <c r="FP32" s="128"/>
      <c r="FQ32" s="128"/>
      <c r="FR32" s="128"/>
      <c r="FS32" s="128"/>
      <c r="FT32" s="128"/>
      <c r="FU32" s="128"/>
      <c r="FV32" s="128"/>
      <c r="FW32" s="128"/>
      <c r="FX32" s="128"/>
      <c r="FY32" s="128"/>
      <c r="FZ32" s="128"/>
      <c r="GA32" s="128"/>
      <c r="GB32" s="128"/>
      <c r="GC32" s="128"/>
      <c r="GD32" s="128"/>
      <c r="GE32" s="128"/>
      <c r="GF32" s="128"/>
      <c r="GG32" s="128"/>
      <c r="GH32" s="128"/>
      <c r="GI32" s="128"/>
      <c r="GJ32" s="128"/>
      <c r="GK32" s="128"/>
      <c r="GL32" s="128"/>
      <c r="GM32" s="128"/>
      <c r="GN32" s="128"/>
      <c r="GO32" s="128"/>
      <c r="GP32" s="128"/>
      <c r="GQ32" s="128"/>
      <c r="GR32" s="128"/>
      <c r="GS32" s="128"/>
      <c r="GT32" s="128"/>
      <c r="GU32" s="128"/>
      <c r="GV32" s="128"/>
      <c r="GW32" s="128"/>
      <c r="GX32" s="128"/>
      <c r="GY32" s="128"/>
      <c r="GZ32" s="128"/>
      <c r="HA32" s="128"/>
      <c r="HB32" s="128"/>
      <c r="HC32" s="128"/>
      <c r="HD32" s="128"/>
      <c r="HE32" s="128"/>
      <c r="HF32" s="128"/>
      <c r="HG32" s="128"/>
      <c r="HH32" s="128"/>
      <c r="HI32" s="128"/>
      <c r="HJ32" s="128"/>
      <c r="HK32" s="128"/>
      <c r="HL32" s="128"/>
      <c r="HM32" s="128"/>
      <c r="HN32" s="128"/>
      <c r="HO32" s="128"/>
      <c r="HP32" s="128"/>
      <c r="HQ32" s="128"/>
      <c r="HR32" s="128"/>
      <c r="HS32" s="128"/>
      <c r="HT32" s="128"/>
      <c r="HU32" s="128"/>
      <c r="HV32" s="128"/>
      <c r="HW32" s="128"/>
      <c r="HX32" s="128"/>
      <c r="HY32" s="128"/>
      <c r="HZ32" s="128"/>
      <c r="IA32" s="128"/>
      <c r="IB32" s="128"/>
      <c r="IC32" s="128"/>
      <c r="ID32" s="128"/>
      <c r="IE32" s="128"/>
      <c r="IF32" s="128"/>
      <c r="IG32" s="128"/>
      <c r="IH32" s="128"/>
      <c r="II32" s="128"/>
      <c r="IJ32" s="128"/>
      <c r="IK32" s="128"/>
      <c r="IL32" s="128"/>
      <c r="IM32" s="128"/>
      <c r="IN32" s="128"/>
      <c r="IO32" s="128"/>
      <c r="IP32" s="128"/>
      <c r="IQ32" s="128"/>
      <c r="IR32" s="128"/>
      <c r="IS32" s="128"/>
      <c r="IT32" s="128"/>
      <c r="IU32" s="128"/>
      <c r="IV32" s="128"/>
    </row>
    <row r="33" spans="1:256" s="113" customFormat="1" x14ac:dyDescent="0.25">
      <c r="A33" s="118" t="str">
        <f t="shared" si="0"/>
        <v>18ALM SHT</v>
      </c>
      <c r="B33" s="119"/>
      <c r="C33" s="120"/>
      <c r="D33" s="122" t="s">
        <v>825</v>
      </c>
      <c r="E33" s="122" t="s">
        <v>834</v>
      </c>
      <c r="F33" s="123" t="s">
        <v>835</v>
      </c>
      <c r="G33" s="123" t="s">
        <v>835</v>
      </c>
      <c r="H33" s="124">
        <v>5.0029999999999998E-2</v>
      </c>
      <c r="I33" s="123" t="s">
        <v>716</v>
      </c>
      <c r="J33" s="123" t="s">
        <v>705</v>
      </c>
      <c r="K33" s="123" t="s">
        <v>836</v>
      </c>
      <c r="L33" s="122" t="s">
        <v>837</v>
      </c>
      <c r="M33" s="123" t="s">
        <v>136</v>
      </c>
      <c r="N33" s="118" t="s">
        <v>830</v>
      </c>
      <c r="O33" s="123" t="s">
        <v>831</v>
      </c>
      <c r="P33" s="130" t="s">
        <v>711</v>
      </c>
      <c r="Q33" s="123" t="s">
        <v>832</v>
      </c>
      <c r="R33" s="123" t="s">
        <v>838</v>
      </c>
      <c r="S33" s="123" t="s">
        <v>713</v>
      </c>
      <c r="T33" s="133" t="s">
        <v>713</v>
      </c>
      <c r="U33" s="127"/>
      <c r="V33" s="128"/>
      <c r="W33" s="128"/>
      <c r="X33" s="128"/>
      <c r="Y33" s="128"/>
      <c r="Z33" s="128"/>
      <c r="AA33" s="128"/>
      <c r="AB33" s="128"/>
      <c r="AC33" s="128"/>
      <c r="AD33" s="128"/>
      <c r="AE33" s="128"/>
      <c r="AF33" s="128"/>
      <c r="AG33" s="128"/>
      <c r="AH33" s="128"/>
      <c r="AI33" s="128"/>
      <c r="AJ33" s="128"/>
      <c r="AK33" s="128"/>
      <c r="AL33" s="128"/>
      <c r="AM33" s="128"/>
      <c r="AN33" s="128"/>
      <c r="AO33" s="128"/>
      <c r="AP33" s="128"/>
      <c r="AQ33" s="128"/>
      <c r="AR33" s="128"/>
      <c r="AS33" s="128"/>
      <c r="AT33" s="128"/>
      <c r="AU33" s="128"/>
      <c r="AV33" s="128"/>
      <c r="AW33" s="128"/>
      <c r="AX33" s="128"/>
      <c r="AY33" s="128"/>
      <c r="AZ33" s="128"/>
      <c r="BA33" s="128"/>
      <c r="BB33" s="128"/>
      <c r="BC33" s="128"/>
      <c r="BD33" s="128"/>
      <c r="BE33" s="128"/>
      <c r="BF33" s="128"/>
      <c r="BG33" s="128"/>
      <c r="BH33" s="128"/>
      <c r="BI33" s="128"/>
      <c r="BJ33" s="128"/>
      <c r="BK33" s="128"/>
      <c r="BL33" s="128"/>
      <c r="BM33" s="128"/>
      <c r="BN33" s="128"/>
      <c r="BO33" s="128"/>
      <c r="BP33" s="128"/>
      <c r="BQ33" s="128"/>
      <c r="BR33" s="128"/>
      <c r="BS33" s="128"/>
      <c r="BT33" s="128"/>
      <c r="BU33" s="128"/>
      <c r="BV33" s="128"/>
      <c r="BW33" s="128"/>
      <c r="BX33" s="128"/>
      <c r="BY33" s="128"/>
      <c r="BZ33" s="128"/>
      <c r="CA33" s="128"/>
      <c r="CB33" s="128"/>
      <c r="CC33" s="128"/>
      <c r="CD33" s="128"/>
      <c r="CE33" s="128"/>
      <c r="CF33" s="128"/>
      <c r="CG33" s="128"/>
      <c r="CH33" s="128"/>
      <c r="CI33" s="128"/>
      <c r="CJ33" s="128"/>
      <c r="CK33" s="128"/>
      <c r="CL33" s="128"/>
      <c r="CM33" s="128"/>
      <c r="CN33" s="128"/>
      <c r="CO33" s="128"/>
      <c r="CP33" s="128"/>
      <c r="CQ33" s="128"/>
      <c r="CR33" s="128"/>
      <c r="CS33" s="128"/>
      <c r="CT33" s="128"/>
      <c r="CU33" s="128"/>
      <c r="CV33" s="128"/>
      <c r="CW33" s="128"/>
      <c r="CX33" s="128"/>
      <c r="CY33" s="128"/>
      <c r="CZ33" s="128"/>
      <c r="DA33" s="128"/>
      <c r="DB33" s="128"/>
      <c r="DC33" s="128"/>
      <c r="DD33" s="128"/>
      <c r="DE33" s="128"/>
      <c r="DF33" s="128"/>
      <c r="DG33" s="128"/>
      <c r="DH33" s="128"/>
      <c r="DI33" s="128"/>
      <c r="DJ33" s="128"/>
      <c r="DK33" s="128"/>
      <c r="DL33" s="128"/>
      <c r="DM33" s="128"/>
      <c r="DN33" s="128"/>
      <c r="DO33" s="128"/>
      <c r="DP33" s="128"/>
      <c r="DQ33" s="128"/>
      <c r="DR33" s="128"/>
      <c r="DS33" s="128"/>
      <c r="DT33" s="128"/>
      <c r="DU33" s="128"/>
      <c r="DV33" s="128"/>
      <c r="DW33" s="128"/>
      <c r="DX33" s="128"/>
      <c r="DY33" s="128"/>
      <c r="DZ33" s="128"/>
      <c r="EA33" s="128"/>
      <c r="EB33" s="128"/>
      <c r="EC33" s="128"/>
      <c r="ED33" s="128"/>
      <c r="EE33" s="128"/>
      <c r="EF33" s="128"/>
      <c r="EG33" s="128"/>
      <c r="EH33" s="128"/>
      <c r="EI33" s="128"/>
      <c r="EJ33" s="128"/>
      <c r="EK33" s="128"/>
      <c r="EL33" s="128"/>
      <c r="EM33" s="128"/>
      <c r="EN33" s="128"/>
      <c r="EO33" s="128"/>
      <c r="EP33" s="128"/>
      <c r="EQ33" s="128"/>
      <c r="ER33" s="128"/>
      <c r="ES33" s="128"/>
      <c r="ET33" s="128"/>
      <c r="EU33" s="128"/>
      <c r="EV33" s="128"/>
      <c r="EW33" s="128"/>
      <c r="EX33" s="128"/>
      <c r="EY33" s="128"/>
      <c r="EZ33" s="128"/>
      <c r="FA33" s="128"/>
      <c r="FB33" s="128"/>
      <c r="FC33" s="128"/>
      <c r="FD33" s="128"/>
      <c r="FE33" s="128"/>
      <c r="FF33" s="128"/>
      <c r="FG33" s="128"/>
      <c r="FH33" s="128"/>
      <c r="FI33" s="128"/>
      <c r="FJ33" s="128"/>
      <c r="FK33" s="128"/>
      <c r="FL33" s="128"/>
      <c r="FM33" s="128"/>
      <c r="FN33" s="128"/>
      <c r="FO33" s="128"/>
      <c r="FP33" s="128"/>
      <c r="FQ33" s="128"/>
      <c r="FR33" s="128"/>
      <c r="FS33" s="128"/>
      <c r="FT33" s="128"/>
      <c r="FU33" s="128"/>
      <c r="FV33" s="128"/>
      <c r="FW33" s="128"/>
      <c r="FX33" s="128"/>
      <c r="FY33" s="128"/>
      <c r="FZ33" s="128"/>
      <c r="GA33" s="128"/>
      <c r="GB33" s="128"/>
      <c r="GC33" s="128"/>
      <c r="GD33" s="128"/>
      <c r="GE33" s="128"/>
      <c r="GF33" s="128"/>
      <c r="GG33" s="128"/>
      <c r="GH33" s="128"/>
      <c r="GI33" s="128"/>
      <c r="GJ33" s="128"/>
      <c r="GK33" s="128"/>
      <c r="GL33" s="128"/>
      <c r="GM33" s="128"/>
      <c r="GN33" s="128"/>
      <c r="GO33" s="128"/>
      <c r="GP33" s="128"/>
      <c r="GQ33" s="128"/>
      <c r="GR33" s="128"/>
      <c r="GS33" s="128"/>
      <c r="GT33" s="128"/>
      <c r="GU33" s="128"/>
      <c r="GV33" s="128"/>
      <c r="GW33" s="128"/>
      <c r="GX33" s="128"/>
      <c r="GY33" s="128"/>
      <c r="GZ33" s="128"/>
      <c r="HA33" s="128"/>
      <c r="HB33" s="128"/>
      <c r="HC33" s="128"/>
      <c r="HD33" s="128"/>
      <c r="HE33" s="128"/>
      <c r="HF33" s="128"/>
      <c r="HG33" s="128"/>
      <c r="HH33" s="128"/>
      <c r="HI33" s="128"/>
      <c r="HJ33" s="128"/>
      <c r="HK33" s="128"/>
      <c r="HL33" s="128"/>
      <c r="HM33" s="128"/>
      <c r="HN33" s="128"/>
      <c r="HO33" s="128"/>
      <c r="HP33" s="128"/>
      <c r="HQ33" s="128"/>
      <c r="HR33" s="128"/>
      <c r="HS33" s="128"/>
      <c r="HT33" s="128"/>
      <c r="HU33" s="128"/>
      <c r="HV33" s="128"/>
      <c r="HW33" s="128"/>
      <c r="HX33" s="128"/>
      <c r="HY33" s="128"/>
      <c r="HZ33" s="128"/>
      <c r="IA33" s="128"/>
      <c r="IB33" s="128"/>
      <c r="IC33" s="128"/>
      <c r="ID33" s="128"/>
      <c r="IE33" s="128"/>
      <c r="IF33" s="128"/>
      <c r="IG33" s="128"/>
      <c r="IH33" s="128"/>
      <c r="II33" s="128"/>
      <c r="IJ33" s="128"/>
      <c r="IK33" s="128"/>
      <c r="IL33" s="128"/>
      <c r="IM33" s="128"/>
      <c r="IN33" s="128"/>
      <c r="IO33" s="128"/>
      <c r="IP33" s="128"/>
      <c r="IQ33" s="128"/>
      <c r="IR33" s="128"/>
      <c r="IS33" s="128"/>
      <c r="IT33" s="128"/>
      <c r="IU33" s="128"/>
      <c r="IV33" s="128"/>
    </row>
    <row r="34" spans="1:256" s="113" customFormat="1" x14ac:dyDescent="0.25">
      <c r="A34" s="118" t="str">
        <f t="shared" si="0"/>
        <v>16ALM SHT</v>
      </c>
      <c r="B34" s="119"/>
      <c r="C34" s="120"/>
      <c r="D34" s="122" t="s">
        <v>825</v>
      </c>
      <c r="E34" s="122" t="s">
        <v>839</v>
      </c>
      <c r="F34" s="123" t="s">
        <v>840</v>
      </c>
      <c r="G34" s="123" t="s">
        <v>840</v>
      </c>
      <c r="H34" s="124">
        <v>6.3009999999999997E-2</v>
      </c>
      <c r="I34" s="123" t="s">
        <v>716</v>
      </c>
      <c r="J34" s="123" t="s">
        <v>705</v>
      </c>
      <c r="K34" s="123" t="s">
        <v>841</v>
      </c>
      <c r="L34" s="122" t="s">
        <v>842</v>
      </c>
      <c r="M34" s="123" t="s">
        <v>136</v>
      </c>
      <c r="N34" s="118" t="s">
        <v>830</v>
      </c>
      <c r="O34" s="123" t="s">
        <v>831</v>
      </c>
      <c r="P34" s="123" t="s">
        <v>711</v>
      </c>
      <c r="Q34" s="123" t="s">
        <v>832</v>
      </c>
      <c r="R34" s="123" t="s">
        <v>843</v>
      </c>
      <c r="S34" s="123" t="s">
        <v>713</v>
      </c>
      <c r="T34" s="133" t="s">
        <v>713</v>
      </c>
      <c r="U34" s="127"/>
      <c r="V34" s="128"/>
      <c r="W34" s="128"/>
      <c r="X34" s="128"/>
      <c r="Y34" s="128"/>
      <c r="Z34" s="128"/>
      <c r="AA34" s="128"/>
      <c r="AB34" s="128"/>
      <c r="AC34" s="128"/>
      <c r="AD34" s="128"/>
      <c r="AE34" s="128"/>
      <c r="AF34" s="128"/>
      <c r="AG34" s="128"/>
      <c r="AH34" s="128"/>
      <c r="AI34" s="128"/>
      <c r="AJ34" s="128"/>
      <c r="AK34" s="128"/>
      <c r="AL34" s="128"/>
      <c r="AM34" s="128"/>
      <c r="AN34" s="128"/>
      <c r="AO34" s="128"/>
      <c r="AP34" s="128"/>
      <c r="AQ34" s="128"/>
      <c r="AR34" s="128"/>
      <c r="AS34" s="128"/>
      <c r="AT34" s="128"/>
      <c r="AU34" s="128"/>
      <c r="AV34" s="128"/>
      <c r="AW34" s="128"/>
      <c r="AX34" s="128"/>
      <c r="AY34" s="128"/>
      <c r="AZ34" s="128"/>
      <c r="BA34" s="128"/>
      <c r="BB34" s="128"/>
      <c r="BC34" s="128"/>
      <c r="BD34" s="128"/>
      <c r="BE34" s="128"/>
      <c r="BF34" s="128"/>
      <c r="BG34" s="128"/>
      <c r="BH34" s="128"/>
      <c r="BI34" s="128"/>
      <c r="BJ34" s="128"/>
      <c r="BK34" s="128"/>
      <c r="BL34" s="128"/>
      <c r="BM34" s="128"/>
      <c r="BN34" s="128"/>
      <c r="BO34" s="128"/>
      <c r="BP34" s="128"/>
      <c r="BQ34" s="128"/>
      <c r="BR34" s="128"/>
      <c r="BS34" s="128"/>
      <c r="BT34" s="128"/>
      <c r="BU34" s="128"/>
      <c r="BV34" s="128"/>
      <c r="BW34" s="128"/>
      <c r="BX34" s="128"/>
      <c r="BY34" s="128"/>
      <c r="BZ34" s="128"/>
      <c r="CA34" s="128"/>
      <c r="CB34" s="128"/>
      <c r="CC34" s="128"/>
      <c r="CD34" s="128"/>
      <c r="CE34" s="128"/>
      <c r="CF34" s="128"/>
      <c r="CG34" s="128"/>
      <c r="CH34" s="128"/>
      <c r="CI34" s="128"/>
      <c r="CJ34" s="128"/>
      <c r="CK34" s="128"/>
      <c r="CL34" s="128"/>
      <c r="CM34" s="128"/>
      <c r="CN34" s="128"/>
      <c r="CO34" s="128"/>
      <c r="CP34" s="128"/>
      <c r="CQ34" s="128"/>
      <c r="CR34" s="128"/>
      <c r="CS34" s="128"/>
      <c r="CT34" s="128"/>
      <c r="CU34" s="128"/>
      <c r="CV34" s="128"/>
      <c r="CW34" s="128"/>
      <c r="CX34" s="128"/>
      <c r="CY34" s="128"/>
      <c r="CZ34" s="128"/>
      <c r="DA34" s="128"/>
      <c r="DB34" s="128"/>
      <c r="DC34" s="128"/>
      <c r="DD34" s="128"/>
      <c r="DE34" s="128"/>
      <c r="DF34" s="128"/>
      <c r="DG34" s="128"/>
      <c r="DH34" s="128"/>
      <c r="DI34" s="128"/>
      <c r="DJ34" s="128"/>
      <c r="DK34" s="128"/>
      <c r="DL34" s="128"/>
      <c r="DM34" s="128"/>
      <c r="DN34" s="128"/>
      <c r="DO34" s="128"/>
      <c r="DP34" s="128"/>
      <c r="DQ34" s="128"/>
      <c r="DR34" s="128"/>
      <c r="DS34" s="128"/>
      <c r="DT34" s="128"/>
      <c r="DU34" s="128"/>
      <c r="DV34" s="128"/>
      <c r="DW34" s="128"/>
      <c r="DX34" s="128"/>
      <c r="DY34" s="128"/>
      <c r="DZ34" s="128"/>
      <c r="EA34" s="128"/>
      <c r="EB34" s="128"/>
      <c r="EC34" s="128"/>
      <c r="ED34" s="128"/>
      <c r="EE34" s="128"/>
      <c r="EF34" s="128"/>
      <c r="EG34" s="128"/>
      <c r="EH34" s="128"/>
      <c r="EI34" s="128"/>
      <c r="EJ34" s="128"/>
      <c r="EK34" s="128"/>
      <c r="EL34" s="128"/>
      <c r="EM34" s="128"/>
      <c r="EN34" s="128"/>
      <c r="EO34" s="128"/>
      <c r="EP34" s="128"/>
      <c r="EQ34" s="128"/>
      <c r="ER34" s="128"/>
      <c r="ES34" s="128"/>
      <c r="ET34" s="128"/>
      <c r="EU34" s="128"/>
      <c r="EV34" s="128"/>
      <c r="EW34" s="128"/>
      <c r="EX34" s="128"/>
      <c r="EY34" s="128"/>
      <c r="EZ34" s="128"/>
      <c r="FA34" s="128"/>
      <c r="FB34" s="128"/>
      <c r="FC34" s="128"/>
      <c r="FD34" s="128"/>
      <c r="FE34" s="128"/>
      <c r="FF34" s="128"/>
      <c r="FG34" s="128"/>
      <c r="FH34" s="128"/>
      <c r="FI34" s="128"/>
      <c r="FJ34" s="128"/>
      <c r="FK34" s="128"/>
      <c r="FL34" s="128"/>
      <c r="FM34" s="128"/>
      <c r="FN34" s="128"/>
      <c r="FO34" s="128"/>
      <c r="FP34" s="128"/>
      <c r="FQ34" s="128"/>
      <c r="FR34" s="128"/>
      <c r="FS34" s="128"/>
      <c r="FT34" s="128"/>
      <c r="FU34" s="128"/>
      <c r="FV34" s="128"/>
      <c r="FW34" s="128"/>
      <c r="FX34" s="128"/>
      <c r="FY34" s="128"/>
      <c r="FZ34" s="128"/>
      <c r="GA34" s="128"/>
      <c r="GB34" s="128"/>
      <c r="GC34" s="128"/>
      <c r="GD34" s="128"/>
      <c r="GE34" s="128"/>
      <c r="GF34" s="128"/>
      <c r="GG34" s="128"/>
      <c r="GH34" s="128"/>
      <c r="GI34" s="128"/>
      <c r="GJ34" s="128"/>
      <c r="GK34" s="128"/>
      <c r="GL34" s="128"/>
      <c r="GM34" s="128"/>
      <c r="GN34" s="128"/>
      <c r="GO34" s="128"/>
      <c r="GP34" s="128"/>
      <c r="GQ34" s="128"/>
      <c r="GR34" s="128"/>
      <c r="GS34" s="128"/>
      <c r="GT34" s="128"/>
      <c r="GU34" s="128"/>
      <c r="GV34" s="128"/>
      <c r="GW34" s="128"/>
      <c r="GX34" s="128"/>
      <c r="GY34" s="128"/>
      <c r="GZ34" s="128"/>
      <c r="HA34" s="128"/>
      <c r="HB34" s="128"/>
      <c r="HC34" s="128"/>
      <c r="HD34" s="128"/>
      <c r="HE34" s="128"/>
      <c r="HF34" s="128"/>
      <c r="HG34" s="128"/>
      <c r="HH34" s="128"/>
      <c r="HI34" s="128"/>
      <c r="HJ34" s="128"/>
      <c r="HK34" s="128"/>
      <c r="HL34" s="128"/>
      <c r="HM34" s="128"/>
      <c r="HN34" s="128"/>
      <c r="HO34" s="128"/>
      <c r="HP34" s="128"/>
      <c r="HQ34" s="128"/>
      <c r="HR34" s="128"/>
      <c r="HS34" s="128"/>
      <c r="HT34" s="128"/>
      <c r="HU34" s="128"/>
      <c r="HV34" s="128"/>
      <c r="HW34" s="128"/>
      <c r="HX34" s="128"/>
      <c r="HY34" s="128"/>
      <c r="HZ34" s="128"/>
      <c r="IA34" s="128"/>
      <c r="IB34" s="128"/>
      <c r="IC34" s="128"/>
      <c r="ID34" s="128"/>
      <c r="IE34" s="128"/>
      <c r="IF34" s="128"/>
      <c r="IG34" s="128"/>
      <c r="IH34" s="128"/>
      <c r="II34" s="128"/>
      <c r="IJ34" s="128"/>
      <c r="IK34" s="128"/>
      <c r="IL34" s="128"/>
      <c r="IM34" s="128"/>
      <c r="IN34" s="128"/>
      <c r="IO34" s="128"/>
      <c r="IP34" s="128"/>
      <c r="IQ34" s="128"/>
      <c r="IR34" s="128"/>
      <c r="IS34" s="128"/>
      <c r="IT34" s="128"/>
      <c r="IU34" s="128"/>
      <c r="IV34" s="128"/>
    </row>
    <row r="35" spans="1:256" s="113" customFormat="1" x14ac:dyDescent="0.25">
      <c r="A35" s="118" t="str">
        <f t="shared" si="0"/>
        <v>14ALM SHT</v>
      </c>
      <c r="B35" s="119"/>
      <c r="C35" s="120"/>
      <c r="D35" s="122" t="s">
        <v>825</v>
      </c>
      <c r="E35" s="122" t="s">
        <v>819</v>
      </c>
      <c r="F35" s="123" t="s">
        <v>844</v>
      </c>
      <c r="G35" s="123" t="s">
        <v>844</v>
      </c>
      <c r="H35" s="124">
        <v>8.0009999999999998E-2</v>
      </c>
      <c r="I35" s="123" t="s">
        <v>716</v>
      </c>
      <c r="J35" s="123" t="s">
        <v>705</v>
      </c>
      <c r="K35" s="123" t="s">
        <v>845</v>
      </c>
      <c r="L35" s="122" t="s">
        <v>846</v>
      </c>
      <c r="M35" s="123" t="s">
        <v>136</v>
      </c>
      <c r="N35" s="118" t="s">
        <v>830</v>
      </c>
      <c r="O35" s="123" t="s">
        <v>831</v>
      </c>
      <c r="P35" s="123" t="s">
        <v>711</v>
      </c>
      <c r="Q35" s="123" t="s">
        <v>832</v>
      </c>
      <c r="R35" s="123" t="s">
        <v>847</v>
      </c>
      <c r="S35" s="123" t="s">
        <v>713</v>
      </c>
      <c r="T35" s="133" t="s">
        <v>713</v>
      </c>
      <c r="U35" s="127"/>
      <c r="V35" s="128"/>
      <c r="W35" s="128"/>
      <c r="X35" s="128"/>
      <c r="Y35" s="128"/>
      <c r="Z35" s="128"/>
      <c r="AA35" s="128"/>
      <c r="AB35" s="128"/>
      <c r="AC35" s="128"/>
      <c r="AD35" s="128"/>
      <c r="AE35" s="128"/>
      <c r="AF35" s="128"/>
      <c r="AG35" s="128"/>
      <c r="AH35" s="128"/>
      <c r="AI35" s="128"/>
      <c r="AJ35" s="128"/>
      <c r="AK35" s="128"/>
      <c r="AL35" s="128"/>
      <c r="AM35" s="128"/>
      <c r="AN35" s="128"/>
      <c r="AO35" s="128"/>
      <c r="AP35" s="128"/>
      <c r="AQ35" s="128"/>
      <c r="AR35" s="128"/>
      <c r="AS35" s="128"/>
      <c r="AT35" s="128"/>
      <c r="AU35" s="128"/>
      <c r="AV35" s="128"/>
      <c r="AW35" s="128"/>
      <c r="AX35" s="128"/>
      <c r="AY35" s="128"/>
      <c r="AZ35" s="128"/>
      <c r="BA35" s="128"/>
      <c r="BB35" s="128"/>
      <c r="BC35" s="128"/>
      <c r="BD35" s="128"/>
      <c r="BE35" s="128"/>
      <c r="BF35" s="128"/>
      <c r="BG35" s="128"/>
      <c r="BH35" s="128"/>
      <c r="BI35" s="128"/>
      <c r="BJ35" s="128"/>
      <c r="BK35" s="128"/>
      <c r="BL35" s="128"/>
      <c r="BM35" s="128"/>
      <c r="BN35" s="128"/>
      <c r="BO35" s="128"/>
      <c r="BP35" s="128"/>
      <c r="BQ35" s="128"/>
      <c r="BR35" s="128"/>
      <c r="BS35" s="128"/>
      <c r="BT35" s="128"/>
      <c r="BU35" s="128"/>
      <c r="BV35" s="128"/>
      <c r="BW35" s="128"/>
      <c r="BX35" s="128"/>
      <c r="BY35" s="128"/>
      <c r="BZ35" s="128"/>
      <c r="CA35" s="128"/>
      <c r="CB35" s="128"/>
      <c r="CC35" s="128"/>
      <c r="CD35" s="128"/>
      <c r="CE35" s="128"/>
      <c r="CF35" s="128"/>
      <c r="CG35" s="128"/>
      <c r="CH35" s="128"/>
      <c r="CI35" s="128"/>
      <c r="CJ35" s="128"/>
      <c r="CK35" s="128"/>
      <c r="CL35" s="128"/>
      <c r="CM35" s="128"/>
      <c r="CN35" s="128"/>
      <c r="CO35" s="128"/>
      <c r="CP35" s="128"/>
      <c r="CQ35" s="128"/>
      <c r="CR35" s="128"/>
      <c r="CS35" s="128"/>
      <c r="CT35" s="128"/>
      <c r="CU35" s="128"/>
      <c r="CV35" s="128"/>
      <c r="CW35" s="128"/>
      <c r="CX35" s="128"/>
      <c r="CY35" s="128"/>
      <c r="CZ35" s="128"/>
      <c r="DA35" s="128"/>
      <c r="DB35" s="128"/>
      <c r="DC35" s="128"/>
      <c r="DD35" s="128"/>
      <c r="DE35" s="128"/>
      <c r="DF35" s="128"/>
      <c r="DG35" s="128"/>
      <c r="DH35" s="128"/>
      <c r="DI35" s="128"/>
      <c r="DJ35" s="128"/>
      <c r="DK35" s="128"/>
      <c r="DL35" s="128"/>
      <c r="DM35" s="128"/>
      <c r="DN35" s="128"/>
      <c r="DO35" s="128"/>
      <c r="DP35" s="128"/>
      <c r="DQ35" s="128"/>
      <c r="DR35" s="128"/>
      <c r="DS35" s="128"/>
      <c r="DT35" s="128"/>
      <c r="DU35" s="128"/>
      <c r="DV35" s="128"/>
      <c r="DW35" s="128"/>
      <c r="DX35" s="128"/>
      <c r="DY35" s="128"/>
      <c r="DZ35" s="128"/>
      <c r="EA35" s="128"/>
      <c r="EB35" s="128"/>
      <c r="EC35" s="128"/>
      <c r="ED35" s="128"/>
      <c r="EE35" s="128"/>
      <c r="EF35" s="128"/>
      <c r="EG35" s="128"/>
      <c r="EH35" s="128"/>
      <c r="EI35" s="128"/>
      <c r="EJ35" s="128"/>
      <c r="EK35" s="128"/>
      <c r="EL35" s="128"/>
      <c r="EM35" s="128"/>
      <c r="EN35" s="128"/>
      <c r="EO35" s="128"/>
      <c r="EP35" s="128"/>
      <c r="EQ35" s="128"/>
      <c r="ER35" s="128"/>
      <c r="ES35" s="128"/>
      <c r="ET35" s="128"/>
      <c r="EU35" s="128"/>
      <c r="EV35" s="128"/>
      <c r="EW35" s="128"/>
      <c r="EX35" s="128"/>
      <c r="EY35" s="128"/>
      <c r="EZ35" s="128"/>
      <c r="FA35" s="128"/>
      <c r="FB35" s="128"/>
      <c r="FC35" s="128"/>
      <c r="FD35" s="128"/>
      <c r="FE35" s="128"/>
      <c r="FF35" s="128"/>
      <c r="FG35" s="128"/>
      <c r="FH35" s="128"/>
      <c r="FI35" s="128"/>
      <c r="FJ35" s="128"/>
      <c r="FK35" s="128"/>
      <c r="FL35" s="128"/>
      <c r="FM35" s="128"/>
      <c r="FN35" s="128"/>
      <c r="FO35" s="128"/>
      <c r="FP35" s="128"/>
      <c r="FQ35" s="128"/>
      <c r="FR35" s="128"/>
      <c r="FS35" s="128"/>
      <c r="FT35" s="128"/>
      <c r="FU35" s="128"/>
      <c r="FV35" s="128"/>
      <c r="FW35" s="128"/>
      <c r="FX35" s="128"/>
      <c r="FY35" s="128"/>
      <c r="FZ35" s="128"/>
      <c r="GA35" s="128"/>
      <c r="GB35" s="128"/>
      <c r="GC35" s="128"/>
      <c r="GD35" s="128"/>
      <c r="GE35" s="128"/>
      <c r="GF35" s="128"/>
      <c r="GG35" s="128"/>
      <c r="GH35" s="128"/>
      <c r="GI35" s="128"/>
      <c r="GJ35" s="128"/>
      <c r="GK35" s="128"/>
      <c r="GL35" s="128"/>
      <c r="GM35" s="128"/>
      <c r="GN35" s="128"/>
      <c r="GO35" s="128"/>
      <c r="GP35" s="128"/>
      <c r="GQ35" s="128"/>
      <c r="GR35" s="128"/>
      <c r="GS35" s="128"/>
      <c r="GT35" s="128"/>
      <c r="GU35" s="128"/>
      <c r="GV35" s="128"/>
      <c r="GW35" s="128"/>
      <c r="GX35" s="128"/>
      <c r="GY35" s="128"/>
      <c r="GZ35" s="128"/>
      <c r="HA35" s="128"/>
      <c r="HB35" s="128"/>
      <c r="HC35" s="128"/>
      <c r="HD35" s="128"/>
      <c r="HE35" s="128"/>
      <c r="HF35" s="128"/>
      <c r="HG35" s="128"/>
      <c r="HH35" s="128"/>
      <c r="HI35" s="128"/>
      <c r="HJ35" s="128"/>
      <c r="HK35" s="128"/>
      <c r="HL35" s="128"/>
      <c r="HM35" s="128"/>
      <c r="HN35" s="128"/>
      <c r="HO35" s="128"/>
      <c r="HP35" s="128"/>
      <c r="HQ35" s="128"/>
      <c r="HR35" s="128"/>
      <c r="HS35" s="128"/>
      <c r="HT35" s="128"/>
      <c r="HU35" s="128"/>
      <c r="HV35" s="128"/>
      <c r="HW35" s="128"/>
      <c r="HX35" s="128"/>
      <c r="HY35" s="128"/>
      <c r="HZ35" s="128"/>
      <c r="IA35" s="128"/>
      <c r="IB35" s="128"/>
      <c r="IC35" s="128"/>
      <c r="ID35" s="128"/>
      <c r="IE35" s="128"/>
      <c r="IF35" s="128"/>
      <c r="IG35" s="128"/>
      <c r="IH35" s="128"/>
      <c r="II35" s="128"/>
      <c r="IJ35" s="128"/>
      <c r="IK35" s="128"/>
      <c r="IL35" s="128"/>
      <c r="IM35" s="128"/>
      <c r="IN35" s="128"/>
      <c r="IO35" s="128"/>
      <c r="IP35" s="128"/>
      <c r="IQ35" s="128"/>
      <c r="IR35" s="128"/>
      <c r="IS35" s="128"/>
      <c r="IT35" s="128"/>
      <c r="IU35" s="128"/>
      <c r="IV35" s="128"/>
    </row>
    <row r="36" spans="1:256" s="113" customFormat="1" x14ac:dyDescent="0.25">
      <c r="A36" s="118" t="str">
        <f t="shared" si="0"/>
        <v>10ALM SHT</v>
      </c>
      <c r="B36" s="119"/>
      <c r="C36" s="120"/>
      <c r="D36" s="122" t="s">
        <v>825</v>
      </c>
      <c r="E36" s="122" t="s">
        <v>801</v>
      </c>
      <c r="F36" s="123" t="s">
        <v>714</v>
      </c>
      <c r="G36" s="123" t="s">
        <v>714</v>
      </c>
      <c r="H36" s="124">
        <v>0.12501000000000001</v>
      </c>
      <c r="I36" s="123" t="s">
        <v>716</v>
      </c>
      <c r="J36" s="123" t="s">
        <v>705</v>
      </c>
      <c r="K36" s="123" t="s">
        <v>848</v>
      </c>
      <c r="L36" s="122" t="s">
        <v>849</v>
      </c>
      <c r="M36" s="123" t="s">
        <v>136</v>
      </c>
      <c r="N36" s="118" t="s">
        <v>830</v>
      </c>
      <c r="O36" s="123" t="s">
        <v>831</v>
      </c>
      <c r="P36" s="123" t="s">
        <v>711</v>
      </c>
      <c r="Q36" s="123" t="s">
        <v>832</v>
      </c>
      <c r="R36" s="123" t="s">
        <v>850</v>
      </c>
      <c r="S36" s="123" t="s">
        <v>713</v>
      </c>
      <c r="T36" s="133" t="s">
        <v>713</v>
      </c>
      <c r="U36" s="127"/>
      <c r="V36" s="128"/>
      <c r="W36" s="128"/>
      <c r="X36" s="128"/>
      <c r="Y36" s="128"/>
      <c r="Z36" s="128"/>
      <c r="AA36" s="128"/>
      <c r="AB36" s="128"/>
      <c r="AC36" s="128"/>
      <c r="AD36" s="128"/>
      <c r="AE36" s="128"/>
      <c r="AF36" s="128"/>
      <c r="AG36" s="128"/>
      <c r="AH36" s="128"/>
      <c r="AI36" s="128"/>
      <c r="AJ36" s="128"/>
      <c r="AK36" s="128"/>
      <c r="AL36" s="128"/>
      <c r="AM36" s="128"/>
      <c r="AN36" s="128"/>
      <c r="AO36" s="128"/>
      <c r="AP36" s="128"/>
      <c r="AQ36" s="128"/>
      <c r="AR36" s="128"/>
      <c r="AS36" s="128"/>
      <c r="AT36" s="128"/>
      <c r="AU36" s="128"/>
      <c r="AV36" s="128"/>
      <c r="AW36" s="128"/>
      <c r="AX36" s="128"/>
      <c r="AY36" s="128"/>
      <c r="AZ36" s="128"/>
      <c r="BA36" s="128"/>
      <c r="BB36" s="128"/>
      <c r="BC36" s="128"/>
      <c r="BD36" s="128"/>
      <c r="BE36" s="128"/>
      <c r="BF36" s="128"/>
      <c r="BG36" s="128"/>
      <c r="BH36" s="128"/>
      <c r="BI36" s="128"/>
      <c r="BJ36" s="128"/>
      <c r="BK36" s="128"/>
      <c r="BL36" s="128"/>
      <c r="BM36" s="128"/>
      <c r="BN36" s="128"/>
      <c r="BO36" s="128"/>
      <c r="BP36" s="128"/>
      <c r="BQ36" s="128"/>
      <c r="BR36" s="128"/>
      <c r="BS36" s="128"/>
      <c r="BT36" s="128"/>
      <c r="BU36" s="128"/>
      <c r="BV36" s="128"/>
      <c r="BW36" s="128"/>
      <c r="BX36" s="128"/>
      <c r="BY36" s="128"/>
      <c r="BZ36" s="128"/>
      <c r="CA36" s="128"/>
      <c r="CB36" s="128"/>
      <c r="CC36" s="128"/>
      <c r="CD36" s="128"/>
      <c r="CE36" s="128"/>
      <c r="CF36" s="128"/>
      <c r="CG36" s="128"/>
      <c r="CH36" s="128"/>
      <c r="CI36" s="128"/>
      <c r="CJ36" s="128"/>
      <c r="CK36" s="128"/>
      <c r="CL36" s="128"/>
      <c r="CM36" s="128"/>
      <c r="CN36" s="128"/>
      <c r="CO36" s="128"/>
      <c r="CP36" s="128"/>
      <c r="CQ36" s="128"/>
      <c r="CR36" s="128"/>
      <c r="CS36" s="128"/>
      <c r="CT36" s="128"/>
      <c r="CU36" s="128"/>
      <c r="CV36" s="128"/>
      <c r="CW36" s="128"/>
      <c r="CX36" s="128"/>
      <c r="CY36" s="128"/>
      <c r="CZ36" s="128"/>
      <c r="DA36" s="128"/>
      <c r="DB36" s="128"/>
      <c r="DC36" s="128"/>
      <c r="DD36" s="128"/>
      <c r="DE36" s="128"/>
      <c r="DF36" s="128"/>
      <c r="DG36" s="128"/>
      <c r="DH36" s="128"/>
      <c r="DI36" s="128"/>
      <c r="DJ36" s="128"/>
      <c r="DK36" s="128"/>
      <c r="DL36" s="128"/>
      <c r="DM36" s="128"/>
      <c r="DN36" s="128"/>
      <c r="DO36" s="128"/>
      <c r="DP36" s="128"/>
      <c r="DQ36" s="128"/>
      <c r="DR36" s="128"/>
      <c r="DS36" s="128"/>
      <c r="DT36" s="128"/>
      <c r="DU36" s="128"/>
      <c r="DV36" s="128"/>
      <c r="DW36" s="128"/>
      <c r="DX36" s="128"/>
      <c r="DY36" s="128"/>
      <c r="DZ36" s="128"/>
      <c r="EA36" s="128"/>
      <c r="EB36" s="128"/>
      <c r="EC36" s="128"/>
      <c r="ED36" s="128"/>
      <c r="EE36" s="128"/>
      <c r="EF36" s="128"/>
      <c r="EG36" s="128"/>
      <c r="EH36" s="128"/>
      <c r="EI36" s="128"/>
      <c r="EJ36" s="128"/>
      <c r="EK36" s="128"/>
      <c r="EL36" s="128"/>
      <c r="EM36" s="128"/>
      <c r="EN36" s="128"/>
      <c r="EO36" s="128"/>
      <c r="EP36" s="128"/>
      <c r="EQ36" s="128"/>
      <c r="ER36" s="128"/>
      <c r="ES36" s="128"/>
      <c r="ET36" s="128"/>
      <c r="EU36" s="128"/>
      <c r="EV36" s="128"/>
      <c r="EW36" s="128"/>
      <c r="EX36" s="128"/>
      <c r="EY36" s="128"/>
      <c r="EZ36" s="128"/>
      <c r="FA36" s="128"/>
      <c r="FB36" s="128"/>
      <c r="FC36" s="128"/>
      <c r="FD36" s="128"/>
      <c r="FE36" s="128"/>
      <c r="FF36" s="128"/>
      <c r="FG36" s="128"/>
      <c r="FH36" s="128"/>
      <c r="FI36" s="128"/>
      <c r="FJ36" s="128"/>
      <c r="FK36" s="128"/>
      <c r="FL36" s="128"/>
      <c r="FM36" s="128"/>
      <c r="FN36" s="128"/>
      <c r="FO36" s="128"/>
      <c r="FP36" s="128"/>
      <c r="FQ36" s="128"/>
      <c r="FR36" s="128"/>
      <c r="FS36" s="128"/>
      <c r="FT36" s="128"/>
      <c r="FU36" s="128"/>
      <c r="FV36" s="128"/>
      <c r="FW36" s="128"/>
      <c r="FX36" s="128"/>
      <c r="FY36" s="128"/>
      <c r="FZ36" s="128"/>
      <c r="GA36" s="128"/>
      <c r="GB36" s="128"/>
      <c r="GC36" s="128"/>
      <c r="GD36" s="128"/>
      <c r="GE36" s="128"/>
      <c r="GF36" s="128"/>
      <c r="GG36" s="128"/>
      <c r="GH36" s="128"/>
      <c r="GI36" s="128"/>
      <c r="GJ36" s="128"/>
      <c r="GK36" s="128"/>
      <c r="GL36" s="128"/>
      <c r="GM36" s="128"/>
      <c r="GN36" s="128"/>
      <c r="GO36" s="128"/>
      <c r="GP36" s="128"/>
      <c r="GQ36" s="128"/>
      <c r="GR36" s="128"/>
      <c r="GS36" s="128"/>
      <c r="GT36" s="128"/>
      <c r="GU36" s="128"/>
      <c r="GV36" s="128"/>
      <c r="GW36" s="128"/>
      <c r="GX36" s="128"/>
      <c r="GY36" s="128"/>
      <c r="GZ36" s="128"/>
      <c r="HA36" s="128"/>
      <c r="HB36" s="128"/>
      <c r="HC36" s="128"/>
      <c r="HD36" s="128"/>
      <c r="HE36" s="128"/>
      <c r="HF36" s="128"/>
      <c r="HG36" s="128"/>
      <c r="HH36" s="128"/>
      <c r="HI36" s="128"/>
      <c r="HJ36" s="128"/>
      <c r="HK36" s="128"/>
      <c r="HL36" s="128"/>
      <c r="HM36" s="128"/>
      <c r="HN36" s="128"/>
      <c r="HO36" s="128"/>
      <c r="HP36" s="128"/>
      <c r="HQ36" s="128"/>
      <c r="HR36" s="128"/>
      <c r="HS36" s="128"/>
      <c r="HT36" s="128"/>
      <c r="HU36" s="128"/>
      <c r="HV36" s="128"/>
      <c r="HW36" s="128"/>
      <c r="HX36" s="128"/>
      <c r="HY36" s="128"/>
      <c r="HZ36" s="128"/>
      <c r="IA36" s="128"/>
      <c r="IB36" s="128"/>
      <c r="IC36" s="128"/>
      <c r="ID36" s="128"/>
      <c r="IE36" s="128"/>
      <c r="IF36" s="128"/>
      <c r="IG36" s="128"/>
      <c r="IH36" s="128"/>
      <c r="II36" s="128"/>
      <c r="IJ36" s="128"/>
      <c r="IK36" s="128"/>
      <c r="IL36" s="128"/>
      <c r="IM36" s="128"/>
      <c r="IN36" s="128"/>
      <c r="IO36" s="128"/>
      <c r="IP36" s="128"/>
      <c r="IQ36" s="128"/>
      <c r="IR36" s="128"/>
      <c r="IS36" s="128"/>
      <c r="IT36" s="128"/>
      <c r="IU36" s="128"/>
      <c r="IV36" s="128"/>
    </row>
    <row r="37" spans="1:256" s="113" customFormat="1" x14ac:dyDescent="0.25">
      <c r="A37" s="118" t="str">
        <f t="shared" si="0"/>
        <v>8ALM SHT</v>
      </c>
      <c r="B37" s="119"/>
      <c r="C37" s="120"/>
      <c r="D37" s="122" t="s">
        <v>825</v>
      </c>
      <c r="E37" s="122" t="s">
        <v>851</v>
      </c>
      <c r="F37" s="123" t="s">
        <v>852</v>
      </c>
      <c r="G37" s="123" t="s">
        <v>852</v>
      </c>
      <c r="H37" s="124">
        <v>0.19001000000000001</v>
      </c>
      <c r="I37" s="123" t="s">
        <v>716</v>
      </c>
      <c r="J37" s="123" t="s">
        <v>705</v>
      </c>
      <c r="K37" s="123" t="s">
        <v>853</v>
      </c>
      <c r="L37" s="122" t="s">
        <v>854</v>
      </c>
      <c r="M37" s="123" t="s">
        <v>136</v>
      </c>
      <c r="N37" s="118" t="s">
        <v>830</v>
      </c>
      <c r="O37" s="123" t="s">
        <v>831</v>
      </c>
      <c r="P37" s="123" t="s">
        <v>711</v>
      </c>
      <c r="Q37" s="123" t="s">
        <v>832</v>
      </c>
      <c r="R37" s="123" t="s">
        <v>855</v>
      </c>
      <c r="S37" s="123" t="s">
        <v>713</v>
      </c>
      <c r="T37" s="133" t="s">
        <v>713</v>
      </c>
      <c r="U37" s="127"/>
      <c r="V37" s="128"/>
      <c r="W37" s="128"/>
      <c r="X37" s="128"/>
      <c r="Y37" s="128"/>
      <c r="Z37" s="128"/>
      <c r="AA37" s="128"/>
      <c r="AB37" s="128"/>
      <c r="AC37" s="128"/>
      <c r="AD37" s="128"/>
      <c r="AE37" s="128"/>
      <c r="AF37" s="128"/>
      <c r="AG37" s="128"/>
      <c r="AH37" s="128"/>
      <c r="AI37" s="128"/>
      <c r="AJ37" s="128"/>
      <c r="AK37" s="128"/>
      <c r="AL37" s="128"/>
      <c r="AM37" s="128"/>
      <c r="AN37" s="128"/>
      <c r="AO37" s="128"/>
      <c r="AP37" s="128"/>
      <c r="AQ37" s="128"/>
      <c r="AR37" s="128"/>
      <c r="AS37" s="128"/>
      <c r="AT37" s="128"/>
      <c r="AU37" s="128"/>
      <c r="AV37" s="128"/>
      <c r="AW37" s="128"/>
      <c r="AX37" s="128"/>
      <c r="AY37" s="128"/>
      <c r="AZ37" s="128"/>
      <c r="BA37" s="128"/>
      <c r="BB37" s="128"/>
      <c r="BC37" s="128"/>
      <c r="BD37" s="128"/>
      <c r="BE37" s="128"/>
      <c r="BF37" s="128"/>
      <c r="BG37" s="128"/>
      <c r="BH37" s="128"/>
      <c r="BI37" s="128"/>
      <c r="BJ37" s="128"/>
      <c r="BK37" s="128"/>
      <c r="BL37" s="128"/>
      <c r="BM37" s="128"/>
      <c r="BN37" s="128"/>
      <c r="BO37" s="128"/>
      <c r="BP37" s="128"/>
      <c r="BQ37" s="128"/>
      <c r="BR37" s="128"/>
      <c r="BS37" s="128"/>
      <c r="BT37" s="128"/>
      <c r="BU37" s="128"/>
      <c r="BV37" s="128"/>
      <c r="BW37" s="128"/>
      <c r="BX37" s="128"/>
      <c r="BY37" s="128"/>
      <c r="BZ37" s="128"/>
      <c r="CA37" s="128"/>
      <c r="CB37" s="128"/>
      <c r="CC37" s="128"/>
      <c r="CD37" s="128"/>
      <c r="CE37" s="128"/>
      <c r="CF37" s="128"/>
      <c r="CG37" s="128"/>
      <c r="CH37" s="128"/>
      <c r="CI37" s="128"/>
      <c r="CJ37" s="128"/>
      <c r="CK37" s="128"/>
      <c r="CL37" s="128"/>
      <c r="CM37" s="128"/>
      <c r="CN37" s="128"/>
      <c r="CO37" s="128"/>
      <c r="CP37" s="128"/>
      <c r="CQ37" s="128"/>
      <c r="CR37" s="128"/>
      <c r="CS37" s="128"/>
      <c r="CT37" s="128"/>
      <c r="CU37" s="128"/>
      <c r="CV37" s="128"/>
      <c r="CW37" s="128"/>
      <c r="CX37" s="128"/>
      <c r="CY37" s="128"/>
      <c r="CZ37" s="128"/>
      <c r="DA37" s="128"/>
      <c r="DB37" s="128"/>
      <c r="DC37" s="128"/>
      <c r="DD37" s="128"/>
      <c r="DE37" s="128"/>
      <c r="DF37" s="128"/>
      <c r="DG37" s="128"/>
      <c r="DH37" s="128"/>
      <c r="DI37" s="128"/>
      <c r="DJ37" s="128"/>
      <c r="DK37" s="128"/>
      <c r="DL37" s="128"/>
      <c r="DM37" s="128"/>
      <c r="DN37" s="128"/>
      <c r="DO37" s="128"/>
      <c r="DP37" s="128"/>
      <c r="DQ37" s="128"/>
      <c r="DR37" s="128"/>
      <c r="DS37" s="128"/>
      <c r="DT37" s="128"/>
      <c r="DU37" s="128"/>
      <c r="DV37" s="128"/>
      <c r="DW37" s="128"/>
      <c r="DX37" s="128"/>
      <c r="DY37" s="128"/>
      <c r="DZ37" s="128"/>
      <c r="EA37" s="128"/>
      <c r="EB37" s="128"/>
      <c r="EC37" s="128"/>
      <c r="ED37" s="128"/>
      <c r="EE37" s="128"/>
      <c r="EF37" s="128"/>
      <c r="EG37" s="128"/>
      <c r="EH37" s="128"/>
      <c r="EI37" s="128"/>
      <c r="EJ37" s="128"/>
      <c r="EK37" s="128"/>
      <c r="EL37" s="128"/>
      <c r="EM37" s="128"/>
      <c r="EN37" s="128"/>
      <c r="EO37" s="128"/>
      <c r="EP37" s="128"/>
      <c r="EQ37" s="128"/>
      <c r="ER37" s="128"/>
      <c r="ES37" s="128"/>
      <c r="ET37" s="128"/>
      <c r="EU37" s="128"/>
      <c r="EV37" s="128"/>
      <c r="EW37" s="128"/>
      <c r="EX37" s="128"/>
      <c r="EY37" s="128"/>
      <c r="EZ37" s="128"/>
      <c r="FA37" s="128"/>
      <c r="FB37" s="128"/>
      <c r="FC37" s="128"/>
      <c r="FD37" s="128"/>
      <c r="FE37" s="128"/>
      <c r="FF37" s="128"/>
      <c r="FG37" s="128"/>
      <c r="FH37" s="128"/>
      <c r="FI37" s="128"/>
      <c r="FJ37" s="128"/>
      <c r="FK37" s="128"/>
      <c r="FL37" s="128"/>
      <c r="FM37" s="128"/>
      <c r="FN37" s="128"/>
      <c r="FO37" s="128"/>
      <c r="FP37" s="128"/>
      <c r="FQ37" s="128"/>
      <c r="FR37" s="128"/>
      <c r="FS37" s="128"/>
      <c r="FT37" s="128"/>
      <c r="FU37" s="128"/>
      <c r="FV37" s="128"/>
      <c r="FW37" s="128"/>
      <c r="FX37" s="128"/>
      <c r="FY37" s="128"/>
      <c r="FZ37" s="128"/>
      <c r="GA37" s="128"/>
      <c r="GB37" s="128"/>
      <c r="GC37" s="128"/>
      <c r="GD37" s="128"/>
      <c r="GE37" s="128"/>
      <c r="GF37" s="128"/>
      <c r="GG37" s="128"/>
      <c r="GH37" s="128"/>
      <c r="GI37" s="128"/>
      <c r="GJ37" s="128"/>
      <c r="GK37" s="128"/>
      <c r="GL37" s="128"/>
      <c r="GM37" s="128"/>
      <c r="GN37" s="128"/>
      <c r="GO37" s="128"/>
      <c r="GP37" s="128"/>
      <c r="GQ37" s="128"/>
      <c r="GR37" s="128"/>
      <c r="GS37" s="128"/>
      <c r="GT37" s="128"/>
      <c r="GU37" s="128"/>
      <c r="GV37" s="128"/>
      <c r="GW37" s="128"/>
      <c r="GX37" s="128"/>
      <c r="GY37" s="128"/>
      <c r="GZ37" s="128"/>
      <c r="HA37" s="128"/>
      <c r="HB37" s="128"/>
      <c r="HC37" s="128"/>
      <c r="HD37" s="128"/>
      <c r="HE37" s="128"/>
      <c r="HF37" s="128"/>
      <c r="HG37" s="128"/>
      <c r="HH37" s="128"/>
      <c r="HI37" s="128"/>
      <c r="HJ37" s="128"/>
      <c r="HK37" s="128"/>
      <c r="HL37" s="128"/>
      <c r="HM37" s="128"/>
      <c r="HN37" s="128"/>
      <c r="HO37" s="128"/>
      <c r="HP37" s="128"/>
      <c r="HQ37" s="128"/>
      <c r="HR37" s="128"/>
      <c r="HS37" s="128"/>
      <c r="HT37" s="128"/>
      <c r="HU37" s="128"/>
      <c r="HV37" s="128"/>
      <c r="HW37" s="128"/>
      <c r="HX37" s="128"/>
      <c r="HY37" s="128"/>
      <c r="HZ37" s="128"/>
      <c r="IA37" s="128"/>
      <c r="IB37" s="128"/>
      <c r="IC37" s="128"/>
      <c r="ID37" s="128"/>
      <c r="IE37" s="128"/>
      <c r="IF37" s="128"/>
      <c r="IG37" s="128"/>
      <c r="IH37" s="128"/>
      <c r="II37" s="128"/>
      <c r="IJ37" s="128"/>
      <c r="IK37" s="128"/>
      <c r="IL37" s="128"/>
      <c r="IM37" s="128"/>
      <c r="IN37" s="128"/>
      <c r="IO37" s="128"/>
      <c r="IP37" s="128"/>
      <c r="IQ37" s="128"/>
      <c r="IR37" s="128"/>
      <c r="IS37" s="128"/>
      <c r="IT37" s="128"/>
      <c r="IU37" s="128"/>
      <c r="IV37" s="128"/>
    </row>
    <row r="38" spans="1:256" s="113" customFormat="1" x14ac:dyDescent="0.25">
      <c r="A38" s="118" t="str">
        <f t="shared" si="0"/>
        <v>8SST304</v>
      </c>
      <c r="B38" s="119"/>
      <c r="C38" s="120"/>
      <c r="D38" s="122" t="s">
        <v>856</v>
      </c>
      <c r="E38" s="122" t="s">
        <v>851</v>
      </c>
      <c r="F38" s="123" t="s">
        <v>857</v>
      </c>
      <c r="G38" s="123" t="s">
        <v>857</v>
      </c>
      <c r="H38" s="124">
        <v>0.16500999999999999</v>
      </c>
      <c r="I38" s="123" t="s">
        <v>713</v>
      </c>
      <c r="J38" s="123" t="s">
        <v>713</v>
      </c>
      <c r="K38" s="118" t="s">
        <v>858</v>
      </c>
      <c r="L38" s="122" t="s">
        <v>859</v>
      </c>
      <c r="M38" s="123" t="s">
        <v>860</v>
      </c>
      <c r="N38" s="129" t="s">
        <v>861</v>
      </c>
      <c r="O38" s="123" t="s">
        <v>710</v>
      </c>
      <c r="P38" s="123" t="s">
        <v>711</v>
      </c>
      <c r="Q38" s="123" t="s">
        <v>862</v>
      </c>
      <c r="R38" s="118" t="s">
        <v>863</v>
      </c>
      <c r="S38" s="118" t="s">
        <v>713</v>
      </c>
      <c r="T38" s="126" t="s">
        <v>713</v>
      </c>
      <c r="U38" s="127"/>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c r="AX38" s="128"/>
      <c r="AY38" s="128"/>
      <c r="AZ38" s="128"/>
      <c r="BA38" s="128"/>
      <c r="BB38" s="128"/>
      <c r="BC38" s="128"/>
      <c r="BD38" s="128"/>
      <c r="BE38" s="128"/>
      <c r="BF38" s="128"/>
      <c r="BG38" s="128"/>
      <c r="BH38" s="128"/>
      <c r="BI38" s="128"/>
      <c r="BJ38" s="128"/>
      <c r="BK38" s="128"/>
      <c r="BL38" s="128"/>
      <c r="BM38" s="128"/>
      <c r="BN38" s="128"/>
      <c r="BO38" s="128"/>
      <c r="BP38" s="128"/>
      <c r="BQ38" s="128"/>
      <c r="BR38" s="128"/>
      <c r="BS38" s="128"/>
      <c r="BT38" s="128"/>
      <c r="BU38" s="128"/>
      <c r="BV38" s="128"/>
      <c r="BW38" s="128"/>
      <c r="BX38" s="128"/>
      <c r="BY38" s="128"/>
      <c r="BZ38" s="128"/>
      <c r="CA38" s="128"/>
      <c r="CB38" s="128"/>
      <c r="CC38" s="128"/>
      <c r="CD38" s="128"/>
      <c r="CE38" s="128"/>
      <c r="CF38" s="128"/>
      <c r="CG38" s="128"/>
      <c r="CH38" s="128"/>
      <c r="CI38" s="128"/>
      <c r="CJ38" s="128"/>
      <c r="CK38" s="128"/>
      <c r="CL38" s="128"/>
      <c r="CM38" s="128"/>
      <c r="CN38" s="128"/>
      <c r="CO38" s="128"/>
      <c r="CP38" s="128"/>
      <c r="CQ38" s="128"/>
      <c r="CR38" s="128"/>
      <c r="CS38" s="128"/>
      <c r="CT38" s="128"/>
      <c r="CU38" s="128"/>
      <c r="CV38" s="128"/>
      <c r="CW38" s="128"/>
      <c r="CX38" s="128"/>
      <c r="CY38" s="128"/>
      <c r="CZ38" s="128"/>
      <c r="DA38" s="128"/>
      <c r="DB38" s="128"/>
      <c r="DC38" s="128"/>
      <c r="DD38" s="128"/>
      <c r="DE38" s="128"/>
      <c r="DF38" s="128"/>
      <c r="DG38" s="128"/>
      <c r="DH38" s="128"/>
      <c r="DI38" s="128"/>
      <c r="DJ38" s="128"/>
      <c r="DK38" s="128"/>
      <c r="DL38" s="128"/>
      <c r="DM38" s="128"/>
      <c r="DN38" s="128"/>
      <c r="DO38" s="128"/>
      <c r="DP38" s="128"/>
      <c r="DQ38" s="128"/>
      <c r="DR38" s="128"/>
      <c r="DS38" s="128"/>
      <c r="DT38" s="128"/>
      <c r="DU38" s="128"/>
      <c r="DV38" s="128"/>
      <c r="DW38" s="128"/>
      <c r="DX38" s="128"/>
      <c r="DY38" s="128"/>
      <c r="DZ38" s="128"/>
      <c r="EA38" s="128"/>
      <c r="EB38" s="128"/>
      <c r="EC38" s="128"/>
      <c r="ED38" s="128"/>
      <c r="EE38" s="128"/>
      <c r="EF38" s="128"/>
      <c r="EG38" s="128"/>
      <c r="EH38" s="128"/>
      <c r="EI38" s="128"/>
      <c r="EJ38" s="128"/>
      <c r="EK38" s="128"/>
      <c r="EL38" s="128"/>
      <c r="EM38" s="128"/>
      <c r="EN38" s="128"/>
      <c r="EO38" s="128"/>
      <c r="EP38" s="128"/>
      <c r="EQ38" s="128"/>
      <c r="ER38" s="128"/>
      <c r="ES38" s="128"/>
      <c r="ET38" s="128"/>
      <c r="EU38" s="128"/>
      <c r="EV38" s="128"/>
      <c r="EW38" s="128"/>
      <c r="EX38" s="128"/>
      <c r="EY38" s="128"/>
      <c r="EZ38" s="128"/>
      <c r="FA38" s="128"/>
      <c r="FB38" s="128"/>
      <c r="FC38" s="128"/>
      <c r="FD38" s="128"/>
      <c r="FE38" s="128"/>
      <c r="FF38" s="128"/>
      <c r="FG38" s="128"/>
      <c r="FH38" s="128"/>
      <c r="FI38" s="128"/>
      <c r="FJ38" s="128"/>
      <c r="FK38" s="128"/>
      <c r="FL38" s="128"/>
      <c r="FM38" s="128"/>
      <c r="FN38" s="128"/>
      <c r="FO38" s="128"/>
      <c r="FP38" s="128"/>
      <c r="FQ38" s="128"/>
      <c r="FR38" s="128"/>
      <c r="FS38" s="128"/>
      <c r="FT38" s="128"/>
      <c r="FU38" s="128"/>
      <c r="FV38" s="128"/>
      <c r="FW38" s="128"/>
      <c r="FX38" s="128"/>
      <c r="FY38" s="128"/>
      <c r="FZ38" s="128"/>
      <c r="GA38" s="128"/>
      <c r="GB38" s="128"/>
      <c r="GC38" s="128"/>
      <c r="GD38" s="128"/>
      <c r="GE38" s="128"/>
      <c r="GF38" s="128"/>
      <c r="GG38" s="128"/>
      <c r="GH38" s="128"/>
      <c r="GI38" s="128"/>
      <c r="GJ38" s="128"/>
      <c r="GK38" s="128"/>
      <c r="GL38" s="128"/>
      <c r="GM38" s="128"/>
      <c r="GN38" s="128"/>
      <c r="GO38" s="128"/>
      <c r="GP38" s="128"/>
      <c r="GQ38" s="128"/>
      <c r="GR38" s="128"/>
      <c r="GS38" s="128"/>
      <c r="GT38" s="128"/>
      <c r="GU38" s="128"/>
      <c r="GV38" s="128"/>
      <c r="GW38" s="128"/>
      <c r="GX38" s="128"/>
      <c r="GY38" s="128"/>
      <c r="GZ38" s="128"/>
      <c r="HA38" s="128"/>
      <c r="HB38" s="128"/>
      <c r="HC38" s="128"/>
      <c r="HD38" s="128"/>
      <c r="HE38" s="128"/>
      <c r="HF38" s="128"/>
      <c r="HG38" s="128"/>
      <c r="HH38" s="128"/>
      <c r="HI38" s="128"/>
      <c r="HJ38" s="128"/>
      <c r="HK38" s="128"/>
      <c r="HL38" s="128"/>
      <c r="HM38" s="128"/>
      <c r="HN38" s="128"/>
      <c r="HO38" s="128"/>
      <c r="HP38" s="128"/>
      <c r="HQ38" s="128"/>
      <c r="HR38" s="128"/>
      <c r="HS38" s="128"/>
      <c r="HT38" s="128"/>
      <c r="HU38" s="128"/>
      <c r="HV38" s="128"/>
      <c r="HW38" s="128"/>
      <c r="HX38" s="128"/>
      <c r="HY38" s="128"/>
      <c r="HZ38" s="128"/>
      <c r="IA38" s="128"/>
      <c r="IB38" s="128"/>
      <c r="IC38" s="128"/>
      <c r="ID38" s="128"/>
      <c r="IE38" s="128"/>
      <c r="IF38" s="128"/>
      <c r="IG38" s="128"/>
      <c r="IH38" s="128"/>
      <c r="II38" s="128"/>
      <c r="IJ38" s="128"/>
      <c r="IK38" s="128"/>
      <c r="IL38" s="128"/>
      <c r="IM38" s="128"/>
      <c r="IN38" s="128"/>
      <c r="IO38" s="128"/>
      <c r="IP38" s="128"/>
      <c r="IQ38" s="128"/>
      <c r="IR38" s="128"/>
      <c r="IS38" s="128"/>
      <c r="IT38" s="128"/>
      <c r="IU38" s="128"/>
      <c r="IV38" s="128"/>
    </row>
    <row r="39" spans="1:256" s="113" customFormat="1" x14ac:dyDescent="0.25">
      <c r="A39" s="118" t="str">
        <f t="shared" si="0"/>
        <v>10SST304</v>
      </c>
      <c r="B39" s="119"/>
      <c r="C39" s="120"/>
      <c r="D39" s="121" t="s">
        <v>856</v>
      </c>
      <c r="E39" s="122" t="s">
        <v>801</v>
      </c>
      <c r="F39" s="123" t="s">
        <v>864</v>
      </c>
      <c r="G39" s="123" t="s">
        <v>864</v>
      </c>
      <c r="H39" s="124">
        <v>0.13500999999999999</v>
      </c>
      <c r="I39" s="123" t="s">
        <v>704</v>
      </c>
      <c r="J39" s="123" t="s">
        <v>705</v>
      </c>
      <c r="K39" s="118" t="s">
        <v>865</v>
      </c>
      <c r="L39" s="122" t="s">
        <v>859</v>
      </c>
      <c r="M39" s="123" t="s">
        <v>860</v>
      </c>
      <c r="N39" s="129" t="s">
        <v>861</v>
      </c>
      <c r="O39" s="123" t="s">
        <v>710</v>
      </c>
      <c r="P39" s="123" t="s">
        <v>711</v>
      </c>
      <c r="Q39" s="123" t="s">
        <v>862</v>
      </c>
      <c r="R39" s="118" t="s">
        <v>866</v>
      </c>
      <c r="S39" s="118" t="s">
        <v>713</v>
      </c>
      <c r="T39" s="126" t="s">
        <v>713</v>
      </c>
      <c r="U39" s="127"/>
      <c r="V39" s="128"/>
      <c r="W39" s="128"/>
      <c r="X39" s="128"/>
      <c r="Y39" s="128"/>
      <c r="Z39" s="128"/>
      <c r="AA39" s="128"/>
      <c r="AB39" s="128"/>
      <c r="AC39" s="128"/>
      <c r="AD39" s="128"/>
      <c r="AE39" s="128"/>
      <c r="AF39" s="128"/>
      <c r="AG39" s="128"/>
      <c r="AH39" s="128"/>
      <c r="AI39" s="128"/>
      <c r="AJ39" s="128"/>
      <c r="AK39" s="128"/>
      <c r="AL39" s="128"/>
      <c r="AM39" s="128"/>
      <c r="AN39" s="128"/>
      <c r="AO39" s="128"/>
      <c r="AP39" s="128"/>
      <c r="AQ39" s="128"/>
      <c r="AR39" s="128"/>
      <c r="AS39" s="128"/>
      <c r="AT39" s="128"/>
      <c r="AU39" s="128"/>
      <c r="AV39" s="128"/>
      <c r="AW39" s="128"/>
      <c r="AX39" s="128"/>
      <c r="AY39" s="128"/>
      <c r="AZ39" s="128"/>
      <c r="BA39" s="128"/>
      <c r="BB39" s="128"/>
      <c r="BC39" s="128"/>
      <c r="BD39" s="128"/>
      <c r="BE39" s="128"/>
      <c r="BF39" s="128"/>
      <c r="BG39" s="128"/>
      <c r="BH39" s="128"/>
      <c r="BI39" s="128"/>
      <c r="BJ39" s="128"/>
      <c r="BK39" s="128"/>
      <c r="BL39" s="128"/>
      <c r="BM39" s="128"/>
      <c r="BN39" s="128"/>
      <c r="BO39" s="128"/>
      <c r="BP39" s="128"/>
      <c r="BQ39" s="128"/>
      <c r="BR39" s="128"/>
      <c r="BS39" s="128"/>
      <c r="BT39" s="128"/>
      <c r="BU39" s="128"/>
      <c r="BV39" s="128"/>
      <c r="BW39" s="128"/>
      <c r="BX39" s="128"/>
      <c r="BY39" s="128"/>
      <c r="BZ39" s="128"/>
      <c r="CA39" s="128"/>
      <c r="CB39" s="128"/>
      <c r="CC39" s="128"/>
      <c r="CD39" s="128"/>
      <c r="CE39" s="128"/>
      <c r="CF39" s="128"/>
      <c r="CG39" s="128"/>
      <c r="CH39" s="128"/>
      <c r="CI39" s="128"/>
      <c r="CJ39" s="128"/>
      <c r="CK39" s="128"/>
      <c r="CL39" s="128"/>
      <c r="CM39" s="128"/>
      <c r="CN39" s="128"/>
      <c r="CO39" s="128"/>
      <c r="CP39" s="128"/>
      <c r="CQ39" s="128"/>
      <c r="CR39" s="128"/>
      <c r="CS39" s="128"/>
      <c r="CT39" s="128"/>
      <c r="CU39" s="128"/>
      <c r="CV39" s="128"/>
      <c r="CW39" s="128"/>
      <c r="CX39" s="128"/>
      <c r="CY39" s="128"/>
      <c r="CZ39" s="128"/>
      <c r="DA39" s="128"/>
      <c r="DB39" s="128"/>
      <c r="DC39" s="128"/>
      <c r="DD39" s="128"/>
      <c r="DE39" s="128"/>
      <c r="DF39" s="128"/>
      <c r="DG39" s="128"/>
      <c r="DH39" s="128"/>
      <c r="DI39" s="128"/>
      <c r="DJ39" s="128"/>
      <c r="DK39" s="128"/>
      <c r="DL39" s="128"/>
      <c r="DM39" s="128"/>
      <c r="DN39" s="128"/>
      <c r="DO39" s="128"/>
      <c r="DP39" s="128"/>
      <c r="DQ39" s="128"/>
      <c r="DR39" s="128"/>
      <c r="DS39" s="128"/>
      <c r="DT39" s="128"/>
      <c r="DU39" s="128"/>
      <c r="DV39" s="128"/>
      <c r="DW39" s="128"/>
      <c r="DX39" s="128"/>
      <c r="DY39" s="128"/>
      <c r="DZ39" s="128"/>
      <c r="EA39" s="128"/>
      <c r="EB39" s="128"/>
      <c r="EC39" s="128"/>
      <c r="ED39" s="128"/>
      <c r="EE39" s="128"/>
      <c r="EF39" s="128"/>
      <c r="EG39" s="128"/>
      <c r="EH39" s="128"/>
      <c r="EI39" s="128"/>
      <c r="EJ39" s="128"/>
      <c r="EK39" s="128"/>
      <c r="EL39" s="128"/>
      <c r="EM39" s="128"/>
      <c r="EN39" s="128"/>
      <c r="EO39" s="128"/>
      <c r="EP39" s="128"/>
      <c r="EQ39" s="128"/>
      <c r="ER39" s="128"/>
      <c r="ES39" s="128"/>
      <c r="ET39" s="128"/>
      <c r="EU39" s="128"/>
      <c r="EV39" s="128"/>
      <c r="EW39" s="128"/>
      <c r="EX39" s="128"/>
      <c r="EY39" s="128"/>
      <c r="EZ39" s="128"/>
      <c r="FA39" s="128"/>
      <c r="FB39" s="128"/>
      <c r="FC39" s="128"/>
      <c r="FD39" s="128"/>
      <c r="FE39" s="128"/>
      <c r="FF39" s="128"/>
      <c r="FG39" s="128"/>
      <c r="FH39" s="128"/>
      <c r="FI39" s="128"/>
      <c r="FJ39" s="128"/>
      <c r="FK39" s="128"/>
      <c r="FL39" s="128"/>
      <c r="FM39" s="128"/>
      <c r="FN39" s="128"/>
      <c r="FO39" s="128"/>
      <c r="FP39" s="128"/>
      <c r="FQ39" s="128"/>
      <c r="FR39" s="128"/>
      <c r="FS39" s="128"/>
      <c r="FT39" s="128"/>
      <c r="FU39" s="128"/>
      <c r="FV39" s="128"/>
      <c r="FW39" s="128"/>
      <c r="FX39" s="128"/>
      <c r="FY39" s="128"/>
      <c r="FZ39" s="128"/>
      <c r="GA39" s="128"/>
      <c r="GB39" s="128"/>
      <c r="GC39" s="128"/>
      <c r="GD39" s="128"/>
      <c r="GE39" s="128"/>
      <c r="GF39" s="128"/>
      <c r="GG39" s="128"/>
      <c r="GH39" s="128"/>
      <c r="GI39" s="128"/>
      <c r="GJ39" s="128"/>
      <c r="GK39" s="128"/>
      <c r="GL39" s="128"/>
      <c r="GM39" s="128"/>
      <c r="GN39" s="128"/>
      <c r="GO39" s="128"/>
      <c r="GP39" s="128"/>
      <c r="GQ39" s="128"/>
      <c r="GR39" s="128"/>
      <c r="GS39" s="128"/>
      <c r="GT39" s="128"/>
      <c r="GU39" s="128"/>
      <c r="GV39" s="128"/>
      <c r="GW39" s="128"/>
      <c r="GX39" s="128"/>
      <c r="GY39" s="128"/>
      <c r="GZ39" s="128"/>
      <c r="HA39" s="128"/>
      <c r="HB39" s="128"/>
      <c r="HC39" s="128"/>
      <c r="HD39" s="128"/>
      <c r="HE39" s="128"/>
      <c r="HF39" s="128"/>
      <c r="HG39" s="128"/>
      <c r="HH39" s="128"/>
      <c r="HI39" s="128"/>
      <c r="HJ39" s="128"/>
      <c r="HK39" s="128"/>
      <c r="HL39" s="128"/>
      <c r="HM39" s="128"/>
      <c r="HN39" s="128"/>
      <c r="HO39" s="128"/>
      <c r="HP39" s="128"/>
      <c r="HQ39" s="128"/>
      <c r="HR39" s="128"/>
      <c r="HS39" s="128"/>
      <c r="HT39" s="128"/>
      <c r="HU39" s="128"/>
      <c r="HV39" s="128"/>
      <c r="HW39" s="128"/>
      <c r="HX39" s="128"/>
      <c r="HY39" s="128"/>
      <c r="HZ39" s="128"/>
      <c r="IA39" s="128"/>
      <c r="IB39" s="128"/>
      <c r="IC39" s="128"/>
      <c r="ID39" s="128"/>
      <c r="IE39" s="128"/>
      <c r="IF39" s="128"/>
      <c r="IG39" s="128"/>
      <c r="IH39" s="128"/>
      <c r="II39" s="128"/>
      <c r="IJ39" s="128"/>
      <c r="IK39" s="128"/>
      <c r="IL39" s="128"/>
      <c r="IM39" s="128"/>
      <c r="IN39" s="128"/>
      <c r="IO39" s="128"/>
      <c r="IP39" s="128"/>
      <c r="IQ39" s="128"/>
      <c r="IR39" s="128"/>
      <c r="IS39" s="128"/>
      <c r="IT39" s="128"/>
      <c r="IU39" s="128"/>
      <c r="IV39" s="128"/>
    </row>
    <row r="40" spans="1:256" s="113" customFormat="1" x14ac:dyDescent="0.25">
      <c r="A40" s="118" t="str">
        <f t="shared" si="0"/>
        <v>12SST304</v>
      </c>
      <c r="B40" s="119"/>
      <c r="C40" s="120"/>
      <c r="D40" s="121" t="s">
        <v>856</v>
      </c>
      <c r="E40" s="122" t="s">
        <v>815</v>
      </c>
      <c r="F40" s="123" t="s">
        <v>867</v>
      </c>
      <c r="G40" s="123" t="s">
        <v>867</v>
      </c>
      <c r="H40" s="124">
        <v>0.10501000000000001</v>
      </c>
      <c r="I40" s="123" t="s">
        <v>704</v>
      </c>
      <c r="J40" s="123" t="s">
        <v>705</v>
      </c>
      <c r="K40" s="118" t="s">
        <v>868</v>
      </c>
      <c r="L40" s="122" t="s">
        <v>859</v>
      </c>
      <c r="M40" s="123" t="s">
        <v>860</v>
      </c>
      <c r="N40" s="129" t="s">
        <v>861</v>
      </c>
      <c r="O40" s="123" t="s">
        <v>722</v>
      </c>
      <c r="P40" s="123" t="s">
        <v>711</v>
      </c>
      <c r="Q40" s="123" t="s">
        <v>862</v>
      </c>
      <c r="R40" s="118" t="s">
        <v>869</v>
      </c>
      <c r="S40" s="118" t="s">
        <v>713</v>
      </c>
      <c r="T40" s="126" t="s">
        <v>713</v>
      </c>
      <c r="U40" s="127"/>
      <c r="V40" s="128"/>
      <c r="W40" s="128"/>
      <c r="X40" s="128"/>
      <c r="Y40" s="128"/>
      <c r="Z40" s="128"/>
      <c r="AA40" s="128"/>
      <c r="AB40" s="128"/>
      <c r="AC40" s="128"/>
      <c r="AD40" s="128"/>
      <c r="AE40" s="128"/>
      <c r="AF40" s="128"/>
      <c r="AG40" s="128"/>
      <c r="AH40" s="128"/>
      <c r="AI40" s="128"/>
      <c r="AJ40" s="128"/>
      <c r="AK40" s="128"/>
      <c r="AL40" s="128"/>
      <c r="AM40" s="128"/>
      <c r="AN40" s="128"/>
      <c r="AO40" s="128"/>
      <c r="AP40" s="128"/>
      <c r="AQ40" s="128"/>
      <c r="AR40" s="128"/>
      <c r="AS40" s="128"/>
      <c r="AT40" s="128"/>
      <c r="AU40" s="128"/>
      <c r="AV40" s="128"/>
      <c r="AW40" s="128"/>
      <c r="AX40" s="128"/>
      <c r="AY40" s="128"/>
      <c r="AZ40" s="128"/>
      <c r="BA40" s="128"/>
      <c r="BB40" s="128"/>
      <c r="BC40" s="128"/>
      <c r="BD40" s="128"/>
      <c r="BE40" s="128"/>
      <c r="BF40" s="128"/>
      <c r="BG40" s="128"/>
      <c r="BH40" s="128"/>
      <c r="BI40" s="128"/>
      <c r="BJ40" s="128"/>
      <c r="BK40" s="128"/>
      <c r="BL40" s="128"/>
      <c r="BM40" s="128"/>
      <c r="BN40" s="128"/>
      <c r="BO40" s="128"/>
      <c r="BP40" s="128"/>
      <c r="BQ40" s="128"/>
      <c r="BR40" s="128"/>
      <c r="BS40" s="128"/>
      <c r="BT40" s="128"/>
      <c r="BU40" s="128"/>
      <c r="BV40" s="128"/>
      <c r="BW40" s="128"/>
      <c r="BX40" s="128"/>
      <c r="BY40" s="128"/>
      <c r="BZ40" s="128"/>
      <c r="CA40" s="128"/>
      <c r="CB40" s="128"/>
      <c r="CC40" s="128"/>
      <c r="CD40" s="128"/>
      <c r="CE40" s="128"/>
      <c r="CF40" s="128"/>
      <c r="CG40" s="128"/>
      <c r="CH40" s="128"/>
      <c r="CI40" s="128"/>
      <c r="CJ40" s="128"/>
      <c r="CK40" s="128"/>
      <c r="CL40" s="128"/>
      <c r="CM40" s="128"/>
      <c r="CN40" s="128"/>
      <c r="CO40" s="128"/>
      <c r="CP40" s="128"/>
      <c r="CQ40" s="128"/>
      <c r="CR40" s="128"/>
      <c r="CS40" s="128"/>
      <c r="CT40" s="128"/>
      <c r="CU40" s="128"/>
      <c r="CV40" s="128"/>
      <c r="CW40" s="128"/>
      <c r="CX40" s="128"/>
      <c r="CY40" s="128"/>
      <c r="CZ40" s="128"/>
      <c r="DA40" s="128"/>
      <c r="DB40" s="128"/>
      <c r="DC40" s="128"/>
      <c r="DD40" s="128"/>
      <c r="DE40" s="128"/>
      <c r="DF40" s="128"/>
      <c r="DG40" s="128"/>
      <c r="DH40" s="128"/>
      <c r="DI40" s="128"/>
      <c r="DJ40" s="128"/>
      <c r="DK40" s="128"/>
      <c r="DL40" s="128"/>
      <c r="DM40" s="128"/>
      <c r="DN40" s="128"/>
      <c r="DO40" s="128"/>
      <c r="DP40" s="128"/>
      <c r="DQ40" s="128"/>
      <c r="DR40" s="128"/>
      <c r="DS40" s="128"/>
      <c r="DT40" s="128"/>
      <c r="DU40" s="128"/>
      <c r="DV40" s="128"/>
      <c r="DW40" s="128"/>
      <c r="DX40" s="128"/>
      <c r="DY40" s="128"/>
      <c r="DZ40" s="128"/>
      <c r="EA40" s="128"/>
      <c r="EB40" s="128"/>
      <c r="EC40" s="128"/>
      <c r="ED40" s="128"/>
      <c r="EE40" s="128"/>
      <c r="EF40" s="128"/>
      <c r="EG40" s="128"/>
      <c r="EH40" s="128"/>
      <c r="EI40" s="128"/>
      <c r="EJ40" s="128"/>
      <c r="EK40" s="128"/>
      <c r="EL40" s="128"/>
      <c r="EM40" s="128"/>
      <c r="EN40" s="128"/>
      <c r="EO40" s="128"/>
      <c r="EP40" s="128"/>
      <c r="EQ40" s="128"/>
      <c r="ER40" s="128"/>
      <c r="ES40" s="128"/>
      <c r="ET40" s="128"/>
      <c r="EU40" s="128"/>
      <c r="EV40" s="128"/>
      <c r="EW40" s="128"/>
      <c r="EX40" s="128"/>
      <c r="EY40" s="128"/>
      <c r="EZ40" s="128"/>
      <c r="FA40" s="128"/>
      <c r="FB40" s="128"/>
      <c r="FC40" s="128"/>
      <c r="FD40" s="128"/>
      <c r="FE40" s="128"/>
      <c r="FF40" s="128"/>
      <c r="FG40" s="128"/>
      <c r="FH40" s="128"/>
      <c r="FI40" s="128"/>
      <c r="FJ40" s="128"/>
      <c r="FK40" s="128"/>
      <c r="FL40" s="128"/>
      <c r="FM40" s="128"/>
      <c r="FN40" s="128"/>
      <c r="FO40" s="128"/>
      <c r="FP40" s="128"/>
      <c r="FQ40" s="128"/>
      <c r="FR40" s="128"/>
      <c r="FS40" s="128"/>
      <c r="FT40" s="128"/>
      <c r="FU40" s="128"/>
      <c r="FV40" s="128"/>
      <c r="FW40" s="128"/>
      <c r="FX40" s="128"/>
      <c r="FY40" s="128"/>
      <c r="FZ40" s="128"/>
      <c r="GA40" s="128"/>
      <c r="GB40" s="128"/>
      <c r="GC40" s="128"/>
      <c r="GD40" s="128"/>
      <c r="GE40" s="128"/>
      <c r="GF40" s="128"/>
      <c r="GG40" s="128"/>
      <c r="GH40" s="128"/>
      <c r="GI40" s="128"/>
      <c r="GJ40" s="128"/>
      <c r="GK40" s="128"/>
      <c r="GL40" s="128"/>
      <c r="GM40" s="128"/>
      <c r="GN40" s="128"/>
      <c r="GO40" s="128"/>
      <c r="GP40" s="128"/>
      <c r="GQ40" s="128"/>
      <c r="GR40" s="128"/>
      <c r="GS40" s="128"/>
      <c r="GT40" s="128"/>
      <c r="GU40" s="128"/>
      <c r="GV40" s="128"/>
      <c r="GW40" s="128"/>
      <c r="GX40" s="128"/>
      <c r="GY40" s="128"/>
      <c r="GZ40" s="128"/>
      <c r="HA40" s="128"/>
      <c r="HB40" s="128"/>
      <c r="HC40" s="128"/>
      <c r="HD40" s="128"/>
      <c r="HE40" s="128"/>
      <c r="HF40" s="128"/>
      <c r="HG40" s="128"/>
      <c r="HH40" s="128"/>
      <c r="HI40" s="128"/>
      <c r="HJ40" s="128"/>
      <c r="HK40" s="128"/>
      <c r="HL40" s="128"/>
      <c r="HM40" s="128"/>
      <c r="HN40" s="128"/>
      <c r="HO40" s="128"/>
      <c r="HP40" s="128"/>
      <c r="HQ40" s="128"/>
      <c r="HR40" s="128"/>
      <c r="HS40" s="128"/>
      <c r="HT40" s="128"/>
      <c r="HU40" s="128"/>
      <c r="HV40" s="128"/>
      <c r="HW40" s="128"/>
      <c r="HX40" s="128"/>
      <c r="HY40" s="128"/>
      <c r="HZ40" s="128"/>
      <c r="IA40" s="128"/>
      <c r="IB40" s="128"/>
      <c r="IC40" s="128"/>
      <c r="ID40" s="128"/>
      <c r="IE40" s="128"/>
      <c r="IF40" s="128"/>
      <c r="IG40" s="128"/>
      <c r="IH40" s="128"/>
      <c r="II40" s="128"/>
      <c r="IJ40" s="128"/>
      <c r="IK40" s="128"/>
      <c r="IL40" s="128"/>
      <c r="IM40" s="128"/>
      <c r="IN40" s="128"/>
      <c r="IO40" s="128"/>
      <c r="IP40" s="128"/>
      <c r="IQ40" s="128"/>
      <c r="IR40" s="128"/>
      <c r="IS40" s="128"/>
      <c r="IT40" s="128"/>
      <c r="IU40" s="128"/>
      <c r="IV40" s="128"/>
    </row>
    <row r="41" spans="1:256" s="113" customFormat="1" x14ac:dyDescent="0.25">
      <c r="A41" s="118" t="str">
        <f t="shared" si="0"/>
        <v>14SST304</v>
      </c>
      <c r="B41" s="119"/>
      <c r="C41" s="120"/>
      <c r="D41" s="121" t="s">
        <v>856</v>
      </c>
      <c r="E41" s="122">
        <v>14</v>
      </c>
      <c r="F41" s="123" t="s">
        <v>870</v>
      </c>
      <c r="G41" s="123" t="s">
        <v>870</v>
      </c>
      <c r="H41" s="124">
        <v>7.5009999999999993E-2</v>
      </c>
      <c r="I41" s="123" t="s">
        <v>704</v>
      </c>
      <c r="J41" s="123" t="s">
        <v>705</v>
      </c>
      <c r="K41" s="118" t="s">
        <v>871</v>
      </c>
      <c r="L41" s="122" t="s">
        <v>859</v>
      </c>
      <c r="M41" s="123" t="s">
        <v>860</v>
      </c>
      <c r="N41" s="129" t="s">
        <v>861</v>
      </c>
      <c r="O41" s="123" t="s">
        <v>722</v>
      </c>
      <c r="P41" s="123" t="s">
        <v>711</v>
      </c>
      <c r="Q41" s="123" t="s">
        <v>862</v>
      </c>
      <c r="R41" s="118" t="s">
        <v>872</v>
      </c>
      <c r="S41" s="118" t="s">
        <v>713</v>
      </c>
      <c r="T41" s="126" t="s">
        <v>713</v>
      </c>
      <c r="U41" s="127"/>
      <c r="V41" s="128"/>
      <c r="W41" s="128"/>
      <c r="X41" s="128"/>
      <c r="Y41" s="128"/>
      <c r="Z41" s="128"/>
      <c r="AA41" s="128"/>
      <c r="AB41" s="128"/>
      <c r="AC41" s="128"/>
      <c r="AD41" s="128"/>
      <c r="AE41" s="128"/>
      <c r="AF41" s="128"/>
      <c r="AG41" s="128"/>
      <c r="AH41" s="128"/>
      <c r="AI41" s="128"/>
      <c r="AJ41" s="128"/>
      <c r="AK41" s="128"/>
      <c r="AL41" s="128"/>
      <c r="AM41" s="128"/>
      <c r="AN41" s="128"/>
      <c r="AO41" s="128"/>
      <c r="AP41" s="128"/>
      <c r="AQ41" s="128"/>
      <c r="AR41" s="128"/>
      <c r="AS41" s="128"/>
      <c r="AT41" s="128"/>
      <c r="AU41" s="128"/>
      <c r="AV41" s="128"/>
      <c r="AW41" s="128"/>
      <c r="AX41" s="128"/>
      <c r="AY41" s="128"/>
      <c r="AZ41" s="128"/>
      <c r="BA41" s="128"/>
      <c r="BB41" s="128"/>
      <c r="BC41" s="128"/>
      <c r="BD41" s="128"/>
      <c r="BE41" s="128"/>
      <c r="BF41" s="128"/>
      <c r="BG41" s="128"/>
      <c r="BH41" s="128"/>
      <c r="BI41" s="128"/>
      <c r="BJ41" s="128"/>
      <c r="BK41" s="128"/>
      <c r="BL41" s="128"/>
      <c r="BM41" s="128"/>
      <c r="BN41" s="128"/>
      <c r="BO41" s="128"/>
      <c r="BP41" s="128"/>
      <c r="BQ41" s="128"/>
      <c r="BR41" s="128"/>
      <c r="BS41" s="128"/>
      <c r="BT41" s="128"/>
      <c r="BU41" s="128"/>
      <c r="BV41" s="128"/>
      <c r="BW41" s="128"/>
      <c r="BX41" s="128"/>
      <c r="BY41" s="128"/>
      <c r="BZ41" s="128"/>
      <c r="CA41" s="128"/>
      <c r="CB41" s="128"/>
      <c r="CC41" s="128"/>
      <c r="CD41" s="128"/>
      <c r="CE41" s="128"/>
      <c r="CF41" s="128"/>
      <c r="CG41" s="128"/>
      <c r="CH41" s="128"/>
      <c r="CI41" s="128"/>
      <c r="CJ41" s="128"/>
      <c r="CK41" s="128"/>
      <c r="CL41" s="128"/>
      <c r="CM41" s="128"/>
      <c r="CN41" s="128"/>
      <c r="CO41" s="128"/>
      <c r="CP41" s="128"/>
      <c r="CQ41" s="128"/>
      <c r="CR41" s="128"/>
      <c r="CS41" s="128"/>
      <c r="CT41" s="128"/>
      <c r="CU41" s="128"/>
      <c r="CV41" s="128"/>
      <c r="CW41" s="128"/>
      <c r="CX41" s="128"/>
      <c r="CY41" s="128"/>
      <c r="CZ41" s="128"/>
      <c r="DA41" s="128"/>
      <c r="DB41" s="128"/>
      <c r="DC41" s="128"/>
      <c r="DD41" s="128"/>
      <c r="DE41" s="128"/>
      <c r="DF41" s="128"/>
      <c r="DG41" s="128"/>
      <c r="DH41" s="128"/>
      <c r="DI41" s="128"/>
      <c r="DJ41" s="128"/>
      <c r="DK41" s="128"/>
      <c r="DL41" s="128"/>
      <c r="DM41" s="128"/>
      <c r="DN41" s="128"/>
      <c r="DO41" s="128"/>
      <c r="DP41" s="128"/>
      <c r="DQ41" s="128"/>
      <c r="DR41" s="128"/>
      <c r="DS41" s="128"/>
      <c r="DT41" s="128"/>
      <c r="DU41" s="128"/>
      <c r="DV41" s="128"/>
      <c r="DW41" s="128"/>
      <c r="DX41" s="128"/>
      <c r="DY41" s="128"/>
      <c r="DZ41" s="128"/>
      <c r="EA41" s="128"/>
      <c r="EB41" s="128"/>
      <c r="EC41" s="128"/>
      <c r="ED41" s="128"/>
      <c r="EE41" s="128"/>
      <c r="EF41" s="128"/>
      <c r="EG41" s="128"/>
      <c r="EH41" s="128"/>
      <c r="EI41" s="128"/>
      <c r="EJ41" s="128"/>
      <c r="EK41" s="128"/>
      <c r="EL41" s="128"/>
      <c r="EM41" s="128"/>
      <c r="EN41" s="128"/>
      <c r="EO41" s="128"/>
      <c r="EP41" s="128"/>
      <c r="EQ41" s="128"/>
      <c r="ER41" s="128"/>
      <c r="ES41" s="128"/>
      <c r="ET41" s="128"/>
      <c r="EU41" s="128"/>
      <c r="EV41" s="128"/>
      <c r="EW41" s="128"/>
      <c r="EX41" s="128"/>
      <c r="EY41" s="128"/>
      <c r="EZ41" s="128"/>
      <c r="FA41" s="128"/>
      <c r="FB41" s="128"/>
      <c r="FC41" s="128"/>
      <c r="FD41" s="128"/>
      <c r="FE41" s="128"/>
      <c r="FF41" s="128"/>
      <c r="FG41" s="128"/>
      <c r="FH41" s="128"/>
      <c r="FI41" s="128"/>
      <c r="FJ41" s="128"/>
      <c r="FK41" s="128"/>
      <c r="FL41" s="128"/>
      <c r="FM41" s="128"/>
      <c r="FN41" s="128"/>
      <c r="FO41" s="128"/>
      <c r="FP41" s="128"/>
      <c r="FQ41" s="128"/>
      <c r="FR41" s="128"/>
      <c r="FS41" s="128"/>
      <c r="FT41" s="128"/>
      <c r="FU41" s="128"/>
      <c r="FV41" s="128"/>
      <c r="FW41" s="128"/>
      <c r="FX41" s="128"/>
      <c r="FY41" s="128"/>
      <c r="FZ41" s="128"/>
      <c r="GA41" s="128"/>
      <c r="GB41" s="128"/>
      <c r="GC41" s="128"/>
      <c r="GD41" s="128"/>
      <c r="GE41" s="128"/>
      <c r="GF41" s="128"/>
      <c r="GG41" s="128"/>
      <c r="GH41" s="128"/>
      <c r="GI41" s="128"/>
      <c r="GJ41" s="128"/>
      <c r="GK41" s="128"/>
      <c r="GL41" s="128"/>
      <c r="GM41" s="128"/>
      <c r="GN41" s="128"/>
      <c r="GO41" s="128"/>
      <c r="GP41" s="128"/>
      <c r="GQ41" s="128"/>
      <c r="GR41" s="128"/>
      <c r="GS41" s="128"/>
      <c r="GT41" s="128"/>
      <c r="GU41" s="128"/>
      <c r="GV41" s="128"/>
      <c r="GW41" s="128"/>
      <c r="GX41" s="128"/>
      <c r="GY41" s="128"/>
      <c r="GZ41" s="128"/>
      <c r="HA41" s="128"/>
      <c r="HB41" s="128"/>
      <c r="HC41" s="128"/>
      <c r="HD41" s="128"/>
      <c r="HE41" s="128"/>
      <c r="HF41" s="128"/>
      <c r="HG41" s="128"/>
      <c r="HH41" s="128"/>
      <c r="HI41" s="128"/>
      <c r="HJ41" s="128"/>
      <c r="HK41" s="128"/>
      <c r="HL41" s="128"/>
      <c r="HM41" s="128"/>
      <c r="HN41" s="128"/>
      <c r="HO41" s="128"/>
      <c r="HP41" s="128"/>
      <c r="HQ41" s="128"/>
      <c r="HR41" s="128"/>
      <c r="HS41" s="128"/>
      <c r="HT41" s="128"/>
      <c r="HU41" s="128"/>
      <c r="HV41" s="128"/>
      <c r="HW41" s="128"/>
      <c r="HX41" s="128"/>
      <c r="HY41" s="128"/>
      <c r="HZ41" s="128"/>
      <c r="IA41" s="128"/>
      <c r="IB41" s="128"/>
      <c r="IC41" s="128"/>
      <c r="ID41" s="128"/>
      <c r="IE41" s="128"/>
      <c r="IF41" s="128"/>
      <c r="IG41" s="128"/>
      <c r="IH41" s="128"/>
      <c r="II41" s="128"/>
      <c r="IJ41" s="128"/>
      <c r="IK41" s="128"/>
      <c r="IL41" s="128"/>
      <c r="IM41" s="128"/>
      <c r="IN41" s="128"/>
      <c r="IO41" s="128"/>
      <c r="IP41" s="128"/>
      <c r="IQ41" s="128"/>
      <c r="IR41" s="128"/>
      <c r="IS41" s="128"/>
      <c r="IT41" s="128"/>
      <c r="IU41" s="128"/>
      <c r="IV41" s="128"/>
    </row>
    <row r="42" spans="1:256" s="113" customFormat="1" x14ac:dyDescent="0.25">
      <c r="A42" s="118" t="str">
        <f t="shared" si="0"/>
        <v>16SST304</v>
      </c>
      <c r="B42" s="119"/>
      <c r="C42" s="120"/>
      <c r="D42" s="121" t="s">
        <v>856</v>
      </c>
      <c r="E42" s="122">
        <v>16</v>
      </c>
      <c r="F42" s="123" t="s">
        <v>873</v>
      </c>
      <c r="G42" s="123" t="s">
        <v>873</v>
      </c>
      <c r="H42" s="124">
        <v>6.0010000000000001E-2</v>
      </c>
      <c r="I42" s="123" t="s">
        <v>704</v>
      </c>
      <c r="J42" s="123" t="s">
        <v>705</v>
      </c>
      <c r="K42" s="118" t="s">
        <v>874</v>
      </c>
      <c r="L42" s="122" t="s">
        <v>859</v>
      </c>
      <c r="M42" s="123" t="s">
        <v>860</v>
      </c>
      <c r="N42" s="129" t="s">
        <v>861</v>
      </c>
      <c r="O42" s="123" t="s">
        <v>722</v>
      </c>
      <c r="P42" s="123" t="s">
        <v>711</v>
      </c>
      <c r="Q42" s="123" t="s">
        <v>862</v>
      </c>
      <c r="R42" s="118" t="s">
        <v>875</v>
      </c>
      <c r="S42" s="118" t="s">
        <v>713</v>
      </c>
      <c r="T42" s="126" t="s">
        <v>713</v>
      </c>
      <c r="U42" s="127"/>
      <c r="V42" s="128"/>
      <c r="W42" s="128"/>
      <c r="X42" s="128"/>
      <c r="Y42" s="128"/>
      <c r="Z42" s="128"/>
      <c r="AA42" s="128"/>
      <c r="AB42" s="128"/>
      <c r="AC42" s="128"/>
      <c r="AD42" s="128"/>
      <c r="AE42" s="128"/>
      <c r="AF42" s="128"/>
      <c r="AG42" s="128"/>
      <c r="AH42" s="128"/>
      <c r="AI42" s="128"/>
      <c r="AJ42" s="128"/>
      <c r="AK42" s="128"/>
      <c r="AL42" s="128"/>
      <c r="AM42" s="128"/>
      <c r="AN42" s="128"/>
      <c r="AO42" s="128"/>
      <c r="AP42" s="128"/>
      <c r="AQ42" s="128"/>
      <c r="AR42" s="128"/>
      <c r="AS42" s="128"/>
      <c r="AT42" s="128"/>
      <c r="AU42" s="128"/>
      <c r="AV42" s="128"/>
      <c r="AW42" s="128"/>
      <c r="AX42" s="128"/>
      <c r="AY42" s="128"/>
      <c r="AZ42" s="128"/>
      <c r="BA42" s="128"/>
      <c r="BB42" s="128"/>
      <c r="BC42" s="128"/>
      <c r="BD42" s="128"/>
      <c r="BE42" s="128"/>
      <c r="BF42" s="128"/>
      <c r="BG42" s="128"/>
      <c r="BH42" s="128"/>
      <c r="BI42" s="128"/>
      <c r="BJ42" s="128"/>
      <c r="BK42" s="128"/>
      <c r="BL42" s="128"/>
      <c r="BM42" s="128"/>
      <c r="BN42" s="128"/>
      <c r="BO42" s="128"/>
      <c r="BP42" s="128"/>
      <c r="BQ42" s="128"/>
      <c r="BR42" s="128"/>
      <c r="BS42" s="128"/>
      <c r="BT42" s="128"/>
      <c r="BU42" s="128"/>
      <c r="BV42" s="128"/>
      <c r="BW42" s="128"/>
      <c r="BX42" s="128"/>
      <c r="BY42" s="128"/>
      <c r="BZ42" s="128"/>
      <c r="CA42" s="128"/>
      <c r="CB42" s="128"/>
      <c r="CC42" s="128"/>
      <c r="CD42" s="128"/>
      <c r="CE42" s="128"/>
      <c r="CF42" s="128"/>
      <c r="CG42" s="128"/>
      <c r="CH42" s="128"/>
      <c r="CI42" s="128"/>
      <c r="CJ42" s="128"/>
      <c r="CK42" s="128"/>
      <c r="CL42" s="128"/>
      <c r="CM42" s="128"/>
      <c r="CN42" s="128"/>
      <c r="CO42" s="128"/>
      <c r="CP42" s="128"/>
      <c r="CQ42" s="128"/>
      <c r="CR42" s="128"/>
      <c r="CS42" s="128"/>
      <c r="CT42" s="128"/>
      <c r="CU42" s="128"/>
      <c r="CV42" s="128"/>
      <c r="CW42" s="128"/>
      <c r="CX42" s="128"/>
      <c r="CY42" s="128"/>
      <c r="CZ42" s="128"/>
      <c r="DA42" s="128"/>
      <c r="DB42" s="128"/>
      <c r="DC42" s="128"/>
      <c r="DD42" s="128"/>
      <c r="DE42" s="128"/>
      <c r="DF42" s="128"/>
      <c r="DG42" s="128"/>
      <c r="DH42" s="128"/>
      <c r="DI42" s="128"/>
      <c r="DJ42" s="128"/>
      <c r="DK42" s="128"/>
      <c r="DL42" s="128"/>
      <c r="DM42" s="128"/>
      <c r="DN42" s="128"/>
      <c r="DO42" s="128"/>
      <c r="DP42" s="128"/>
      <c r="DQ42" s="128"/>
      <c r="DR42" s="128"/>
      <c r="DS42" s="128"/>
      <c r="DT42" s="128"/>
      <c r="DU42" s="128"/>
      <c r="DV42" s="128"/>
      <c r="DW42" s="128"/>
      <c r="DX42" s="128"/>
      <c r="DY42" s="128"/>
      <c r="DZ42" s="128"/>
      <c r="EA42" s="128"/>
      <c r="EB42" s="128"/>
      <c r="EC42" s="128"/>
      <c r="ED42" s="128"/>
      <c r="EE42" s="128"/>
      <c r="EF42" s="128"/>
      <c r="EG42" s="128"/>
      <c r="EH42" s="128"/>
      <c r="EI42" s="128"/>
      <c r="EJ42" s="128"/>
      <c r="EK42" s="128"/>
      <c r="EL42" s="128"/>
      <c r="EM42" s="128"/>
      <c r="EN42" s="128"/>
      <c r="EO42" s="128"/>
      <c r="EP42" s="128"/>
      <c r="EQ42" s="128"/>
      <c r="ER42" s="128"/>
      <c r="ES42" s="128"/>
      <c r="ET42" s="128"/>
      <c r="EU42" s="128"/>
      <c r="EV42" s="128"/>
      <c r="EW42" s="128"/>
      <c r="EX42" s="128"/>
      <c r="EY42" s="128"/>
      <c r="EZ42" s="128"/>
      <c r="FA42" s="128"/>
      <c r="FB42" s="128"/>
      <c r="FC42" s="128"/>
      <c r="FD42" s="128"/>
      <c r="FE42" s="128"/>
      <c r="FF42" s="128"/>
      <c r="FG42" s="128"/>
      <c r="FH42" s="128"/>
      <c r="FI42" s="128"/>
      <c r="FJ42" s="128"/>
      <c r="FK42" s="128"/>
      <c r="FL42" s="128"/>
      <c r="FM42" s="128"/>
      <c r="FN42" s="128"/>
      <c r="FO42" s="128"/>
      <c r="FP42" s="128"/>
      <c r="FQ42" s="128"/>
      <c r="FR42" s="128"/>
      <c r="FS42" s="128"/>
      <c r="FT42" s="128"/>
      <c r="FU42" s="128"/>
      <c r="FV42" s="128"/>
      <c r="FW42" s="128"/>
      <c r="FX42" s="128"/>
      <c r="FY42" s="128"/>
      <c r="FZ42" s="128"/>
      <c r="GA42" s="128"/>
      <c r="GB42" s="128"/>
      <c r="GC42" s="128"/>
      <c r="GD42" s="128"/>
      <c r="GE42" s="128"/>
      <c r="GF42" s="128"/>
      <c r="GG42" s="128"/>
      <c r="GH42" s="128"/>
      <c r="GI42" s="128"/>
      <c r="GJ42" s="128"/>
      <c r="GK42" s="128"/>
      <c r="GL42" s="128"/>
      <c r="GM42" s="128"/>
      <c r="GN42" s="128"/>
      <c r="GO42" s="128"/>
      <c r="GP42" s="128"/>
      <c r="GQ42" s="128"/>
      <c r="GR42" s="128"/>
      <c r="GS42" s="128"/>
      <c r="GT42" s="128"/>
      <c r="GU42" s="128"/>
      <c r="GV42" s="128"/>
      <c r="GW42" s="128"/>
      <c r="GX42" s="128"/>
      <c r="GY42" s="128"/>
      <c r="GZ42" s="128"/>
      <c r="HA42" s="128"/>
      <c r="HB42" s="128"/>
      <c r="HC42" s="128"/>
      <c r="HD42" s="128"/>
      <c r="HE42" s="128"/>
      <c r="HF42" s="128"/>
      <c r="HG42" s="128"/>
      <c r="HH42" s="128"/>
      <c r="HI42" s="128"/>
      <c r="HJ42" s="128"/>
      <c r="HK42" s="128"/>
      <c r="HL42" s="128"/>
      <c r="HM42" s="128"/>
      <c r="HN42" s="128"/>
      <c r="HO42" s="128"/>
      <c r="HP42" s="128"/>
      <c r="HQ42" s="128"/>
      <c r="HR42" s="128"/>
      <c r="HS42" s="128"/>
      <c r="HT42" s="128"/>
      <c r="HU42" s="128"/>
      <c r="HV42" s="128"/>
      <c r="HW42" s="128"/>
      <c r="HX42" s="128"/>
      <c r="HY42" s="128"/>
      <c r="HZ42" s="128"/>
      <c r="IA42" s="128"/>
      <c r="IB42" s="128"/>
      <c r="IC42" s="128"/>
      <c r="ID42" s="128"/>
      <c r="IE42" s="128"/>
      <c r="IF42" s="128"/>
      <c r="IG42" s="128"/>
      <c r="IH42" s="128"/>
      <c r="II42" s="128"/>
      <c r="IJ42" s="128"/>
      <c r="IK42" s="128"/>
      <c r="IL42" s="128"/>
      <c r="IM42" s="128"/>
      <c r="IN42" s="128"/>
      <c r="IO42" s="128"/>
      <c r="IP42" s="128"/>
      <c r="IQ42" s="128"/>
      <c r="IR42" s="128"/>
      <c r="IS42" s="128"/>
      <c r="IT42" s="128"/>
      <c r="IU42" s="128"/>
      <c r="IV42" s="128"/>
    </row>
    <row r="43" spans="1:256" s="113" customFormat="1" x14ac:dyDescent="0.25">
      <c r="A43" s="118" t="str">
        <f t="shared" si="0"/>
        <v>18SST304</v>
      </c>
      <c r="B43" s="119"/>
      <c r="C43" s="120"/>
      <c r="D43" s="121" t="s">
        <v>856</v>
      </c>
      <c r="E43" s="122">
        <v>18</v>
      </c>
      <c r="F43" s="123" t="s">
        <v>876</v>
      </c>
      <c r="G43" s="123" t="s">
        <v>876</v>
      </c>
      <c r="H43" s="124">
        <v>4.8009999999999997E-2</v>
      </c>
      <c r="I43" s="123" t="s">
        <v>704</v>
      </c>
      <c r="J43" s="123" t="s">
        <v>705</v>
      </c>
      <c r="K43" s="118" t="s">
        <v>877</v>
      </c>
      <c r="L43" s="122" t="s">
        <v>859</v>
      </c>
      <c r="M43" s="123" t="s">
        <v>860</v>
      </c>
      <c r="N43" s="129" t="s">
        <v>861</v>
      </c>
      <c r="O43" s="123" t="s">
        <v>722</v>
      </c>
      <c r="P43" s="123" t="s">
        <v>711</v>
      </c>
      <c r="Q43" s="123" t="s">
        <v>862</v>
      </c>
      <c r="R43" s="118" t="s">
        <v>878</v>
      </c>
      <c r="S43" s="118" t="s">
        <v>713</v>
      </c>
      <c r="T43" s="126" t="s">
        <v>713</v>
      </c>
      <c r="U43" s="127"/>
      <c r="V43" s="128"/>
      <c r="W43" s="128"/>
      <c r="X43" s="128"/>
      <c r="Y43" s="128"/>
      <c r="Z43" s="128"/>
      <c r="AA43" s="128"/>
      <c r="AB43" s="128"/>
      <c r="AC43" s="128"/>
      <c r="AD43" s="128"/>
      <c r="AE43" s="128"/>
      <c r="AF43" s="128"/>
      <c r="AG43" s="128"/>
      <c r="AH43" s="128"/>
      <c r="AI43" s="128"/>
      <c r="AJ43" s="128"/>
      <c r="AK43" s="128"/>
      <c r="AL43" s="128"/>
      <c r="AM43" s="128"/>
      <c r="AN43" s="128"/>
      <c r="AO43" s="128"/>
      <c r="AP43" s="128"/>
      <c r="AQ43" s="128"/>
      <c r="AR43" s="128"/>
      <c r="AS43" s="128"/>
      <c r="AT43" s="128"/>
      <c r="AU43" s="128"/>
      <c r="AV43" s="128"/>
      <c r="AW43" s="128"/>
      <c r="AX43" s="128"/>
      <c r="AY43" s="128"/>
      <c r="AZ43" s="128"/>
      <c r="BA43" s="128"/>
      <c r="BB43" s="128"/>
      <c r="BC43" s="128"/>
      <c r="BD43" s="128"/>
      <c r="BE43" s="128"/>
      <c r="BF43" s="128"/>
      <c r="BG43" s="128"/>
      <c r="BH43" s="128"/>
      <c r="BI43" s="128"/>
      <c r="BJ43" s="128"/>
      <c r="BK43" s="128"/>
      <c r="BL43" s="128"/>
      <c r="BM43" s="128"/>
      <c r="BN43" s="128"/>
      <c r="BO43" s="128"/>
      <c r="BP43" s="128"/>
      <c r="BQ43" s="128"/>
      <c r="BR43" s="128"/>
      <c r="BS43" s="128"/>
      <c r="BT43" s="128"/>
      <c r="BU43" s="128"/>
      <c r="BV43" s="128"/>
      <c r="BW43" s="128"/>
      <c r="BX43" s="128"/>
      <c r="BY43" s="128"/>
      <c r="BZ43" s="128"/>
      <c r="CA43" s="128"/>
      <c r="CB43" s="128"/>
      <c r="CC43" s="128"/>
      <c r="CD43" s="128"/>
      <c r="CE43" s="128"/>
      <c r="CF43" s="128"/>
      <c r="CG43" s="128"/>
      <c r="CH43" s="128"/>
      <c r="CI43" s="128"/>
      <c r="CJ43" s="128"/>
      <c r="CK43" s="128"/>
      <c r="CL43" s="128"/>
      <c r="CM43" s="128"/>
      <c r="CN43" s="128"/>
      <c r="CO43" s="128"/>
      <c r="CP43" s="128"/>
      <c r="CQ43" s="128"/>
      <c r="CR43" s="128"/>
      <c r="CS43" s="128"/>
      <c r="CT43" s="128"/>
      <c r="CU43" s="128"/>
      <c r="CV43" s="128"/>
      <c r="CW43" s="128"/>
      <c r="CX43" s="128"/>
      <c r="CY43" s="128"/>
      <c r="CZ43" s="128"/>
      <c r="DA43" s="128"/>
      <c r="DB43" s="128"/>
      <c r="DC43" s="128"/>
      <c r="DD43" s="128"/>
      <c r="DE43" s="128"/>
      <c r="DF43" s="128"/>
      <c r="DG43" s="128"/>
      <c r="DH43" s="128"/>
      <c r="DI43" s="128"/>
      <c r="DJ43" s="128"/>
      <c r="DK43" s="128"/>
      <c r="DL43" s="128"/>
      <c r="DM43" s="128"/>
      <c r="DN43" s="128"/>
      <c r="DO43" s="128"/>
      <c r="DP43" s="128"/>
      <c r="DQ43" s="128"/>
      <c r="DR43" s="128"/>
      <c r="DS43" s="128"/>
      <c r="DT43" s="128"/>
      <c r="DU43" s="128"/>
      <c r="DV43" s="128"/>
      <c r="DW43" s="128"/>
      <c r="DX43" s="128"/>
      <c r="DY43" s="128"/>
      <c r="DZ43" s="128"/>
      <c r="EA43" s="128"/>
      <c r="EB43" s="128"/>
      <c r="EC43" s="128"/>
      <c r="ED43" s="128"/>
      <c r="EE43" s="128"/>
      <c r="EF43" s="128"/>
      <c r="EG43" s="128"/>
      <c r="EH43" s="128"/>
      <c r="EI43" s="128"/>
      <c r="EJ43" s="128"/>
      <c r="EK43" s="128"/>
      <c r="EL43" s="128"/>
      <c r="EM43" s="128"/>
      <c r="EN43" s="128"/>
      <c r="EO43" s="128"/>
      <c r="EP43" s="128"/>
      <c r="EQ43" s="128"/>
      <c r="ER43" s="128"/>
      <c r="ES43" s="128"/>
      <c r="ET43" s="128"/>
      <c r="EU43" s="128"/>
      <c r="EV43" s="128"/>
      <c r="EW43" s="128"/>
      <c r="EX43" s="128"/>
      <c r="EY43" s="128"/>
      <c r="EZ43" s="128"/>
      <c r="FA43" s="128"/>
      <c r="FB43" s="128"/>
      <c r="FC43" s="128"/>
      <c r="FD43" s="128"/>
      <c r="FE43" s="128"/>
      <c r="FF43" s="128"/>
      <c r="FG43" s="128"/>
      <c r="FH43" s="128"/>
      <c r="FI43" s="128"/>
      <c r="FJ43" s="128"/>
      <c r="FK43" s="128"/>
      <c r="FL43" s="128"/>
      <c r="FM43" s="128"/>
      <c r="FN43" s="128"/>
      <c r="FO43" s="128"/>
      <c r="FP43" s="128"/>
      <c r="FQ43" s="128"/>
      <c r="FR43" s="128"/>
      <c r="FS43" s="128"/>
      <c r="FT43" s="128"/>
      <c r="FU43" s="128"/>
      <c r="FV43" s="128"/>
      <c r="FW43" s="128"/>
      <c r="FX43" s="128"/>
      <c r="FY43" s="128"/>
      <c r="FZ43" s="128"/>
      <c r="GA43" s="128"/>
      <c r="GB43" s="128"/>
      <c r="GC43" s="128"/>
      <c r="GD43" s="128"/>
      <c r="GE43" s="128"/>
      <c r="GF43" s="128"/>
      <c r="GG43" s="128"/>
      <c r="GH43" s="128"/>
      <c r="GI43" s="128"/>
      <c r="GJ43" s="128"/>
      <c r="GK43" s="128"/>
      <c r="GL43" s="128"/>
      <c r="GM43" s="128"/>
      <c r="GN43" s="128"/>
      <c r="GO43" s="128"/>
      <c r="GP43" s="128"/>
      <c r="GQ43" s="128"/>
      <c r="GR43" s="128"/>
      <c r="GS43" s="128"/>
      <c r="GT43" s="128"/>
      <c r="GU43" s="128"/>
      <c r="GV43" s="128"/>
      <c r="GW43" s="128"/>
      <c r="GX43" s="128"/>
      <c r="GY43" s="128"/>
      <c r="GZ43" s="128"/>
      <c r="HA43" s="128"/>
      <c r="HB43" s="128"/>
      <c r="HC43" s="128"/>
      <c r="HD43" s="128"/>
      <c r="HE43" s="128"/>
      <c r="HF43" s="128"/>
      <c r="HG43" s="128"/>
      <c r="HH43" s="128"/>
      <c r="HI43" s="128"/>
      <c r="HJ43" s="128"/>
      <c r="HK43" s="128"/>
      <c r="HL43" s="128"/>
      <c r="HM43" s="128"/>
      <c r="HN43" s="128"/>
      <c r="HO43" s="128"/>
      <c r="HP43" s="128"/>
      <c r="HQ43" s="128"/>
      <c r="HR43" s="128"/>
      <c r="HS43" s="128"/>
      <c r="HT43" s="128"/>
      <c r="HU43" s="128"/>
      <c r="HV43" s="128"/>
      <c r="HW43" s="128"/>
      <c r="HX43" s="128"/>
      <c r="HY43" s="128"/>
      <c r="HZ43" s="128"/>
      <c r="IA43" s="128"/>
      <c r="IB43" s="128"/>
      <c r="IC43" s="128"/>
      <c r="ID43" s="128"/>
      <c r="IE43" s="128"/>
      <c r="IF43" s="128"/>
      <c r="IG43" s="128"/>
      <c r="IH43" s="128"/>
      <c r="II43" s="128"/>
      <c r="IJ43" s="128"/>
      <c r="IK43" s="128"/>
      <c r="IL43" s="128"/>
      <c r="IM43" s="128"/>
      <c r="IN43" s="128"/>
      <c r="IO43" s="128"/>
      <c r="IP43" s="128"/>
      <c r="IQ43" s="128"/>
      <c r="IR43" s="128"/>
      <c r="IS43" s="128"/>
      <c r="IT43" s="128"/>
      <c r="IU43" s="128"/>
      <c r="IV43" s="128"/>
    </row>
    <row r="44" spans="1:256" s="113" customFormat="1" x14ac:dyDescent="0.25">
      <c r="A44" s="118" t="str">
        <f t="shared" si="0"/>
        <v>20SST304</v>
      </c>
      <c r="B44" s="119"/>
      <c r="C44" s="120"/>
      <c r="D44" s="121" t="s">
        <v>856</v>
      </c>
      <c r="E44" s="122">
        <v>20</v>
      </c>
      <c r="F44" s="123" t="s">
        <v>879</v>
      </c>
      <c r="G44" s="123" t="s">
        <v>879</v>
      </c>
      <c r="H44" s="124">
        <v>3.5009999999999999E-2</v>
      </c>
      <c r="I44" s="123" t="s">
        <v>704</v>
      </c>
      <c r="J44" s="123" t="s">
        <v>705</v>
      </c>
      <c r="K44" s="118" t="s">
        <v>880</v>
      </c>
      <c r="L44" s="122" t="s">
        <v>859</v>
      </c>
      <c r="M44" s="123" t="s">
        <v>860</v>
      </c>
      <c r="N44" s="129" t="s">
        <v>861</v>
      </c>
      <c r="O44" s="123" t="s">
        <v>722</v>
      </c>
      <c r="P44" s="123" t="s">
        <v>711</v>
      </c>
      <c r="Q44" s="123" t="s">
        <v>862</v>
      </c>
      <c r="R44" s="118" t="s">
        <v>881</v>
      </c>
      <c r="S44" s="118" t="s">
        <v>713</v>
      </c>
      <c r="T44" s="126" t="s">
        <v>713</v>
      </c>
      <c r="U44" s="127"/>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c r="BP44" s="128"/>
      <c r="BQ44" s="128"/>
      <c r="BR44" s="128"/>
      <c r="BS44" s="128"/>
      <c r="BT44" s="128"/>
      <c r="BU44" s="128"/>
      <c r="BV44" s="128"/>
      <c r="BW44" s="128"/>
      <c r="BX44" s="128"/>
      <c r="BY44" s="128"/>
      <c r="BZ44" s="128"/>
      <c r="CA44" s="128"/>
      <c r="CB44" s="128"/>
      <c r="CC44" s="128"/>
      <c r="CD44" s="128"/>
      <c r="CE44" s="128"/>
      <c r="CF44" s="128"/>
      <c r="CG44" s="128"/>
      <c r="CH44" s="128"/>
      <c r="CI44" s="128"/>
      <c r="CJ44" s="128"/>
      <c r="CK44" s="128"/>
      <c r="CL44" s="128"/>
      <c r="CM44" s="128"/>
      <c r="CN44" s="128"/>
      <c r="CO44" s="128"/>
      <c r="CP44" s="128"/>
      <c r="CQ44" s="128"/>
      <c r="CR44" s="128"/>
      <c r="CS44" s="128"/>
      <c r="CT44" s="128"/>
      <c r="CU44" s="128"/>
      <c r="CV44" s="128"/>
      <c r="CW44" s="128"/>
      <c r="CX44" s="128"/>
      <c r="CY44" s="128"/>
      <c r="CZ44" s="128"/>
      <c r="DA44" s="128"/>
      <c r="DB44" s="128"/>
      <c r="DC44" s="128"/>
      <c r="DD44" s="128"/>
      <c r="DE44" s="128"/>
      <c r="DF44" s="128"/>
      <c r="DG44" s="128"/>
      <c r="DH44" s="128"/>
      <c r="DI44" s="128"/>
      <c r="DJ44" s="128"/>
      <c r="DK44" s="128"/>
      <c r="DL44" s="128"/>
      <c r="DM44" s="128"/>
      <c r="DN44" s="128"/>
      <c r="DO44" s="128"/>
      <c r="DP44" s="128"/>
      <c r="DQ44" s="128"/>
      <c r="DR44" s="128"/>
      <c r="DS44" s="128"/>
      <c r="DT44" s="128"/>
      <c r="DU44" s="128"/>
      <c r="DV44" s="128"/>
      <c r="DW44" s="128"/>
      <c r="DX44" s="128"/>
      <c r="DY44" s="128"/>
      <c r="DZ44" s="128"/>
      <c r="EA44" s="128"/>
      <c r="EB44" s="128"/>
      <c r="EC44" s="128"/>
      <c r="ED44" s="128"/>
      <c r="EE44" s="128"/>
      <c r="EF44" s="128"/>
      <c r="EG44" s="128"/>
      <c r="EH44" s="128"/>
      <c r="EI44" s="128"/>
      <c r="EJ44" s="128"/>
      <c r="EK44" s="128"/>
      <c r="EL44" s="128"/>
      <c r="EM44" s="128"/>
      <c r="EN44" s="128"/>
      <c r="EO44" s="128"/>
      <c r="EP44" s="128"/>
      <c r="EQ44" s="128"/>
      <c r="ER44" s="128"/>
      <c r="ES44" s="128"/>
      <c r="ET44" s="128"/>
      <c r="EU44" s="128"/>
      <c r="EV44" s="128"/>
      <c r="EW44" s="128"/>
      <c r="EX44" s="128"/>
      <c r="EY44" s="128"/>
      <c r="EZ44" s="128"/>
      <c r="FA44" s="128"/>
      <c r="FB44" s="128"/>
      <c r="FC44" s="128"/>
      <c r="FD44" s="128"/>
      <c r="FE44" s="128"/>
      <c r="FF44" s="128"/>
      <c r="FG44" s="128"/>
      <c r="FH44" s="128"/>
      <c r="FI44" s="128"/>
      <c r="FJ44" s="128"/>
      <c r="FK44" s="128"/>
      <c r="FL44" s="128"/>
      <c r="FM44" s="128"/>
      <c r="FN44" s="128"/>
      <c r="FO44" s="128"/>
      <c r="FP44" s="128"/>
      <c r="FQ44" s="128"/>
      <c r="FR44" s="128"/>
      <c r="FS44" s="128"/>
      <c r="FT44" s="128"/>
      <c r="FU44" s="128"/>
      <c r="FV44" s="128"/>
      <c r="FW44" s="128"/>
      <c r="FX44" s="128"/>
      <c r="FY44" s="128"/>
      <c r="FZ44" s="128"/>
      <c r="GA44" s="128"/>
      <c r="GB44" s="128"/>
      <c r="GC44" s="128"/>
      <c r="GD44" s="128"/>
      <c r="GE44" s="128"/>
      <c r="GF44" s="128"/>
      <c r="GG44" s="128"/>
      <c r="GH44" s="128"/>
      <c r="GI44" s="128"/>
      <c r="GJ44" s="128"/>
      <c r="GK44" s="128"/>
      <c r="GL44" s="128"/>
      <c r="GM44" s="128"/>
      <c r="GN44" s="128"/>
      <c r="GO44" s="128"/>
      <c r="GP44" s="128"/>
      <c r="GQ44" s="128"/>
      <c r="GR44" s="128"/>
      <c r="GS44" s="128"/>
      <c r="GT44" s="128"/>
      <c r="GU44" s="128"/>
      <c r="GV44" s="128"/>
      <c r="GW44" s="128"/>
      <c r="GX44" s="128"/>
      <c r="GY44" s="128"/>
      <c r="GZ44" s="128"/>
      <c r="HA44" s="128"/>
      <c r="HB44" s="128"/>
      <c r="HC44" s="128"/>
      <c r="HD44" s="128"/>
      <c r="HE44" s="128"/>
      <c r="HF44" s="128"/>
      <c r="HG44" s="128"/>
      <c r="HH44" s="128"/>
      <c r="HI44" s="128"/>
      <c r="HJ44" s="128"/>
      <c r="HK44" s="128"/>
      <c r="HL44" s="128"/>
      <c r="HM44" s="128"/>
      <c r="HN44" s="128"/>
      <c r="HO44" s="128"/>
      <c r="HP44" s="128"/>
      <c r="HQ44" s="128"/>
      <c r="HR44" s="128"/>
      <c r="HS44" s="128"/>
      <c r="HT44" s="128"/>
      <c r="HU44" s="128"/>
      <c r="HV44" s="128"/>
      <c r="HW44" s="128"/>
      <c r="HX44" s="128"/>
      <c r="HY44" s="128"/>
      <c r="HZ44" s="128"/>
      <c r="IA44" s="128"/>
      <c r="IB44" s="128"/>
      <c r="IC44" s="128"/>
      <c r="ID44" s="128"/>
      <c r="IE44" s="128"/>
      <c r="IF44" s="128"/>
      <c r="IG44" s="128"/>
      <c r="IH44" s="128"/>
      <c r="II44" s="128"/>
      <c r="IJ44" s="128"/>
      <c r="IK44" s="128"/>
      <c r="IL44" s="128"/>
      <c r="IM44" s="128"/>
      <c r="IN44" s="128"/>
      <c r="IO44" s="128"/>
      <c r="IP44" s="128"/>
      <c r="IQ44" s="128"/>
      <c r="IR44" s="128"/>
      <c r="IS44" s="128"/>
      <c r="IT44" s="128"/>
      <c r="IU44" s="128"/>
      <c r="IV44" s="128"/>
    </row>
    <row r="45" spans="1:256" s="113" customFormat="1" x14ac:dyDescent="0.25">
      <c r="A45" s="118" t="str">
        <f t="shared" si="0"/>
        <v>22SST304</v>
      </c>
      <c r="B45" s="119"/>
      <c r="C45" s="120"/>
      <c r="D45" s="121" t="s">
        <v>856</v>
      </c>
      <c r="E45" s="122" t="s">
        <v>740</v>
      </c>
      <c r="F45" s="123" t="s">
        <v>882</v>
      </c>
      <c r="G45" s="123" t="s">
        <v>882</v>
      </c>
      <c r="H45" s="124">
        <v>2.9010000000000001E-2</v>
      </c>
      <c r="I45" s="123" t="s">
        <v>716</v>
      </c>
      <c r="J45" s="123" t="s">
        <v>705</v>
      </c>
      <c r="K45" s="118" t="s">
        <v>883</v>
      </c>
      <c r="L45" s="122" t="s">
        <v>859</v>
      </c>
      <c r="M45" s="123" t="s">
        <v>860</v>
      </c>
      <c r="N45" s="129" t="s">
        <v>861</v>
      </c>
      <c r="O45" s="123" t="s">
        <v>722</v>
      </c>
      <c r="P45" s="123" t="s">
        <v>711</v>
      </c>
      <c r="Q45" s="123" t="s">
        <v>862</v>
      </c>
      <c r="R45" s="118" t="s">
        <v>884</v>
      </c>
      <c r="S45" s="118" t="s">
        <v>713</v>
      </c>
      <c r="T45" s="126" t="s">
        <v>713</v>
      </c>
      <c r="U45" s="127"/>
      <c r="V45" s="128"/>
      <c r="W45" s="128"/>
      <c r="X45" s="128"/>
      <c r="Y45" s="128"/>
      <c r="Z45" s="128"/>
      <c r="AA45" s="128"/>
      <c r="AB45" s="128"/>
      <c r="AC45" s="128"/>
      <c r="AD45" s="128"/>
      <c r="AE45" s="128"/>
      <c r="AF45" s="128"/>
      <c r="AG45" s="128"/>
      <c r="AH45" s="128"/>
      <c r="AI45" s="128"/>
      <c r="AJ45" s="128"/>
      <c r="AK45" s="128"/>
      <c r="AL45" s="128"/>
      <c r="AM45" s="128"/>
      <c r="AN45" s="128"/>
      <c r="AO45" s="128"/>
      <c r="AP45" s="128"/>
      <c r="AQ45" s="128"/>
      <c r="AR45" s="128"/>
      <c r="AS45" s="128"/>
      <c r="AT45" s="128"/>
      <c r="AU45" s="128"/>
      <c r="AV45" s="128"/>
      <c r="AW45" s="128"/>
      <c r="AX45" s="128"/>
      <c r="AY45" s="128"/>
      <c r="AZ45" s="128"/>
      <c r="BA45" s="128"/>
      <c r="BB45" s="128"/>
      <c r="BC45" s="128"/>
      <c r="BD45" s="128"/>
      <c r="BE45" s="128"/>
      <c r="BF45" s="128"/>
      <c r="BG45" s="128"/>
      <c r="BH45" s="128"/>
      <c r="BI45" s="128"/>
      <c r="BJ45" s="128"/>
      <c r="BK45" s="128"/>
      <c r="BL45" s="128"/>
      <c r="BM45" s="128"/>
      <c r="BN45" s="128"/>
      <c r="BO45" s="128"/>
      <c r="BP45" s="128"/>
      <c r="BQ45" s="128"/>
      <c r="BR45" s="128"/>
      <c r="BS45" s="128"/>
      <c r="BT45" s="128"/>
      <c r="BU45" s="128"/>
      <c r="BV45" s="128"/>
      <c r="BW45" s="128"/>
      <c r="BX45" s="128"/>
      <c r="BY45" s="128"/>
      <c r="BZ45" s="128"/>
      <c r="CA45" s="128"/>
      <c r="CB45" s="128"/>
      <c r="CC45" s="128"/>
      <c r="CD45" s="128"/>
      <c r="CE45" s="128"/>
      <c r="CF45" s="128"/>
      <c r="CG45" s="128"/>
      <c r="CH45" s="128"/>
      <c r="CI45" s="128"/>
      <c r="CJ45" s="128"/>
      <c r="CK45" s="128"/>
      <c r="CL45" s="128"/>
      <c r="CM45" s="128"/>
      <c r="CN45" s="128"/>
      <c r="CO45" s="128"/>
      <c r="CP45" s="128"/>
      <c r="CQ45" s="128"/>
      <c r="CR45" s="128"/>
      <c r="CS45" s="128"/>
      <c r="CT45" s="128"/>
      <c r="CU45" s="128"/>
      <c r="CV45" s="128"/>
      <c r="CW45" s="128"/>
      <c r="CX45" s="128"/>
      <c r="CY45" s="128"/>
      <c r="CZ45" s="128"/>
      <c r="DA45" s="128"/>
      <c r="DB45" s="128"/>
      <c r="DC45" s="128"/>
      <c r="DD45" s="128"/>
      <c r="DE45" s="128"/>
      <c r="DF45" s="128"/>
      <c r="DG45" s="128"/>
      <c r="DH45" s="128"/>
      <c r="DI45" s="128"/>
      <c r="DJ45" s="128"/>
      <c r="DK45" s="128"/>
      <c r="DL45" s="128"/>
      <c r="DM45" s="128"/>
      <c r="DN45" s="128"/>
      <c r="DO45" s="128"/>
      <c r="DP45" s="128"/>
      <c r="DQ45" s="128"/>
      <c r="DR45" s="128"/>
      <c r="DS45" s="128"/>
      <c r="DT45" s="128"/>
      <c r="DU45" s="128"/>
      <c r="DV45" s="128"/>
      <c r="DW45" s="128"/>
      <c r="DX45" s="128"/>
      <c r="DY45" s="128"/>
      <c r="DZ45" s="128"/>
      <c r="EA45" s="128"/>
      <c r="EB45" s="128"/>
      <c r="EC45" s="128"/>
      <c r="ED45" s="128"/>
      <c r="EE45" s="128"/>
      <c r="EF45" s="128"/>
      <c r="EG45" s="128"/>
      <c r="EH45" s="128"/>
      <c r="EI45" s="128"/>
      <c r="EJ45" s="128"/>
      <c r="EK45" s="128"/>
      <c r="EL45" s="128"/>
      <c r="EM45" s="128"/>
      <c r="EN45" s="128"/>
      <c r="EO45" s="128"/>
      <c r="EP45" s="128"/>
      <c r="EQ45" s="128"/>
      <c r="ER45" s="128"/>
      <c r="ES45" s="128"/>
      <c r="ET45" s="128"/>
      <c r="EU45" s="128"/>
      <c r="EV45" s="128"/>
      <c r="EW45" s="128"/>
      <c r="EX45" s="128"/>
      <c r="EY45" s="128"/>
      <c r="EZ45" s="128"/>
      <c r="FA45" s="128"/>
      <c r="FB45" s="128"/>
      <c r="FC45" s="128"/>
      <c r="FD45" s="128"/>
      <c r="FE45" s="128"/>
      <c r="FF45" s="128"/>
      <c r="FG45" s="128"/>
      <c r="FH45" s="128"/>
      <c r="FI45" s="128"/>
      <c r="FJ45" s="128"/>
      <c r="FK45" s="128"/>
      <c r="FL45" s="128"/>
      <c r="FM45" s="128"/>
      <c r="FN45" s="128"/>
      <c r="FO45" s="128"/>
      <c r="FP45" s="128"/>
      <c r="FQ45" s="128"/>
      <c r="FR45" s="128"/>
      <c r="FS45" s="128"/>
      <c r="FT45" s="128"/>
      <c r="FU45" s="128"/>
      <c r="FV45" s="128"/>
      <c r="FW45" s="128"/>
      <c r="FX45" s="128"/>
      <c r="FY45" s="128"/>
      <c r="FZ45" s="128"/>
      <c r="GA45" s="128"/>
      <c r="GB45" s="128"/>
      <c r="GC45" s="128"/>
      <c r="GD45" s="128"/>
      <c r="GE45" s="128"/>
      <c r="GF45" s="128"/>
      <c r="GG45" s="128"/>
      <c r="GH45" s="128"/>
      <c r="GI45" s="128"/>
      <c r="GJ45" s="128"/>
      <c r="GK45" s="128"/>
      <c r="GL45" s="128"/>
      <c r="GM45" s="128"/>
      <c r="GN45" s="128"/>
      <c r="GO45" s="128"/>
      <c r="GP45" s="128"/>
      <c r="GQ45" s="128"/>
      <c r="GR45" s="128"/>
      <c r="GS45" s="128"/>
      <c r="GT45" s="128"/>
      <c r="GU45" s="128"/>
      <c r="GV45" s="128"/>
      <c r="GW45" s="128"/>
      <c r="GX45" s="128"/>
      <c r="GY45" s="128"/>
      <c r="GZ45" s="128"/>
      <c r="HA45" s="128"/>
      <c r="HB45" s="128"/>
      <c r="HC45" s="128"/>
      <c r="HD45" s="128"/>
      <c r="HE45" s="128"/>
      <c r="HF45" s="128"/>
      <c r="HG45" s="128"/>
      <c r="HH45" s="128"/>
      <c r="HI45" s="128"/>
      <c r="HJ45" s="128"/>
      <c r="HK45" s="128"/>
      <c r="HL45" s="128"/>
      <c r="HM45" s="128"/>
      <c r="HN45" s="128"/>
      <c r="HO45" s="128"/>
      <c r="HP45" s="128"/>
      <c r="HQ45" s="128"/>
      <c r="HR45" s="128"/>
      <c r="HS45" s="128"/>
      <c r="HT45" s="128"/>
      <c r="HU45" s="128"/>
      <c r="HV45" s="128"/>
      <c r="HW45" s="128"/>
      <c r="HX45" s="128"/>
      <c r="HY45" s="128"/>
      <c r="HZ45" s="128"/>
      <c r="IA45" s="128"/>
      <c r="IB45" s="128"/>
      <c r="IC45" s="128"/>
      <c r="ID45" s="128"/>
      <c r="IE45" s="128"/>
      <c r="IF45" s="128"/>
      <c r="IG45" s="128"/>
      <c r="IH45" s="128"/>
      <c r="II45" s="128"/>
      <c r="IJ45" s="128"/>
      <c r="IK45" s="128"/>
      <c r="IL45" s="128"/>
      <c r="IM45" s="128"/>
      <c r="IN45" s="128"/>
      <c r="IO45" s="128"/>
      <c r="IP45" s="128"/>
      <c r="IQ45" s="128"/>
      <c r="IR45" s="128"/>
      <c r="IS45" s="128"/>
      <c r="IT45" s="128"/>
      <c r="IU45" s="128"/>
      <c r="IV45" s="128"/>
    </row>
    <row r="46" spans="1:256" s="113" customFormat="1" x14ac:dyDescent="0.25">
      <c r="A46" s="118" t="str">
        <f t="shared" si="0"/>
        <v>24SST304</v>
      </c>
      <c r="B46" s="119"/>
      <c r="C46" s="120"/>
      <c r="D46" s="121" t="s">
        <v>856</v>
      </c>
      <c r="E46" s="122" t="s">
        <v>744</v>
      </c>
      <c r="F46" s="123" t="s">
        <v>885</v>
      </c>
      <c r="G46" s="123" t="s">
        <v>885</v>
      </c>
      <c r="H46" s="124">
        <v>2.401E-2</v>
      </c>
      <c r="I46" s="123" t="s">
        <v>713</v>
      </c>
      <c r="J46" s="123" t="s">
        <v>713</v>
      </c>
      <c r="K46" s="118" t="s">
        <v>886</v>
      </c>
      <c r="L46" s="122" t="s">
        <v>859</v>
      </c>
      <c r="M46" s="123" t="s">
        <v>860</v>
      </c>
      <c r="N46" s="129" t="s">
        <v>861</v>
      </c>
      <c r="O46" s="123" t="s">
        <v>722</v>
      </c>
      <c r="P46" s="123" t="s">
        <v>711</v>
      </c>
      <c r="Q46" s="123" t="s">
        <v>862</v>
      </c>
      <c r="R46" s="118" t="s">
        <v>887</v>
      </c>
      <c r="S46" s="118" t="s">
        <v>713</v>
      </c>
      <c r="T46" s="126" t="s">
        <v>713</v>
      </c>
      <c r="U46" s="127"/>
      <c r="V46" s="128"/>
      <c r="W46" s="128"/>
      <c r="X46" s="128"/>
      <c r="Y46" s="128"/>
      <c r="Z46" s="128"/>
      <c r="AA46" s="128"/>
      <c r="AB46" s="128"/>
      <c r="AC46" s="128"/>
      <c r="AD46" s="128"/>
      <c r="AE46" s="128"/>
      <c r="AF46" s="128"/>
      <c r="AG46" s="128"/>
      <c r="AH46" s="128"/>
      <c r="AI46" s="128"/>
      <c r="AJ46" s="128"/>
      <c r="AK46" s="128"/>
      <c r="AL46" s="128"/>
      <c r="AM46" s="128"/>
      <c r="AN46" s="128"/>
      <c r="AO46" s="128"/>
      <c r="AP46" s="128"/>
      <c r="AQ46" s="128"/>
      <c r="AR46" s="128"/>
      <c r="AS46" s="128"/>
      <c r="AT46" s="128"/>
      <c r="AU46" s="128"/>
      <c r="AV46" s="128"/>
      <c r="AW46" s="128"/>
      <c r="AX46" s="128"/>
      <c r="AY46" s="128"/>
      <c r="AZ46" s="128"/>
      <c r="BA46" s="128"/>
      <c r="BB46" s="128"/>
      <c r="BC46" s="128"/>
      <c r="BD46" s="128"/>
      <c r="BE46" s="128"/>
      <c r="BF46" s="128"/>
      <c r="BG46" s="128"/>
      <c r="BH46" s="128"/>
      <c r="BI46" s="128"/>
      <c r="BJ46" s="128"/>
      <c r="BK46" s="128"/>
      <c r="BL46" s="128"/>
      <c r="BM46" s="128"/>
      <c r="BN46" s="128"/>
      <c r="BO46" s="128"/>
      <c r="BP46" s="128"/>
      <c r="BQ46" s="128"/>
      <c r="BR46" s="128"/>
      <c r="BS46" s="128"/>
      <c r="BT46" s="128"/>
      <c r="BU46" s="128"/>
      <c r="BV46" s="128"/>
      <c r="BW46" s="128"/>
      <c r="BX46" s="128"/>
      <c r="BY46" s="128"/>
      <c r="BZ46" s="128"/>
      <c r="CA46" s="128"/>
      <c r="CB46" s="128"/>
      <c r="CC46" s="128"/>
      <c r="CD46" s="128"/>
      <c r="CE46" s="128"/>
      <c r="CF46" s="128"/>
      <c r="CG46" s="128"/>
      <c r="CH46" s="128"/>
      <c r="CI46" s="128"/>
      <c r="CJ46" s="128"/>
      <c r="CK46" s="128"/>
      <c r="CL46" s="128"/>
      <c r="CM46" s="128"/>
      <c r="CN46" s="128"/>
      <c r="CO46" s="128"/>
      <c r="CP46" s="128"/>
      <c r="CQ46" s="128"/>
      <c r="CR46" s="128"/>
      <c r="CS46" s="128"/>
      <c r="CT46" s="128"/>
      <c r="CU46" s="128"/>
      <c r="CV46" s="128"/>
      <c r="CW46" s="128"/>
      <c r="CX46" s="128"/>
      <c r="CY46" s="128"/>
      <c r="CZ46" s="128"/>
      <c r="DA46" s="128"/>
      <c r="DB46" s="128"/>
      <c r="DC46" s="128"/>
      <c r="DD46" s="128"/>
      <c r="DE46" s="128"/>
      <c r="DF46" s="128"/>
      <c r="DG46" s="128"/>
      <c r="DH46" s="128"/>
      <c r="DI46" s="128"/>
      <c r="DJ46" s="128"/>
      <c r="DK46" s="128"/>
      <c r="DL46" s="128"/>
      <c r="DM46" s="128"/>
      <c r="DN46" s="128"/>
      <c r="DO46" s="128"/>
      <c r="DP46" s="128"/>
      <c r="DQ46" s="128"/>
      <c r="DR46" s="128"/>
      <c r="DS46" s="128"/>
      <c r="DT46" s="128"/>
      <c r="DU46" s="128"/>
      <c r="DV46" s="128"/>
      <c r="DW46" s="128"/>
      <c r="DX46" s="128"/>
      <c r="DY46" s="128"/>
      <c r="DZ46" s="128"/>
      <c r="EA46" s="128"/>
      <c r="EB46" s="128"/>
      <c r="EC46" s="128"/>
      <c r="ED46" s="128"/>
      <c r="EE46" s="128"/>
      <c r="EF46" s="128"/>
      <c r="EG46" s="128"/>
      <c r="EH46" s="128"/>
      <c r="EI46" s="128"/>
      <c r="EJ46" s="128"/>
      <c r="EK46" s="128"/>
      <c r="EL46" s="128"/>
      <c r="EM46" s="128"/>
      <c r="EN46" s="128"/>
      <c r="EO46" s="128"/>
      <c r="EP46" s="128"/>
      <c r="EQ46" s="128"/>
      <c r="ER46" s="128"/>
      <c r="ES46" s="128"/>
      <c r="ET46" s="128"/>
      <c r="EU46" s="128"/>
      <c r="EV46" s="128"/>
      <c r="EW46" s="128"/>
      <c r="EX46" s="128"/>
      <c r="EY46" s="128"/>
      <c r="EZ46" s="128"/>
      <c r="FA46" s="128"/>
      <c r="FB46" s="128"/>
      <c r="FC46" s="128"/>
      <c r="FD46" s="128"/>
      <c r="FE46" s="128"/>
      <c r="FF46" s="128"/>
      <c r="FG46" s="128"/>
      <c r="FH46" s="128"/>
      <c r="FI46" s="128"/>
      <c r="FJ46" s="128"/>
      <c r="FK46" s="128"/>
      <c r="FL46" s="128"/>
      <c r="FM46" s="128"/>
      <c r="FN46" s="128"/>
      <c r="FO46" s="128"/>
      <c r="FP46" s="128"/>
      <c r="FQ46" s="128"/>
      <c r="FR46" s="128"/>
      <c r="FS46" s="128"/>
      <c r="FT46" s="128"/>
      <c r="FU46" s="128"/>
      <c r="FV46" s="128"/>
      <c r="FW46" s="128"/>
      <c r="FX46" s="128"/>
      <c r="FY46" s="128"/>
      <c r="FZ46" s="128"/>
      <c r="GA46" s="128"/>
      <c r="GB46" s="128"/>
      <c r="GC46" s="128"/>
      <c r="GD46" s="128"/>
      <c r="GE46" s="128"/>
      <c r="GF46" s="128"/>
      <c r="GG46" s="128"/>
      <c r="GH46" s="128"/>
      <c r="GI46" s="128"/>
      <c r="GJ46" s="128"/>
      <c r="GK46" s="128"/>
      <c r="GL46" s="128"/>
      <c r="GM46" s="128"/>
      <c r="GN46" s="128"/>
      <c r="GO46" s="128"/>
      <c r="GP46" s="128"/>
      <c r="GQ46" s="128"/>
      <c r="GR46" s="128"/>
      <c r="GS46" s="128"/>
      <c r="GT46" s="128"/>
      <c r="GU46" s="128"/>
      <c r="GV46" s="128"/>
      <c r="GW46" s="128"/>
      <c r="GX46" s="128"/>
      <c r="GY46" s="128"/>
      <c r="GZ46" s="128"/>
      <c r="HA46" s="128"/>
      <c r="HB46" s="128"/>
      <c r="HC46" s="128"/>
      <c r="HD46" s="128"/>
      <c r="HE46" s="128"/>
      <c r="HF46" s="128"/>
      <c r="HG46" s="128"/>
      <c r="HH46" s="128"/>
      <c r="HI46" s="128"/>
      <c r="HJ46" s="128"/>
      <c r="HK46" s="128"/>
      <c r="HL46" s="128"/>
      <c r="HM46" s="128"/>
      <c r="HN46" s="128"/>
      <c r="HO46" s="128"/>
      <c r="HP46" s="128"/>
      <c r="HQ46" s="128"/>
      <c r="HR46" s="128"/>
      <c r="HS46" s="128"/>
      <c r="HT46" s="128"/>
      <c r="HU46" s="128"/>
      <c r="HV46" s="128"/>
      <c r="HW46" s="128"/>
      <c r="HX46" s="128"/>
      <c r="HY46" s="128"/>
      <c r="HZ46" s="128"/>
      <c r="IA46" s="128"/>
      <c r="IB46" s="128"/>
      <c r="IC46" s="128"/>
      <c r="ID46" s="128"/>
      <c r="IE46" s="128"/>
      <c r="IF46" s="128"/>
      <c r="IG46" s="128"/>
      <c r="IH46" s="128"/>
      <c r="II46" s="128"/>
      <c r="IJ46" s="128"/>
      <c r="IK46" s="128"/>
      <c r="IL46" s="128"/>
      <c r="IM46" s="128"/>
      <c r="IN46" s="128"/>
      <c r="IO46" s="128"/>
      <c r="IP46" s="128"/>
      <c r="IQ46" s="128"/>
      <c r="IR46" s="128"/>
      <c r="IS46" s="128"/>
      <c r="IT46" s="128"/>
      <c r="IU46" s="128"/>
      <c r="IV46" s="128"/>
    </row>
    <row r="47" spans="1:256" s="113" customFormat="1" x14ac:dyDescent="0.25">
      <c r="A47" s="118" t="str">
        <f t="shared" si="0"/>
        <v>12SST304L</v>
      </c>
      <c r="B47" s="119"/>
      <c r="C47" s="120"/>
      <c r="D47" s="121" t="s">
        <v>856</v>
      </c>
      <c r="E47" s="122" t="s">
        <v>815</v>
      </c>
      <c r="F47" s="123" t="s">
        <v>867</v>
      </c>
      <c r="G47" s="123" t="s">
        <v>867</v>
      </c>
      <c r="H47" s="124">
        <v>0.10502</v>
      </c>
      <c r="I47" s="123" t="s">
        <v>716</v>
      </c>
      <c r="J47" s="123" t="s">
        <v>705</v>
      </c>
      <c r="K47" s="123" t="s">
        <v>888</v>
      </c>
      <c r="L47" s="122" t="s">
        <v>889</v>
      </c>
      <c r="M47" s="123" t="s">
        <v>890</v>
      </c>
      <c r="N47" s="129" t="s">
        <v>861</v>
      </c>
      <c r="O47" s="123" t="s">
        <v>722</v>
      </c>
      <c r="P47" s="123" t="s">
        <v>711</v>
      </c>
      <c r="Q47" s="123" t="s">
        <v>891</v>
      </c>
      <c r="R47" s="118" t="s">
        <v>892</v>
      </c>
      <c r="S47" s="118" t="s">
        <v>713</v>
      </c>
      <c r="T47" s="126" t="s">
        <v>713</v>
      </c>
      <c r="U47" s="127"/>
      <c r="V47" s="128"/>
      <c r="W47" s="128"/>
      <c r="X47" s="128"/>
      <c r="Y47" s="128"/>
      <c r="Z47" s="128"/>
      <c r="AA47" s="128"/>
      <c r="AB47" s="128"/>
      <c r="AC47" s="128"/>
      <c r="AD47" s="128"/>
      <c r="AE47" s="128"/>
      <c r="AF47" s="128"/>
      <c r="AG47" s="128"/>
      <c r="AH47" s="128"/>
      <c r="AI47" s="128"/>
      <c r="AJ47" s="128"/>
      <c r="AK47" s="128"/>
      <c r="AL47" s="128"/>
      <c r="AM47" s="128"/>
      <c r="AN47" s="128"/>
      <c r="AO47" s="128"/>
      <c r="AP47" s="128"/>
      <c r="AQ47" s="128"/>
      <c r="AR47" s="128"/>
      <c r="AS47" s="128"/>
      <c r="AT47" s="128"/>
      <c r="AU47" s="128"/>
      <c r="AV47" s="128"/>
      <c r="AW47" s="128"/>
      <c r="AX47" s="128"/>
      <c r="AY47" s="128"/>
      <c r="AZ47" s="128"/>
      <c r="BA47" s="128"/>
      <c r="BB47" s="128"/>
      <c r="BC47" s="128"/>
      <c r="BD47" s="128"/>
      <c r="BE47" s="128"/>
      <c r="BF47" s="128"/>
      <c r="BG47" s="128"/>
      <c r="BH47" s="128"/>
      <c r="BI47" s="128"/>
      <c r="BJ47" s="128"/>
      <c r="BK47" s="128"/>
      <c r="BL47" s="128"/>
      <c r="BM47" s="128"/>
      <c r="BN47" s="128"/>
      <c r="BO47" s="128"/>
      <c r="BP47" s="128"/>
      <c r="BQ47" s="128"/>
      <c r="BR47" s="128"/>
      <c r="BS47" s="128"/>
      <c r="BT47" s="128"/>
      <c r="BU47" s="128"/>
      <c r="BV47" s="128"/>
      <c r="BW47" s="128"/>
      <c r="BX47" s="128"/>
      <c r="BY47" s="128"/>
      <c r="BZ47" s="128"/>
      <c r="CA47" s="128"/>
      <c r="CB47" s="128"/>
      <c r="CC47" s="128"/>
      <c r="CD47" s="128"/>
      <c r="CE47" s="128"/>
      <c r="CF47" s="128"/>
      <c r="CG47" s="128"/>
      <c r="CH47" s="128"/>
      <c r="CI47" s="128"/>
      <c r="CJ47" s="128"/>
      <c r="CK47" s="128"/>
      <c r="CL47" s="128"/>
      <c r="CM47" s="128"/>
      <c r="CN47" s="128"/>
      <c r="CO47" s="128"/>
      <c r="CP47" s="128"/>
      <c r="CQ47" s="128"/>
      <c r="CR47" s="128"/>
      <c r="CS47" s="128"/>
      <c r="CT47" s="128"/>
      <c r="CU47" s="128"/>
      <c r="CV47" s="128"/>
      <c r="CW47" s="128"/>
      <c r="CX47" s="128"/>
      <c r="CY47" s="128"/>
      <c r="CZ47" s="128"/>
      <c r="DA47" s="128"/>
      <c r="DB47" s="128"/>
      <c r="DC47" s="128"/>
      <c r="DD47" s="128"/>
      <c r="DE47" s="128"/>
      <c r="DF47" s="128"/>
      <c r="DG47" s="128"/>
      <c r="DH47" s="128"/>
      <c r="DI47" s="128"/>
      <c r="DJ47" s="128"/>
      <c r="DK47" s="128"/>
      <c r="DL47" s="128"/>
      <c r="DM47" s="128"/>
      <c r="DN47" s="128"/>
      <c r="DO47" s="128"/>
      <c r="DP47" s="128"/>
      <c r="DQ47" s="128"/>
      <c r="DR47" s="128"/>
      <c r="DS47" s="128"/>
      <c r="DT47" s="128"/>
      <c r="DU47" s="128"/>
      <c r="DV47" s="128"/>
      <c r="DW47" s="128"/>
      <c r="DX47" s="128"/>
      <c r="DY47" s="128"/>
      <c r="DZ47" s="128"/>
      <c r="EA47" s="128"/>
      <c r="EB47" s="128"/>
      <c r="EC47" s="128"/>
      <c r="ED47" s="128"/>
      <c r="EE47" s="128"/>
      <c r="EF47" s="128"/>
      <c r="EG47" s="128"/>
      <c r="EH47" s="128"/>
      <c r="EI47" s="128"/>
      <c r="EJ47" s="128"/>
      <c r="EK47" s="128"/>
      <c r="EL47" s="128"/>
      <c r="EM47" s="128"/>
      <c r="EN47" s="128"/>
      <c r="EO47" s="128"/>
      <c r="EP47" s="128"/>
      <c r="EQ47" s="128"/>
      <c r="ER47" s="128"/>
      <c r="ES47" s="128"/>
      <c r="ET47" s="128"/>
      <c r="EU47" s="128"/>
      <c r="EV47" s="128"/>
      <c r="EW47" s="128"/>
      <c r="EX47" s="128"/>
      <c r="EY47" s="128"/>
      <c r="EZ47" s="128"/>
      <c r="FA47" s="128"/>
      <c r="FB47" s="128"/>
      <c r="FC47" s="128"/>
      <c r="FD47" s="128"/>
      <c r="FE47" s="128"/>
      <c r="FF47" s="128"/>
      <c r="FG47" s="128"/>
      <c r="FH47" s="128"/>
      <c r="FI47" s="128"/>
      <c r="FJ47" s="128"/>
      <c r="FK47" s="128"/>
      <c r="FL47" s="128"/>
      <c r="FM47" s="128"/>
      <c r="FN47" s="128"/>
      <c r="FO47" s="128"/>
      <c r="FP47" s="128"/>
      <c r="FQ47" s="128"/>
      <c r="FR47" s="128"/>
      <c r="FS47" s="128"/>
      <c r="FT47" s="128"/>
      <c r="FU47" s="128"/>
      <c r="FV47" s="128"/>
      <c r="FW47" s="128"/>
      <c r="FX47" s="128"/>
      <c r="FY47" s="128"/>
      <c r="FZ47" s="128"/>
      <c r="GA47" s="128"/>
      <c r="GB47" s="128"/>
      <c r="GC47" s="128"/>
      <c r="GD47" s="128"/>
      <c r="GE47" s="128"/>
      <c r="GF47" s="128"/>
      <c r="GG47" s="128"/>
      <c r="GH47" s="128"/>
      <c r="GI47" s="128"/>
      <c r="GJ47" s="128"/>
      <c r="GK47" s="128"/>
      <c r="GL47" s="128"/>
      <c r="GM47" s="128"/>
      <c r="GN47" s="128"/>
      <c r="GO47" s="128"/>
      <c r="GP47" s="128"/>
      <c r="GQ47" s="128"/>
      <c r="GR47" s="128"/>
      <c r="GS47" s="128"/>
      <c r="GT47" s="128"/>
      <c r="GU47" s="128"/>
      <c r="GV47" s="128"/>
      <c r="GW47" s="128"/>
      <c r="GX47" s="128"/>
      <c r="GY47" s="128"/>
      <c r="GZ47" s="128"/>
      <c r="HA47" s="128"/>
      <c r="HB47" s="128"/>
      <c r="HC47" s="128"/>
      <c r="HD47" s="128"/>
      <c r="HE47" s="128"/>
      <c r="HF47" s="128"/>
      <c r="HG47" s="128"/>
      <c r="HH47" s="128"/>
      <c r="HI47" s="128"/>
      <c r="HJ47" s="128"/>
      <c r="HK47" s="128"/>
      <c r="HL47" s="128"/>
      <c r="HM47" s="128"/>
      <c r="HN47" s="128"/>
      <c r="HO47" s="128"/>
      <c r="HP47" s="128"/>
      <c r="HQ47" s="128"/>
      <c r="HR47" s="128"/>
      <c r="HS47" s="128"/>
      <c r="HT47" s="128"/>
      <c r="HU47" s="128"/>
      <c r="HV47" s="128"/>
      <c r="HW47" s="128"/>
      <c r="HX47" s="128"/>
      <c r="HY47" s="128"/>
      <c r="HZ47" s="128"/>
      <c r="IA47" s="128"/>
      <c r="IB47" s="128"/>
      <c r="IC47" s="128"/>
      <c r="ID47" s="128"/>
      <c r="IE47" s="128"/>
      <c r="IF47" s="128"/>
      <c r="IG47" s="128"/>
      <c r="IH47" s="128"/>
      <c r="II47" s="128"/>
      <c r="IJ47" s="128"/>
      <c r="IK47" s="128"/>
      <c r="IL47" s="128"/>
      <c r="IM47" s="128"/>
      <c r="IN47" s="128"/>
      <c r="IO47" s="128"/>
      <c r="IP47" s="128"/>
      <c r="IQ47" s="128"/>
      <c r="IR47" s="128"/>
      <c r="IS47" s="128"/>
      <c r="IT47" s="128"/>
      <c r="IU47" s="128"/>
      <c r="IV47" s="128"/>
    </row>
    <row r="48" spans="1:256" s="113" customFormat="1" x14ac:dyDescent="0.25">
      <c r="A48" s="118" t="str">
        <f t="shared" si="0"/>
        <v>16SST304L</v>
      </c>
      <c r="B48" s="119"/>
      <c r="C48" s="120"/>
      <c r="D48" s="121" t="s">
        <v>856</v>
      </c>
      <c r="E48" s="122" t="s">
        <v>839</v>
      </c>
      <c r="F48" s="123" t="s">
        <v>873</v>
      </c>
      <c r="G48" s="123" t="s">
        <v>873</v>
      </c>
      <c r="H48" s="124">
        <v>6.0019999999999997E-2</v>
      </c>
      <c r="I48" s="123" t="s">
        <v>716</v>
      </c>
      <c r="J48" s="123" t="s">
        <v>705</v>
      </c>
      <c r="K48" s="123" t="s">
        <v>893</v>
      </c>
      <c r="L48" s="122" t="s">
        <v>894</v>
      </c>
      <c r="M48" s="123" t="s">
        <v>890</v>
      </c>
      <c r="N48" s="129" t="s">
        <v>861</v>
      </c>
      <c r="O48" s="123" t="s">
        <v>722</v>
      </c>
      <c r="P48" s="123" t="s">
        <v>711</v>
      </c>
      <c r="Q48" s="123" t="s">
        <v>891</v>
      </c>
      <c r="R48" s="118" t="s">
        <v>895</v>
      </c>
      <c r="S48" s="118" t="s">
        <v>713</v>
      </c>
      <c r="T48" s="126" t="s">
        <v>713</v>
      </c>
      <c r="U48" s="127"/>
      <c r="V48" s="128"/>
      <c r="W48" s="128"/>
      <c r="X48" s="128"/>
      <c r="Y48" s="128"/>
      <c r="Z48" s="128"/>
      <c r="AA48" s="128"/>
      <c r="AB48" s="128"/>
      <c r="AC48" s="128"/>
      <c r="AD48" s="128"/>
      <c r="AE48" s="128"/>
      <c r="AF48" s="128"/>
      <c r="AG48" s="128"/>
      <c r="AH48" s="128"/>
      <c r="AI48" s="128"/>
      <c r="AJ48" s="128"/>
      <c r="AK48" s="128"/>
      <c r="AL48" s="128"/>
      <c r="AM48" s="128"/>
      <c r="AN48" s="128"/>
      <c r="AO48" s="128"/>
      <c r="AP48" s="128"/>
      <c r="AQ48" s="128"/>
      <c r="AR48" s="128"/>
      <c r="AS48" s="128"/>
      <c r="AT48" s="128"/>
      <c r="AU48" s="128"/>
      <c r="AV48" s="128"/>
      <c r="AW48" s="128"/>
      <c r="AX48" s="128"/>
      <c r="AY48" s="128"/>
      <c r="AZ48" s="128"/>
      <c r="BA48" s="128"/>
      <c r="BB48" s="128"/>
      <c r="BC48" s="128"/>
      <c r="BD48" s="128"/>
      <c r="BE48" s="128"/>
      <c r="BF48" s="128"/>
      <c r="BG48" s="128"/>
      <c r="BH48" s="128"/>
      <c r="BI48" s="128"/>
      <c r="BJ48" s="128"/>
      <c r="BK48" s="128"/>
      <c r="BL48" s="128"/>
      <c r="BM48" s="128"/>
      <c r="BN48" s="128"/>
      <c r="BO48" s="128"/>
      <c r="BP48" s="128"/>
      <c r="BQ48" s="128"/>
      <c r="BR48" s="128"/>
      <c r="BS48" s="128"/>
      <c r="BT48" s="128"/>
      <c r="BU48" s="128"/>
      <c r="BV48" s="128"/>
      <c r="BW48" s="128"/>
      <c r="BX48" s="128"/>
      <c r="BY48" s="128"/>
      <c r="BZ48" s="128"/>
      <c r="CA48" s="128"/>
      <c r="CB48" s="128"/>
      <c r="CC48" s="128"/>
      <c r="CD48" s="128"/>
      <c r="CE48" s="128"/>
      <c r="CF48" s="128"/>
      <c r="CG48" s="128"/>
      <c r="CH48" s="128"/>
      <c r="CI48" s="128"/>
      <c r="CJ48" s="128"/>
      <c r="CK48" s="128"/>
      <c r="CL48" s="128"/>
      <c r="CM48" s="128"/>
      <c r="CN48" s="128"/>
      <c r="CO48" s="128"/>
      <c r="CP48" s="128"/>
      <c r="CQ48" s="128"/>
      <c r="CR48" s="128"/>
      <c r="CS48" s="128"/>
      <c r="CT48" s="128"/>
      <c r="CU48" s="128"/>
      <c r="CV48" s="128"/>
      <c r="CW48" s="128"/>
      <c r="CX48" s="128"/>
      <c r="CY48" s="128"/>
      <c r="CZ48" s="128"/>
      <c r="DA48" s="128"/>
      <c r="DB48" s="128"/>
      <c r="DC48" s="128"/>
      <c r="DD48" s="128"/>
      <c r="DE48" s="128"/>
      <c r="DF48" s="128"/>
      <c r="DG48" s="128"/>
      <c r="DH48" s="128"/>
      <c r="DI48" s="128"/>
      <c r="DJ48" s="128"/>
      <c r="DK48" s="128"/>
      <c r="DL48" s="128"/>
      <c r="DM48" s="128"/>
      <c r="DN48" s="128"/>
      <c r="DO48" s="128"/>
      <c r="DP48" s="128"/>
      <c r="DQ48" s="128"/>
      <c r="DR48" s="128"/>
      <c r="DS48" s="128"/>
      <c r="DT48" s="128"/>
      <c r="DU48" s="128"/>
      <c r="DV48" s="128"/>
      <c r="DW48" s="128"/>
      <c r="DX48" s="128"/>
      <c r="DY48" s="128"/>
      <c r="DZ48" s="128"/>
      <c r="EA48" s="128"/>
      <c r="EB48" s="128"/>
      <c r="EC48" s="128"/>
      <c r="ED48" s="128"/>
      <c r="EE48" s="128"/>
      <c r="EF48" s="128"/>
      <c r="EG48" s="128"/>
      <c r="EH48" s="128"/>
      <c r="EI48" s="128"/>
      <c r="EJ48" s="128"/>
      <c r="EK48" s="128"/>
      <c r="EL48" s="128"/>
      <c r="EM48" s="128"/>
      <c r="EN48" s="128"/>
      <c r="EO48" s="128"/>
      <c r="EP48" s="128"/>
      <c r="EQ48" s="128"/>
      <c r="ER48" s="128"/>
      <c r="ES48" s="128"/>
      <c r="ET48" s="128"/>
      <c r="EU48" s="128"/>
      <c r="EV48" s="128"/>
      <c r="EW48" s="128"/>
      <c r="EX48" s="128"/>
      <c r="EY48" s="128"/>
      <c r="EZ48" s="128"/>
      <c r="FA48" s="128"/>
      <c r="FB48" s="128"/>
      <c r="FC48" s="128"/>
      <c r="FD48" s="128"/>
      <c r="FE48" s="128"/>
      <c r="FF48" s="128"/>
      <c r="FG48" s="128"/>
      <c r="FH48" s="128"/>
      <c r="FI48" s="128"/>
      <c r="FJ48" s="128"/>
      <c r="FK48" s="128"/>
      <c r="FL48" s="128"/>
      <c r="FM48" s="128"/>
      <c r="FN48" s="128"/>
      <c r="FO48" s="128"/>
      <c r="FP48" s="128"/>
      <c r="FQ48" s="128"/>
      <c r="FR48" s="128"/>
      <c r="FS48" s="128"/>
      <c r="FT48" s="128"/>
      <c r="FU48" s="128"/>
      <c r="FV48" s="128"/>
      <c r="FW48" s="128"/>
      <c r="FX48" s="128"/>
      <c r="FY48" s="128"/>
      <c r="FZ48" s="128"/>
      <c r="GA48" s="128"/>
      <c r="GB48" s="128"/>
      <c r="GC48" s="128"/>
      <c r="GD48" s="128"/>
      <c r="GE48" s="128"/>
      <c r="GF48" s="128"/>
      <c r="GG48" s="128"/>
      <c r="GH48" s="128"/>
      <c r="GI48" s="128"/>
      <c r="GJ48" s="128"/>
      <c r="GK48" s="128"/>
      <c r="GL48" s="128"/>
      <c r="GM48" s="128"/>
      <c r="GN48" s="128"/>
      <c r="GO48" s="128"/>
      <c r="GP48" s="128"/>
      <c r="GQ48" s="128"/>
      <c r="GR48" s="128"/>
      <c r="GS48" s="128"/>
      <c r="GT48" s="128"/>
      <c r="GU48" s="128"/>
      <c r="GV48" s="128"/>
      <c r="GW48" s="128"/>
      <c r="GX48" s="128"/>
      <c r="GY48" s="128"/>
      <c r="GZ48" s="128"/>
      <c r="HA48" s="128"/>
      <c r="HB48" s="128"/>
      <c r="HC48" s="128"/>
      <c r="HD48" s="128"/>
      <c r="HE48" s="128"/>
      <c r="HF48" s="128"/>
      <c r="HG48" s="128"/>
      <c r="HH48" s="128"/>
      <c r="HI48" s="128"/>
      <c r="HJ48" s="128"/>
      <c r="HK48" s="128"/>
      <c r="HL48" s="128"/>
      <c r="HM48" s="128"/>
      <c r="HN48" s="128"/>
      <c r="HO48" s="128"/>
      <c r="HP48" s="128"/>
      <c r="HQ48" s="128"/>
      <c r="HR48" s="128"/>
      <c r="HS48" s="128"/>
      <c r="HT48" s="128"/>
      <c r="HU48" s="128"/>
      <c r="HV48" s="128"/>
      <c r="HW48" s="128"/>
      <c r="HX48" s="128"/>
      <c r="HY48" s="128"/>
      <c r="HZ48" s="128"/>
      <c r="IA48" s="128"/>
      <c r="IB48" s="128"/>
      <c r="IC48" s="128"/>
      <c r="ID48" s="128"/>
      <c r="IE48" s="128"/>
      <c r="IF48" s="128"/>
      <c r="IG48" s="128"/>
      <c r="IH48" s="128"/>
      <c r="II48" s="128"/>
      <c r="IJ48" s="128"/>
      <c r="IK48" s="128"/>
      <c r="IL48" s="128"/>
      <c r="IM48" s="128"/>
      <c r="IN48" s="128"/>
      <c r="IO48" s="128"/>
      <c r="IP48" s="128"/>
      <c r="IQ48" s="128"/>
      <c r="IR48" s="128"/>
      <c r="IS48" s="128"/>
      <c r="IT48" s="128"/>
      <c r="IU48" s="128"/>
      <c r="IV48" s="128"/>
    </row>
    <row r="49" spans="1:256" x14ac:dyDescent="0.25">
      <c r="A49" s="118" t="str">
        <f t="shared" si="0"/>
        <v>10SST316L</v>
      </c>
      <c r="B49" s="136"/>
      <c r="C49" s="137"/>
      <c r="D49" s="121" t="s">
        <v>856</v>
      </c>
      <c r="E49" s="122" t="s">
        <v>801</v>
      </c>
      <c r="F49" s="123" t="s">
        <v>864</v>
      </c>
      <c r="G49" s="123" t="s">
        <v>864</v>
      </c>
      <c r="H49" s="124">
        <v>0.13502</v>
      </c>
      <c r="I49" s="123" t="s">
        <v>716</v>
      </c>
      <c r="J49" s="123" t="s">
        <v>705</v>
      </c>
      <c r="K49" s="123" t="s">
        <v>896</v>
      </c>
      <c r="L49" s="122" t="s">
        <v>897</v>
      </c>
      <c r="M49" s="123" t="s">
        <v>898</v>
      </c>
      <c r="N49" s="129" t="s">
        <v>861</v>
      </c>
      <c r="O49" s="123" t="s">
        <v>722</v>
      </c>
      <c r="P49" s="123" t="s">
        <v>711</v>
      </c>
      <c r="Q49" s="123" t="s">
        <v>899</v>
      </c>
      <c r="R49" s="118" t="s">
        <v>900</v>
      </c>
      <c r="S49" s="118" t="s">
        <v>713</v>
      </c>
      <c r="T49" s="126" t="s">
        <v>713</v>
      </c>
      <c r="U49" s="138"/>
      <c r="V49" s="139"/>
      <c r="W49" s="139"/>
      <c r="X49" s="139"/>
      <c r="Y49" s="139"/>
      <c r="Z49" s="139"/>
      <c r="AA49" s="139"/>
      <c r="AB49" s="139"/>
      <c r="AC49" s="139"/>
      <c r="AD49" s="139"/>
      <c r="AE49" s="139"/>
      <c r="AF49" s="139"/>
      <c r="AG49" s="139"/>
      <c r="AH49" s="139"/>
      <c r="AI49" s="139"/>
      <c r="AJ49" s="139"/>
      <c r="AK49" s="139"/>
      <c r="AL49" s="139"/>
      <c r="AM49" s="139"/>
      <c r="AN49" s="139"/>
      <c r="AO49" s="139"/>
      <c r="AP49" s="139"/>
      <c r="AQ49" s="139"/>
      <c r="AR49" s="139"/>
      <c r="AS49" s="139"/>
      <c r="AT49" s="139"/>
      <c r="AU49" s="139"/>
      <c r="AV49" s="139"/>
      <c r="AW49" s="139"/>
      <c r="AX49" s="139"/>
      <c r="AY49" s="139"/>
      <c r="AZ49" s="139"/>
      <c r="BA49" s="139"/>
      <c r="BB49" s="139"/>
      <c r="BC49" s="139"/>
      <c r="BD49" s="139"/>
      <c r="BE49" s="139"/>
      <c r="BF49" s="139"/>
      <c r="BG49" s="139"/>
      <c r="BH49" s="139"/>
      <c r="BI49" s="139"/>
      <c r="BJ49" s="139"/>
      <c r="BK49" s="139"/>
      <c r="BL49" s="139"/>
      <c r="BM49" s="139"/>
      <c r="BN49" s="139"/>
      <c r="BO49" s="139"/>
      <c r="BP49" s="139"/>
      <c r="BQ49" s="139"/>
      <c r="BR49" s="139"/>
      <c r="BS49" s="139"/>
      <c r="BT49" s="139"/>
      <c r="BU49" s="139"/>
      <c r="BV49" s="139"/>
      <c r="BW49" s="139"/>
      <c r="BX49" s="139"/>
      <c r="BY49" s="139"/>
      <c r="BZ49" s="139"/>
      <c r="CA49" s="139"/>
      <c r="CB49" s="139"/>
      <c r="CC49" s="139"/>
      <c r="CD49" s="139"/>
      <c r="CE49" s="139"/>
      <c r="CF49" s="139"/>
      <c r="CG49" s="139"/>
      <c r="CH49" s="139"/>
      <c r="CI49" s="139"/>
      <c r="CJ49" s="139"/>
      <c r="CK49" s="139"/>
      <c r="CL49" s="139"/>
      <c r="CM49" s="139"/>
      <c r="CN49" s="139"/>
      <c r="CO49" s="139"/>
      <c r="CP49" s="139"/>
      <c r="CQ49" s="139"/>
      <c r="CR49" s="139"/>
      <c r="CS49" s="139"/>
      <c r="CT49" s="139"/>
      <c r="CU49" s="139"/>
      <c r="CV49" s="139"/>
      <c r="CW49" s="139"/>
      <c r="CX49" s="139"/>
      <c r="CY49" s="139"/>
      <c r="CZ49" s="139"/>
      <c r="DA49" s="139"/>
      <c r="DB49" s="139"/>
      <c r="DC49" s="139"/>
      <c r="DD49" s="139"/>
      <c r="DE49" s="139"/>
      <c r="DF49" s="139"/>
      <c r="DG49" s="139"/>
      <c r="DH49" s="139"/>
      <c r="DI49" s="139"/>
      <c r="DJ49" s="139"/>
      <c r="DK49" s="139"/>
      <c r="DL49" s="139"/>
      <c r="DM49" s="139"/>
      <c r="DN49" s="139"/>
      <c r="DO49" s="139"/>
      <c r="DP49" s="139"/>
      <c r="DQ49" s="139"/>
      <c r="DR49" s="139"/>
      <c r="DS49" s="139"/>
      <c r="DT49" s="139"/>
      <c r="DU49" s="139"/>
      <c r="DV49" s="139"/>
      <c r="DW49" s="139"/>
      <c r="DX49" s="139"/>
      <c r="DY49" s="139"/>
      <c r="DZ49" s="139"/>
      <c r="EA49" s="139"/>
      <c r="EB49" s="139"/>
      <c r="EC49" s="139"/>
      <c r="ED49" s="139"/>
      <c r="EE49" s="139"/>
      <c r="EF49" s="139"/>
      <c r="EG49" s="139"/>
      <c r="EH49" s="139"/>
      <c r="EI49" s="139"/>
      <c r="EJ49" s="139"/>
      <c r="EK49" s="139"/>
      <c r="EL49" s="139"/>
      <c r="EM49" s="139"/>
      <c r="EN49" s="139"/>
      <c r="EO49" s="139"/>
      <c r="EP49" s="139"/>
      <c r="EQ49" s="139"/>
      <c r="ER49" s="139"/>
      <c r="ES49" s="139"/>
      <c r="ET49" s="139"/>
      <c r="EU49" s="139"/>
      <c r="EV49" s="139"/>
      <c r="EW49" s="139"/>
      <c r="EX49" s="139"/>
      <c r="EY49" s="139"/>
      <c r="EZ49" s="139"/>
      <c r="FA49" s="139"/>
      <c r="FB49" s="139"/>
      <c r="FC49" s="139"/>
      <c r="FD49" s="139"/>
      <c r="FE49" s="139"/>
      <c r="FF49" s="139"/>
      <c r="FG49" s="139"/>
      <c r="FH49" s="139"/>
      <c r="FI49" s="139"/>
      <c r="FJ49" s="139"/>
      <c r="FK49" s="139"/>
      <c r="FL49" s="139"/>
      <c r="FM49" s="139"/>
      <c r="FN49" s="139"/>
      <c r="FO49" s="139"/>
      <c r="FP49" s="139"/>
      <c r="FQ49" s="139"/>
      <c r="FR49" s="139"/>
      <c r="FS49" s="139"/>
      <c r="FT49" s="139"/>
      <c r="FU49" s="139"/>
      <c r="FV49" s="139"/>
      <c r="FW49" s="139"/>
      <c r="FX49" s="139"/>
      <c r="FY49" s="139"/>
      <c r="FZ49" s="139"/>
      <c r="GA49" s="139"/>
      <c r="GB49" s="139"/>
      <c r="GC49" s="139"/>
      <c r="GD49" s="139"/>
      <c r="GE49" s="139"/>
      <c r="GF49" s="139"/>
      <c r="GG49" s="139"/>
      <c r="GH49" s="139"/>
      <c r="GI49" s="139"/>
      <c r="GJ49" s="139"/>
      <c r="GK49" s="139"/>
      <c r="GL49" s="139"/>
      <c r="GM49" s="139"/>
      <c r="GN49" s="139"/>
      <c r="GO49" s="139"/>
      <c r="GP49" s="139"/>
      <c r="GQ49" s="139"/>
      <c r="GR49" s="139"/>
      <c r="GS49" s="139"/>
      <c r="GT49" s="139"/>
      <c r="GU49" s="139"/>
      <c r="GV49" s="139"/>
      <c r="GW49" s="139"/>
      <c r="GX49" s="139"/>
      <c r="GY49" s="139"/>
      <c r="GZ49" s="139"/>
      <c r="HA49" s="139"/>
      <c r="HB49" s="139"/>
      <c r="HC49" s="139"/>
      <c r="HD49" s="139"/>
      <c r="HE49" s="139"/>
      <c r="HF49" s="139"/>
      <c r="HG49" s="139"/>
      <c r="HH49" s="139"/>
      <c r="HI49" s="139"/>
      <c r="HJ49" s="139"/>
      <c r="HK49" s="139"/>
      <c r="HL49" s="139"/>
      <c r="HM49" s="139"/>
      <c r="HN49" s="139"/>
      <c r="HO49" s="139"/>
      <c r="HP49" s="139"/>
      <c r="HQ49" s="139"/>
      <c r="HR49" s="139"/>
      <c r="HS49" s="139"/>
      <c r="HT49" s="139"/>
      <c r="HU49" s="139"/>
      <c r="HV49" s="139"/>
      <c r="HW49" s="139"/>
      <c r="HX49" s="139"/>
      <c r="HY49" s="139"/>
      <c r="HZ49" s="139"/>
      <c r="IA49" s="139"/>
      <c r="IB49" s="139"/>
      <c r="IC49" s="139"/>
      <c r="ID49" s="139"/>
      <c r="IE49" s="139"/>
      <c r="IF49" s="139"/>
      <c r="IG49" s="139"/>
      <c r="IH49" s="139"/>
      <c r="II49" s="139"/>
      <c r="IJ49" s="139"/>
      <c r="IK49" s="139"/>
      <c r="IL49" s="139"/>
      <c r="IM49" s="139"/>
      <c r="IN49" s="139"/>
      <c r="IO49" s="139"/>
      <c r="IP49" s="139"/>
      <c r="IQ49" s="139"/>
      <c r="IR49" s="139"/>
      <c r="IS49" s="139"/>
      <c r="IT49" s="139"/>
      <c r="IU49" s="139"/>
      <c r="IV49" s="139"/>
    </row>
    <row r="50" spans="1:256" x14ac:dyDescent="0.25">
      <c r="A50" s="118" t="str">
        <f t="shared" si="0"/>
        <v>12SST316L</v>
      </c>
      <c r="B50" s="136"/>
      <c r="C50" s="137"/>
      <c r="D50" s="122" t="s">
        <v>856</v>
      </c>
      <c r="E50" s="122" t="s">
        <v>815</v>
      </c>
      <c r="F50" s="123" t="s">
        <v>867</v>
      </c>
      <c r="G50" s="123" t="s">
        <v>867</v>
      </c>
      <c r="H50" s="124">
        <v>0.10503</v>
      </c>
      <c r="I50" s="123" t="s">
        <v>716</v>
      </c>
      <c r="J50" s="123" t="s">
        <v>705</v>
      </c>
      <c r="K50" s="123" t="s">
        <v>901</v>
      </c>
      <c r="L50" s="122" t="s">
        <v>902</v>
      </c>
      <c r="M50" s="123" t="s">
        <v>898</v>
      </c>
      <c r="N50" s="129" t="s">
        <v>861</v>
      </c>
      <c r="O50" s="123" t="s">
        <v>722</v>
      </c>
      <c r="P50" s="123" t="s">
        <v>711</v>
      </c>
      <c r="Q50" s="123" t="s">
        <v>899</v>
      </c>
      <c r="R50" s="118" t="s">
        <v>903</v>
      </c>
      <c r="S50" s="118" t="s">
        <v>713</v>
      </c>
      <c r="T50" s="126" t="s">
        <v>713</v>
      </c>
      <c r="U50" s="138"/>
      <c r="V50" s="139"/>
      <c r="W50" s="139"/>
      <c r="X50" s="139"/>
      <c r="Y50" s="139"/>
      <c r="Z50" s="139"/>
      <c r="AA50" s="139"/>
      <c r="AB50" s="139"/>
      <c r="AC50" s="139"/>
      <c r="AD50" s="139"/>
      <c r="AE50" s="139"/>
      <c r="AF50" s="139"/>
      <c r="AG50" s="139"/>
      <c r="AH50" s="139"/>
      <c r="AI50" s="139"/>
      <c r="AJ50" s="139"/>
      <c r="AK50" s="139"/>
      <c r="AL50" s="139"/>
      <c r="AM50" s="139"/>
      <c r="AN50" s="139"/>
      <c r="AO50" s="139"/>
      <c r="AP50" s="139"/>
      <c r="AQ50" s="139"/>
      <c r="AR50" s="139"/>
      <c r="AS50" s="139"/>
      <c r="AT50" s="139"/>
      <c r="AU50" s="139"/>
      <c r="AV50" s="139"/>
      <c r="AW50" s="139"/>
      <c r="AX50" s="139"/>
      <c r="AY50" s="139"/>
      <c r="AZ50" s="139"/>
      <c r="BA50" s="139"/>
      <c r="BB50" s="139"/>
      <c r="BC50" s="139"/>
      <c r="BD50" s="139"/>
      <c r="BE50" s="139"/>
      <c r="BF50" s="139"/>
      <c r="BG50" s="139"/>
      <c r="BH50" s="139"/>
      <c r="BI50" s="139"/>
      <c r="BJ50" s="139"/>
      <c r="BK50" s="139"/>
      <c r="BL50" s="139"/>
      <c r="BM50" s="139"/>
      <c r="BN50" s="139"/>
      <c r="BO50" s="139"/>
      <c r="BP50" s="139"/>
      <c r="BQ50" s="139"/>
      <c r="BR50" s="139"/>
      <c r="BS50" s="139"/>
      <c r="BT50" s="139"/>
      <c r="BU50" s="139"/>
      <c r="BV50" s="139"/>
      <c r="BW50" s="139"/>
      <c r="BX50" s="139"/>
      <c r="BY50" s="139"/>
      <c r="BZ50" s="139"/>
      <c r="CA50" s="139"/>
      <c r="CB50" s="139"/>
      <c r="CC50" s="139"/>
      <c r="CD50" s="139"/>
      <c r="CE50" s="139"/>
      <c r="CF50" s="139"/>
      <c r="CG50" s="139"/>
      <c r="CH50" s="139"/>
      <c r="CI50" s="139"/>
      <c r="CJ50" s="139"/>
      <c r="CK50" s="139"/>
      <c r="CL50" s="139"/>
      <c r="CM50" s="139"/>
      <c r="CN50" s="139"/>
      <c r="CO50" s="139"/>
      <c r="CP50" s="139"/>
      <c r="CQ50" s="139"/>
      <c r="CR50" s="139"/>
      <c r="CS50" s="139"/>
      <c r="CT50" s="139"/>
      <c r="CU50" s="139"/>
      <c r="CV50" s="139"/>
      <c r="CW50" s="139"/>
      <c r="CX50" s="139"/>
      <c r="CY50" s="139"/>
      <c r="CZ50" s="139"/>
      <c r="DA50" s="139"/>
      <c r="DB50" s="139"/>
      <c r="DC50" s="139"/>
      <c r="DD50" s="139"/>
      <c r="DE50" s="139"/>
      <c r="DF50" s="139"/>
      <c r="DG50" s="139"/>
      <c r="DH50" s="139"/>
      <c r="DI50" s="139"/>
      <c r="DJ50" s="139"/>
      <c r="DK50" s="139"/>
      <c r="DL50" s="139"/>
      <c r="DM50" s="139"/>
      <c r="DN50" s="139"/>
      <c r="DO50" s="139"/>
      <c r="DP50" s="139"/>
      <c r="DQ50" s="139"/>
      <c r="DR50" s="139"/>
      <c r="DS50" s="139"/>
      <c r="DT50" s="139"/>
      <c r="DU50" s="139"/>
      <c r="DV50" s="139"/>
      <c r="DW50" s="139"/>
      <c r="DX50" s="139"/>
      <c r="DY50" s="139"/>
      <c r="DZ50" s="139"/>
      <c r="EA50" s="139"/>
      <c r="EB50" s="139"/>
      <c r="EC50" s="139"/>
      <c r="ED50" s="139"/>
      <c r="EE50" s="139"/>
      <c r="EF50" s="139"/>
      <c r="EG50" s="139"/>
      <c r="EH50" s="139"/>
      <c r="EI50" s="139"/>
      <c r="EJ50" s="139"/>
      <c r="EK50" s="139"/>
      <c r="EL50" s="139"/>
      <c r="EM50" s="139"/>
      <c r="EN50" s="139"/>
      <c r="EO50" s="139"/>
      <c r="EP50" s="139"/>
      <c r="EQ50" s="139"/>
      <c r="ER50" s="139"/>
      <c r="ES50" s="139"/>
      <c r="ET50" s="139"/>
      <c r="EU50" s="139"/>
      <c r="EV50" s="139"/>
      <c r="EW50" s="139"/>
      <c r="EX50" s="139"/>
      <c r="EY50" s="139"/>
      <c r="EZ50" s="139"/>
      <c r="FA50" s="139"/>
      <c r="FB50" s="139"/>
      <c r="FC50" s="139"/>
      <c r="FD50" s="139"/>
      <c r="FE50" s="139"/>
      <c r="FF50" s="139"/>
      <c r="FG50" s="139"/>
      <c r="FH50" s="139"/>
      <c r="FI50" s="139"/>
      <c r="FJ50" s="139"/>
      <c r="FK50" s="139"/>
      <c r="FL50" s="139"/>
      <c r="FM50" s="139"/>
      <c r="FN50" s="139"/>
      <c r="FO50" s="139"/>
      <c r="FP50" s="139"/>
      <c r="FQ50" s="139"/>
      <c r="FR50" s="139"/>
      <c r="FS50" s="139"/>
      <c r="FT50" s="139"/>
      <c r="FU50" s="139"/>
      <c r="FV50" s="139"/>
      <c r="FW50" s="139"/>
      <c r="FX50" s="139"/>
      <c r="FY50" s="139"/>
      <c r="FZ50" s="139"/>
      <c r="GA50" s="139"/>
      <c r="GB50" s="139"/>
      <c r="GC50" s="139"/>
      <c r="GD50" s="139"/>
      <c r="GE50" s="139"/>
      <c r="GF50" s="139"/>
      <c r="GG50" s="139"/>
      <c r="GH50" s="139"/>
      <c r="GI50" s="139"/>
      <c r="GJ50" s="139"/>
      <c r="GK50" s="139"/>
      <c r="GL50" s="139"/>
      <c r="GM50" s="139"/>
      <c r="GN50" s="139"/>
      <c r="GO50" s="139"/>
      <c r="GP50" s="139"/>
      <c r="GQ50" s="139"/>
      <c r="GR50" s="139"/>
      <c r="GS50" s="139"/>
      <c r="GT50" s="139"/>
      <c r="GU50" s="139"/>
      <c r="GV50" s="139"/>
      <c r="GW50" s="139"/>
      <c r="GX50" s="139"/>
      <c r="GY50" s="139"/>
      <c r="GZ50" s="139"/>
      <c r="HA50" s="139"/>
      <c r="HB50" s="139"/>
      <c r="HC50" s="139"/>
      <c r="HD50" s="139"/>
      <c r="HE50" s="139"/>
      <c r="HF50" s="139"/>
      <c r="HG50" s="139"/>
      <c r="HH50" s="139"/>
      <c r="HI50" s="139"/>
      <c r="HJ50" s="139"/>
      <c r="HK50" s="139"/>
      <c r="HL50" s="139"/>
      <c r="HM50" s="139"/>
      <c r="HN50" s="139"/>
      <c r="HO50" s="139"/>
      <c r="HP50" s="139"/>
      <c r="HQ50" s="139"/>
      <c r="HR50" s="139"/>
      <c r="HS50" s="139"/>
      <c r="HT50" s="139"/>
      <c r="HU50" s="139"/>
      <c r="HV50" s="139"/>
      <c r="HW50" s="139"/>
      <c r="HX50" s="139"/>
      <c r="HY50" s="139"/>
      <c r="HZ50" s="139"/>
      <c r="IA50" s="139"/>
      <c r="IB50" s="139"/>
      <c r="IC50" s="139"/>
      <c r="ID50" s="139"/>
      <c r="IE50" s="139"/>
      <c r="IF50" s="139"/>
      <c r="IG50" s="139"/>
      <c r="IH50" s="139"/>
      <c r="II50" s="139"/>
      <c r="IJ50" s="139"/>
      <c r="IK50" s="139"/>
      <c r="IL50" s="139"/>
      <c r="IM50" s="139"/>
      <c r="IN50" s="139"/>
      <c r="IO50" s="139"/>
      <c r="IP50" s="139"/>
      <c r="IQ50" s="139"/>
      <c r="IR50" s="139"/>
      <c r="IS50" s="139"/>
      <c r="IT50" s="139"/>
      <c r="IU50" s="139"/>
      <c r="IV50" s="139"/>
    </row>
    <row r="51" spans="1:256" x14ac:dyDescent="0.25">
      <c r="A51" s="118" t="str">
        <f t="shared" si="0"/>
        <v>14SST316L</v>
      </c>
      <c r="B51" s="136"/>
      <c r="C51" s="137"/>
      <c r="D51" s="122" t="s">
        <v>856</v>
      </c>
      <c r="E51" s="122" t="s">
        <v>819</v>
      </c>
      <c r="F51" s="123" t="s">
        <v>870</v>
      </c>
      <c r="G51" s="123" t="s">
        <v>870</v>
      </c>
      <c r="H51" s="124">
        <v>7.5020000000000003E-2</v>
      </c>
      <c r="I51" s="123" t="s">
        <v>716</v>
      </c>
      <c r="J51" s="123" t="s">
        <v>705</v>
      </c>
      <c r="K51" s="123" t="s">
        <v>904</v>
      </c>
      <c r="L51" s="122" t="s">
        <v>905</v>
      </c>
      <c r="M51" s="123" t="s">
        <v>898</v>
      </c>
      <c r="N51" s="129" t="s">
        <v>861</v>
      </c>
      <c r="O51" s="123" t="s">
        <v>722</v>
      </c>
      <c r="P51" s="123" t="s">
        <v>711</v>
      </c>
      <c r="Q51" s="123" t="s">
        <v>899</v>
      </c>
      <c r="R51" s="118" t="s">
        <v>906</v>
      </c>
      <c r="S51" s="118" t="s">
        <v>713</v>
      </c>
      <c r="T51" s="126" t="s">
        <v>713</v>
      </c>
      <c r="U51" s="138"/>
      <c r="V51" s="139"/>
      <c r="W51" s="139"/>
      <c r="X51" s="139"/>
      <c r="Y51" s="139"/>
      <c r="Z51" s="139"/>
      <c r="AA51" s="139"/>
      <c r="AB51" s="139"/>
      <c r="AC51" s="139"/>
      <c r="AD51" s="139"/>
      <c r="AE51" s="139"/>
      <c r="AF51" s="139"/>
      <c r="AG51" s="139"/>
      <c r="AH51" s="139"/>
      <c r="AI51" s="139"/>
      <c r="AJ51" s="139"/>
      <c r="AK51" s="139"/>
      <c r="AL51" s="139"/>
      <c r="AM51" s="139"/>
      <c r="AN51" s="139"/>
      <c r="AO51" s="139"/>
      <c r="AP51" s="139"/>
      <c r="AQ51" s="139"/>
      <c r="AR51" s="139"/>
      <c r="AS51" s="139"/>
      <c r="AT51" s="139"/>
      <c r="AU51" s="139"/>
      <c r="AV51" s="139"/>
      <c r="AW51" s="139"/>
      <c r="AX51" s="139"/>
      <c r="AY51" s="139"/>
      <c r="AZ51" s="139"/>
      <c r="BA51" s="139"/>
      <c r="BB51" s="139"/>
      <c r="BC51" s="139"/>
      <c r="BD51" s="139"/>
      <c r="BE51" s="139"/>
      <c r="BF51" s="139"/>
      <c r="BG51" s="139"/>
      <c r="BH51" s="139"/>
      <c r="BI51" s="139"/>
      <c r="BJ51" s="139"/>
      <c r="BK51" s="139"/>
      <c r="BL51" s="139"/>
      <c r="BM51" s="139"/>
      <c r="BN51" s="139"/>
      <c r="BO51" s="139"/>
      <c r="BP51" s="139"/>
      <c r="BQ51" s="139"/>
      <c r="BR51" s="139"/>
      <c r="BS51" s="139"/>
      <c r="BT51" s="139"/>
      <c r="BU51" s="139"/>
      <c r="BV51" s="139"/>
      <c r="BW51" s="139"/>
      <c r="BX51" s="139"/>
      <c r="BY51" s="139"/>
      <c r="BZ51" s="139"/>
      <c r="CA51" s="139"/>
      <c r="CB51" s="139"/>
      <c r="CC51" s="139"/>
      <c r="CD51" s="139"/>
      <c r="CE51" s="139"/>
      <c r="CF51" s="139"/>
      <c r="CG51" s="139"/>
      <c r="CH51" s="139"/>
      <c r="CI51" s="139"/>
      <c r="CJ51" s="139"/>
      <c r="CK51" s="139"/>
      <c r="CL51" s="139"/>
      <c r="CM51" s="139"/>
      <c r="CN51" s="139"/>
      <c r="CO51" s="139"/>
      <c r="CP51" s="139"/>
      <c r="CQ51" s="139"/>
      <c r="CR51" s="139"/>
      <c r="CS51" s="139"/>
      <c r="CT51" s="139"/>
      <c r="CU51" s="139"/>
      <c r="CV51" s="139"/>
      <c r="CW51" s="139"/>
      <c r="CX51" s="139"/>
      <c r="CY51" s="139"/>
      <c r="CZ51" s="139"/>
      <c r="DA51" s="139"/>
      <c r="DB51" s="139"/>
      <c r="DC51" s="139"/>
      <c r="DD51" s="139"/>
      <c r="DE51" s="139"/>
      <c r="DF51" s="139"/>
      <c r="DG51" s="139"/>
      <c r="DH51" s="139"/>
      <c r="DI51" s="139"/>
      <c r="DJ51" s="139"/>
      <c r="DK51" s="139"/>
      <c r="DL51" s="139"/>
      <c r="DM51" s="139"/>
      <c r="DN51" s="139"/>
      <c r="DO51" s="139"/>
      <c r="DP51" s="139"/>
      <c r="DQ51" s="139"/>
      <c r="DR51" s="139"/>
      <c r="DS51" s="139"/>
      <c r="DT51" s="139"/>
      <c r="DU51" s="139"/>
      <c r="DV51" s="139"/>
      <c r="DW51" s="139"/>
      <c r="DX51" s="139"/>
      <c r="DY51" s="139"/>
      <c r="DZ51" s="139"/>
      <c r="EA51" s="139"/>
      <c r="EB51" s="139"/>
      <c r="EC51" s="139"/>
      <c r="ED51" s="139"/>
      <c r="EE51" s="139"/>
      <c r="EF51" s="139"/>
      <c r="EG51" s="139"/>
      <c r="EH51" s="139"/>
      <c r="EI51" s="139"/>
      <c r="EJ51" s="139"/>
      <c r="EK51" s="139"/>
      <c r="EL51" s="139"/>
      <c r="EM51" s="139"/>
      <c r="EN51" s="139"/>
      <c r="EO51" s="139"/>
      <c r="EP51" s="139"/>
      <c r="EQ51" s="139"/>
      <c r="ER51" s="139"/>
      <c r="ES51" s="139"/>
      <c r="ET51" s="139"/>
      <c r="EU51" s="139"/>
      <c r="EV51" s="139"/>
      <c r="EW51" s="139"/>
      <c r="EX51" s="139"/>
      <c r="EY51" s="139"/>
      <c r="EZ51" s="139"/>
      <c r="FA51" s="139"/>
      <c r="FB51" s="139"/>
      <c r="FC51" s="139"/>
      <c r="FD51" s="139"/>
      <c r="FE51" s="139"/>
      <c r="FF51" s="139"/>
      <c r="FG51" s="139"/>
      <c r="FH51" s="139"/>
      <c r="FI51" s="139"/>
      <c r="FJ51" s="139"/>
      <c r="FK51" s="139"/>
      <c r="FL51" s="139"/>
      <c r="FM51" s="139"/>
      <c r="FN51" s="139"/>
      <c r="FO51" s="139"/>
      <c r="FP51" s="139"/>
      <c r="FQ51" s="139"/>
      <c r="FR51" s="139"/>
      <c r="FS51" s="139"/>
      <c r="FT51" s="139"/>
      <c r="FU51" s="139"/>
      <c r="FV51" s="139"/>
      <c r="FW51" s="139"/>
      <c r="FX51" s="139"/>
      <c r="FY51" s="139"/>
      <c r="FZ51" s="139"/>
      <c r="GA51" s="139"/>
      <c r="GB51" s="139"/>
      <c r="GC51" s="139"/>
      <c r="GD51" s="139"/>
      <c r="GE51" s="139"/>
      <c r="GF51" s="139"/>
      <c r="GG51" s="139"/>
      <c r="GH51" s="139"/>
      <c r="GI51" s="139"/>
      <c r="GJ51" s="139"/>
      <c r="GK51" s="139"/>
      <c r="GL51" s="139"/>
      <c r="GM51" s="139"/>
      <c r="GN51" s="139"/>
      <c r="GO51" s="139"/>
      <c r="GP51" s="139"/>
      <c r="GQ51" s="139"/>
      <c r="GR51" s="139"/>
      <c r="GS51" s="139"/>
      <c r="GT51" s="139"/>
      <c r="GU51" s="139"/>
      <c r="GV51" s="139"/>
      <c r="GW51" s="139"/>
      <c r="GX51" s="139"/>
      <c r="GY51" s="139"/>
      <c r="GZ51" s="139"/>
      <c r="HA51" s="139"/>
      <c r="HB51" s="139"/>
      <c r="HC51" s="139"/>
      <c r="HD51" s="139"/>
      <c r="HE51" s="139"/>
      <c r="HF51" s="139"/>
      <c r="HG51" s="139"/>
      <c r="HH51" s="139"/>
      <c r="HI51" s="139"/>
      <c r="HJ51" s="139"/>
      <c r="HK51" s="139"/>
      <c r="HL51" s="139"/>
      <c r="HM51" s="139"/>
      <c r="HN51" s="139"/>
      <c r="HO51" s="139"/>
      <c r="HP51" s="139"/>
      <c r="HQ51" s="139"/>
      <c r="HR51" s="139"/>
      <c r="HS51" s="139"/>
      <c r="HT51" s="139"/>
      <c r="HU51" s="139"/>
      <c r="HV51" s="139"/>
      <c r="HW51" s="139"/>
      <c r="HX51" s="139"/>
      <c r="HY51" s="139"/>
      <c r="HZ51" s="139"/>
      <c r="IA51" s="139"/>
      <c r="IB51" s="139"/>
      <c r="IC51" s="139"/>
      <c r="ID51" s="139"/>
      <c r="IE51" s="139"/>
      <c r="IF51" s="139"/>
      <c r="IG51" s="139"/>
      <c r="IH51" s="139"/>
      <c r="II51" s="139"/>
      <c r="IJ51" s="139"/>
      <c r="IK51" s="139"/>
      <c r="IL51" s="139"/>
      <c r="IM51" s="139"/>
      <c r="IN51" s="139"/>
      <c r="IO51" s="139"/>
      <c r="IP51" s="139"/>
      <c r="IQ51" s="139"/>
      <c r="IR51" s="139"/>
      <c r="IS51" s="139"/>
      <c r="IT51" s="139"/>
      <c r="IU51" s="139"/>
      <c r="IV51" s="139"/>
    </row>
    <row r="52" spans="1:256" x14ac:dyDescent="0.25">
      <c r="A52" s="118" t="str">
        <f t="shared" si="0"/>
        <v>16SST316L</v>
      </c>
      <c r="B52" s="136"/>
      <c r="C52" s="137"/>
      <c r="D52" s="121" t="s">
        <v>856</v>
      </c>
      <c r="E52" s="122" t="s">
        <v>839</v>
      </c>
      <c r="F52" s="123" t="s">
        <v>873</v>
      </c>
      <c r="G52" s="123" t="s">
        <v>873</v>
      </c>
      <c r="H52" s="124">
        <v>6.003E-2</v>
      </c>
      <c r="I52" s="123" t="s">
        <v>704</v>
      </c>
      <c r="J52" s="123" t="s">
        <v>705</v>
      </c>
      <c r="K52" s="123" t="s">
        <v>907</v>
      </c>
      <c r="L52" s="122" t="s">
        <v>908</v>
      </c>
      <c r="M52" s="123" t="s">
        <v>898</v>
      </c>
      <c r="N52" s="129" t="s">
        <v>861</v>
      </c>
      <c r="O52" s="123" t="s">
        <v>722</v>
      </c>
      <c r="P52" s="123" t="s">
        <v>711</v>
      </c>
      <c r="Q52" s="123" t="s">
        <v>899</v>
      </c>
      <c r="R52" s="118" t="s">
        <v>909</v>
      </c>
      <c r="S52" s="118" t="s">
        <v>713</v>
      </c>
      <c r="T52" s="126" t="s">
        <v>713</v>
      </c>
      <c r="U52" s="138"/>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39"/>
      <c r="BA52" s="139"/>
      <c r="BB52" s="139"/>
      <c r="BC52" s="139"/>
      <c r="BD52" s="139"/>
      <c r="BE52" s="139"/>
      <c r="BF52" s="139"/>
      <c r="BG52" s="139"/>
      <c r="BH52" s="139"/>
      <c r="BI52" s="139"/>
      <c r="BJ52" s="139"/>
      <c r="BK52" s="139"/>
      <c r="BL52" s="139"/>
      <c r="BM52" s="139"/>
      <c r="BN52" s="139"/>
      <c r="BO52" s="139"/>
      <c r="BP52" s="139"/>
      <c r="BQ52" s="139"/>
      <c r="BR52" s="139"/>
      <c r="BS52" s="139"/>
      <c r="BT52" s="139"/>
      <c r="BU52" s="139"/>
      <c r="BV52" s="139"/>
      <c r="BW52" s="139"/>
      <c r="BX52" s="139"/>
      <c r="BY52" s="139"/>
      <c r="BZ52" s="139"/>
      <c r="CA52" s="139"/>
      <c r="CB52" s="139"/>
      <c r="CC52" s="139"/>
      <c r="CD52" s="139"/>
      <c r="CE52" s="139"/>
      <c r="CF52" s="139"/>
      <c r="CG52" s="139"/>
      <c r="CH52" s="139"/>
      <c r="CI52" s="139"/>
      <c r="CJ52" s="139"/>
      <c r="CK52" s="139"/>
      <c r="CL52" s="139"/>
      <c r="CM52" s="139"/>
      <c r="CN52" s="139"/>
      <c r="CO52" s="139"/>
      <c r="CP52" s="139"/>
      <c r="CQ52" s="139"/>
      <c r="CR52" s="139"/>
      <c r="CS52" s="139"/>
      <c r="CT52" s="139"/>
      <c r="CU52" s="139"/>
      <c r="CV52" s="139"/>
      <c r="CW52" s="139"/>
      <c r="CX52" s="139"/>
      <c r="CY52" s="139"/>
      <c r="CZ52" s="139"/>
      <c r="DA52" s="139"/>
      <c r="DB52" s="139"/>
      <c r="DC52" s="139"/>
      <c r="DD52" s="139"/>
      <c r="DE52" s="139"/>
      <c r="DF52" s="139"/>
      <c r="DG52" s="139"/>
      <c r="DH52" s="139"/>
      <c r="DI52" s="139"/>
      <c r="DJ52" s="139"/>
      <c r="DK52" s="139"/>
      <c r="DL52" s="139"/>
      <c r="DM52" s="139"/>
      <c r="DN52" s="139"/>
      <c r="DO52" s="139"/>
      <c r="DP52" s="139"/>
      <c r="DQ52" s="139"/>
      <c r="DR52" s="139"/>
      <c r="DS52" s="139"/>
      <c r="DT52" s="139"/>
      <c r="DU52" s="139"/>
      <c r="DV52" s="139"/>
      <c r="DW52" s="139"/>
      <c r="DX52" s="139"/>
      <c r="DY52" s="139"/>
      <c r="DZ52" s="139"/>
      <c r="EA52" s="139"/>
      <c r="EB52" s="139"/>
      <c r="EC52" s="139"/>
      <c r="ED52" s="139"/>
      <c r="EE52" s="139"/>
      <c r="EF52" s="139"/>
      <c r="EG52" s="139"/>
      <c r="EH52" s="139"/>
      <c r="EI52" s="139"/>
      <c r="EJ52" s="139"/>
      <c r="EK52" s="139"/>
      <c r="EL52" s="139"/>
      <c r="EM52" s="139"/>
      <c r="EN52" s="139"/>
      <c r="EO52" s="139"/>
      <c r="EP52" s="139"/>
      <c r="EQ52" s="139"/>
      <c r="ER52" s="139"/>
      <c r="ES52" s="139"/>
      <c r="ET52" s="139"/>
      <c r="EU52" s="139"/>
      <c r="EV52" s="139"/>
      <c r="EW52" s="139"/>
      <c r="EX52" s="139"/>
      <c r="EY52" s="139"/>
      <c r="EZ52" s="139"/>
      <c r="FA52" s="139"/>
      <c r="FB52" s="139"/>
      <c r="FC52" s="139"/>
      <c r="FD52" s="139"/>
      <c r="FE52" s="139"/>
      <c r="FF52" s="139"/>
      <c r="FG52" s="139"/>
      <c r="FH52" s="139"/>
      <c r="FI52" s="139"/>
      <c r="FJ52" s="139"/>
      <c r="FK52" s="139"/>
      <c r="FL52" s="139"/>
      <c r="FM52" s="139"/>
      <c r="FN52" s="139"/>
      <c r="FO52" s="139"/>
      <c r="FP52" s="139"/>
      <c r="FQ52" s="139"/>
      <c r="FR52" s="139"/>
      <c r="FS52" s="139"/>
      <c r="FT52" s="139"/>
      <c r="FU52" s="139"/>
      <c r="FV52" s="139"/>
      <c r="FW52" s="139"/>
      <c r="FX52" s="139"/>
      <c r="FY52" s="139"/>
      <c r="FZ52" s="139"/>
      <c r="GA52" s="139"/>
      <c r="GB52" s="139"/>
      <c r="GC52" s="139"/>
      <c r="GD52" s="139"/>
      <c r="GE52" s="139"/>
      <c r="GF52" s="139"/>
      <c r="GG52" s="139"/>
      <c r="GH52" s="139"/>
      <c r="GI52" s="139"/>
      <c r="GJ52" s="139"/>
      <c r="GK52" s="139"/>
      <c r="GL52" s="139"/>
      <c r="GM52" s="139"/>
      <c r="GN52" s="139"/>
      <c r="GO52" s="139"/>
      <c r="GP52" s="139"/>
      <c r="GQ52" s="139"/>
      <c r="GR52" s="139"/>
      <c r="GS52" s="139"/>
      <c r="GT52" s="139"/>
      <c r="GU52" s="139"/>
      <c r="GV52" s="139"/>
      <c r="GW52" s="139"/>
      <c r="GX52" s="139"/>
      <c r="GY52" s="139"/>
      <c r="GZ52" s="139"/>
      <c r="HA52" s="139"/>
      <c r="HB52" s="139"/>
      <c r="HC52" s="139"/>
      <c r="HD52" s="139"/>
      <c r="HE52" s="139"/>
      <c r="HF52" s="139"/>
      <c r="HG52" s="139"/>
      <c r="HH52" s="139"/>
      <c r="HI52" s="139"/>
      <c r="HJ52" s="139"/>
      <c r="HK52" s="139"/>
      <c r="HL52" s="139"/>
      <c r="HM52" s="139"/>
      <c r="HN52" s="139"/>
      <c r="HO52" s="139"/>
      <c r="HP52" s="139"/>
      <c r="HQ52" s="139"/>
      <c r="HR52" s="139"/>
      <c r="HS52" s="139"/>
      <c r="HT52" s="139"/>
      <c r="HU52" s="139"/>
      <c r="HV52" s="139"/>
      <c r="HW52" s="139"/>
      <c r="HX52" s="139"/>
      <c r="HY52" s="139"/>
      <c r="HZ52" s="139"/>
      <c r="IA52" s="139"/>
      <c r="IB52" s="139"/>
      <c r="IC52" s="139"/>
      <c r="ID52" s="139"/>
      <c r="IE52" s="139"/>
      <c r="IF52" s="139"/>
      <c r="IG52" s="139"/>
      <c r="IH52" s="139"/>
      <c r="II52" s="139"/>
      <c r="IJ52" s="139"/>
      <c r="IK52" s="139"/>
      <c r="IL52" s="139"/>
      <c r="IM52" s="139"/>
      <c r="IN52" s="139"/>
      <c r="IO52" s="139"/>
      <c r="IP52" s="139"/>
      <c r="IQ52" s="139"/>
      <c r="IR52" s="139"/>
      <c r="IS52" s="139"/>
      <c r="IT52" s="139"/>
      <c r="IU52" s="139"/>
      <c r="IV52" s="139"/>
    </row>
    <row r="53" spans="1:256" x14ac:dyDescent="0.25">
      <c r="A53" s="118" t="str">
        <f t="shared" si="0"/>
        <v>18SST316L</v>
      </c>
      <c r="B53" s="136"/>
      <c r="C53" s="137"/>
      <c r="D53" s="121" t="s">
        <v>856</v>
      </c>
      <c r="E53" s="122" t="s">
        <v>834</v>
      </c>
      <c r="F53" s="123" t="s">
        <v>876</v>
      </c>
      <c r="G53" s="123" t="s">
        <v>876</v>
      </c>
      <c r="H53" s="124">
        <v>4.802E-2</v>
      </c>
      <c r="I53" s="123" t="s">
        <v>704</v>
      </c>
      <c r="J53" s="123" t="s">
        <v>705</v>
      </c>
      <c r="K53" s="123" t="s">
        <v>910</v>
      </c>
      <c r="L53" s="122" t="s">
        <v>911</v>
      </c>
      <c r="M53" s="123" t="s">
        <v>898</v>
      </c>
      <c r="N53" s="129" t="s">
        <v>861</v>
      </c>
      <c r="O53" s="123" t="s">
        <v>722</v>
      </c>
      <c r="P53" s="123" t="s">
        <v>711</v>
      </c>
      <c r="Q53" s="123" t="s">
        <v>899</v>
      </c>
      <c r="R53" s="118" t="s">
        <v>912</v>
      </c>
      <c r="S53" s="118" t="s">
        <v>713</v>
      </c>
      <c r="T53" s="126" t="s">
        <v>713</v>
      </c>
      <c r="U53" s="138"/>
      <c r="V53" s="139"/>
      <c r="W53" s="139"/>
      <c r="X53" s="139"/>
      <c r="Y53" s="139"/>
      <c r="Z53" s="139"/>
      <c r="AA53" s="139"/>
      <c r="AB53" s="139"/>
      <c r="AC53" s="139"/>
      <c r="AD53" s="139"/>
      <c r="AE53" s="139"/>
      <c r="AF53" s="139"/>
      <c r="AG53" s="139"/>
      <c r="AH53" s="139"/>
      <c r="AI53" s="139"/>
      <c r="AJ53" s="139"/>
      <c r="AK53" s="139"/>
      <c r="AL53" s="139"/>
      <c r="AM53" s="139"/>
      <c r="AN53" s="139"/>
      <c r="AO53" s="139"/>
      <c r="AP53" s="139"/>
      <c r="AQ53" s="139"/>
      <c r="AR53" s="139"/>
      <c r="AS53" s="139"/>
      <c r="AT53" s="139"/>
      <c r="AU53" s="139"/>
      <c r="AV53" s="139"/>
      <c r="AW53" s="139"/>
      <c r="AX53" s="139"/>
      <c r="AY53" s="139"/>
      <c r="AZ53" s="139"/>
      <c r="BA53" s="139"/>
      <c r="BB53" s="139"/>
      <c r="BC53" s="139"/>
      <c r="BD53" s="139"/>
      <c r="BE53" s="139"/>
      <c r="BF53" s="139"/>
      <c r="BG53" s="139"/>
      <c r="BH53" s="139"/>
      <c r="BI53" s="139"/>
      <c r="BJ53" s="139"/>
      <c r="BK53" s="139"/>
      <c r="BL53" s="139"/>
      <c r="BM53" s="139"/>
      <c r="BN53" s="139"/>
      <c r="BO53" s="139"/>
      <c r="BP53" s="139"/>
      <c r="BQ53" s="139"/>
      <c r="BR53" s="139"/>
      <c r="BS53" s="139"/>
      <c r="BT53" s="139"/>
      <c r="BU53" s="139"/>
      <c r="BV53" s="139"/>
      <c r="BW53" s="139"/>
      <c r="BX53" s="139"/>
      <c r="BY53" s="139"/>
      <c r="BZ53" s="139"/>
      <c r="CA53" s="139"/>
      <c r="CB53" s="139"/>
      <c r="CC53" s="139"/>
      <c r="CD53" s="139"/>
      <c r="CE53" s="139"/>
      <c r="CF53" s="139"/>
      <c r="CG53" s="139"/>
      <c r="CH53" s="139"/>
      <c r="CI53" s="139"/>
      <c r="CJ53" s="139"/>
      <c r="CK53" s="139"/>
      <c r="CL53" s="139"/>
      <c r="CM53" s="139"/>
      <c r="CN53" s="139"/>
      <c r="CO53" s="139"/>
      <c r="CP53" s="139"/>
      <c r="CQ53" s="139"/>
      <c r="CR53" s="139"/>
      <c r="CS53" s="139"/>
      <c r="CT53" s="139"/>
      <c r="CU53" s="139"/>
      <c r="CV53" s="139"/>
      <c r="CW53" s="139"/>
      <c r="CX53" s="139"/>
      <c r="CY53" s="139"/>
      <c r="CZ53" s="139"/>
      <c r="DA53" s="139"/>
      <c r="DB53" s="139"/>
      <c r="DC53" s="139"/>
      <c r="DD53" s="139"/>
      <c r="DE53" s="139"/>
      <c r="DF53" s="139"/>
      <c r="DG53" s="139"/>
      <c r="DH53" s="139"/>
      <c r="DI53" s="139"/>
      <c r="DJ53" s="139"/>
      <c r="DK53" s="139"/>
      <c r="DL53" s="139"/>
      <c r="DM53" s="139"/>
      <c r="DN53" s="139"/>
      <c r="DO53" s="139"/>
      <c r="DP53" s="139"/>
      <c r="DQ53" s="139"/>
      <c r="DR53" s="139"/>
      <c r="DS53" s="139"/>
      <c r="DT53" s="139"/>
      <c r="DU53" s="139"/>
      <c r="DV53" s="139"/>
      <c r="DW53" s="139"/>
      <c r="DX53" s="139"/>
      <c r="DY53" s="139"/>
      <c r="DZ53" s="139"/>
      <c r="EA53" s="139"/>
      <c r="EB53" s="139"/>
      <c r="EC53" s="139"/>
      <c r="ED53" s="139"/>
      <c r="EE53" s="139"/>
      <c r="EF53" s="139"/>
      <c r="EG53" s="139"/>
      <c r="EH53" s="139"/>
      <c r="EI53" s="139"/>
      <c r="EJ53" s="139"/>
      <c r="EK53" s="139"/>
      <c r="EL53" s="139"/>
      <c r="EM53" s="139"/>
      <c r="EN53" s="139"/>
      <c r="EO53" s="139"/>
      <c r="EP53" s="139"/>
      <c r="EQ53" s="139"/>
      <c r="ER53" s="139"/>
      <c r="ES53" s="139"/>
      <c r="ET53" s="139"/>
      <c r="EU53" s="139"/>
      <c r="EV53" s="139"/>
      <c r="EW53" s="139"/>
      <c r="EX53" s="139"/>
      <c r="EY53" s="139"/>
      <c r="EZ53" s="139"/>
      <c r="FA53" s="139"/>
      <c r="FB53" s="139"/>
      <c r="FC53" s="139"/>
      <c r="FD53" s="139"/>
      <c r="FE53" s="139"/>
      <c r="FF53" s="139"/>
      <c r="FG53" s="139"/>
      <c r="FH53" s="139"/>
      <c r="FI53" s="139"/>
      <c r="FJ53" s="139"/>
      <c r="FK53" s="139"/>
      <c r="FL53" s="139"/>
      <c r="FM53" s="139"/>
      <c r="FN53" s="139"/>
      <c r="FO53" s="139"/>
      <c r="FP53" s="139"/>
      <c r="FQ53" s="139"/>
      <c r="FR53" s="139"/>
      <c r="FS53" s="139"/>
      <c r="FT53" s="139"/>
      <c r="FU53" s="139"/>
      <c r="FV53" s="139"/>
      <c r="FW53" s="139"/>
      <c r="FX53" s="139"/>
      <c r="FY53" s="139"/>
      <c r="FZ53" s="139"/>
      <c r="GA53" s="139"/>
      <c r="GB53" s="139"/>
      <c r="GC53" s="139"/>
      <c r="GD53" s="139"/>
      <c r="GE53" s="139"/>
      <c r="GF53" s="139"/>
      <c r="GG53" s="139"/>
      <c r="GH53" s="139"/>
      <c r="GI53" s="139"/>
      <c r="GJ53" s="139"/>
      <c r="GK53" s="139"/>
      <c r="GL53" s="139"/>
      <c r="GM53" s="139"/>
      <c r="GN53" s="139"/>
      <c r="GO53" s="139"/>
      <c r="GP53" s="139"/>
      <c r="GQ53" s="139"/>
      <c r="GR53" s="139"/>
      <c r="GS53" s="139"/>
      <c r="GT53" s="139"/>
      <c r="GU53" s="139"/>
      <c r="GV53" s="139"/>
      <c r="GW53" s="139"/>
      <c r="GX53" s="139"/>
      <c r="GY53" s="139"/>
      <c r="GZ53" s="139"/>
      <c r="HA53" s="139"/>
      <c r="HB53" s="139"/>
      <c r="HC53" s="139"/>
      <c r="HD53" s="139"/>
      <c r="HE53" s="139"/>
      <c r="HF53" s="139"/>
      <c r="HG53" s="139"/>
      <c r="HH53" s="139"/>
      <c r="HI53" s="139"/>
      <c r="HJ53" s="139"/>
      <c r="HK53" s="139"/>
      <c r="HL53" s="139"/>
      <c r="HM53" s="139"/>
      <c r="HN53" s="139"/>
      <c r="HO53" s="139"/>
      <c r="HP53" s="139"/>
      <c r="HQ53" s="139"/>
      <c r="HR53" s="139"/>
      <c r="HS53" s="139"/>
      <c r="HT53" s="139"/>
      <c r="HU53" s="139"/>
      <c r="HV53" s="139"/>
      <c r="HW53" s="139"/>
      <c r="HX53" s="139"/>
      <c r="HY53" s="139"/>
      <c r="HZ53" s="139"/>
      <c r="IA53" s="139"/>
      <c r="IB53" s="139"/>
      <c r="IC53" s="139"/>
      <c r="ID53" s="139"/>
      <c r="IE53" s="139"/>
      <c r="IF53" s="139"/>
      <c r="IG53" s="139"/>
      <c r="IH53" s="139"/>
      <c r="II53" s="139"/>
      <c r="IJ53" s="139"/>
      <c r="IK53" s="139"/>
      <c r="IL53" s="139"/>
      <c r="IM53" s="139"/>
      <c r="IN53" s="139"/>
      <c r="IO53" s="139"/>
      <c r="IP53" s="139"/>
      <c r="IQ53" s="139"/>
      <c r="IR53" s="139"/>
      <c r="IS53" s="139"/>
      <c r="IT53" s="139"/>
      <c r="IU53" s="139"/>
      <c r="IV53" s="139"/>
    </row>
    <row r="54" spans="1:256" x14ac:dyDescent="0.25">
      <c r="A54" s="140" t="str">
        <f t="shared" si="0"/>
        <v>20SST316L</v>
      </c>
      <c r="B54" s="136"/>
      <c r="C54" s="137"/>
      <c r="D54" s="121" t="s">
        <v>856</v>
      </c>
      <c r="E54" s="122" t="s">
        <v>826</v>
      </c>
      <c r="F54" s="123" t="s">
        <v>879</v>
      </c>
      <c r="G54" s="123" t="s">
        <v>879</v>
      </c>
      <c r="H54" s="124">
        <v>3.5020000000000003E-2</v>
      </c>
      <c r="I54" s="123" t="s">
        <v>704</v>
      </c>
      <c r="J54" s="123" t="s">
        <v>705</v>
      </c>
      <c r="K54" s="123" t="s">
        <v>913</v>
      </c>
      <c r="L54" s="122" t="s">
        <v>914</v>
      </c>
      <c r="M54" s="123" t="s">
        <v>898</v>
      </c>
      <c r="N54" s="129" t="s">
        <v>861</v>
      </c>
      <c r="O54" s="123" t="s">
        <v>722</v>
      </c>
      <c r="P54" s="123" t="s">
        <v>711</v>
      </c>
      <c r="Q54" s="123" t="s">
        <v>899</v>
      </c>
      <c r="R54" s="118" t="s">
        <v>915</v>
      </c>
      <c r="S54" s="118" t="s">
        <v>713</v>
      </c>
      <c r="T54" s="126" t="s">
        <v>713</v>
      </c>
      <c r="U54" s="138"/>
      <c r="V54" s="139"/>
      <c r="W54" s="139"/>
      <c r="X54" s="139"/>
      <c r="Y54" s="139"/>
      <c r="Z54" s="139"/>
      <c r="AA54" s="139"/>
      <c r="AB54" s="139"/>
      <c r="AC54" s="139"/>
      <c r="AD54" s="139"/>
      <c r="AE54" s="139"/>
      <c r="AF54" s="139"/>
      <c r="AG54" s="139"/>
      <c r="AH54" s="139"/>
      <c r="AI54" s="139"/>
      <c r="AJ54" s="139"/>
      <c r="AK54" s="139"/>
      <c r="AL54" s="139"/>
      <c r="AM54" s="139"/>
      <c r="AN54" s="139"/>
      <c r="AO54" s="139"/>
      <c r="AP54" s="139"/>
      <c r="AQ54" s="139"/>
      <c r="AR54" s="139"/>
      <c r="AS54" s="139"/>
      <c r="AT54" s="139"/>
      <c r="AU54" s="139"/>
      <c r="AV54" s="139"/>
      <c r="AW54" s="139"/>
      <c r="AX54" s="139"/>
      <c r="AY54" s="139"/>
      <c r="AZ54" s="139"/>
      <c r="BA54" s="139"/>
      <c r="BB54" s="139"/>
      <c r="BC54" s="139"/>
      <c r="BD54" s="139"/>
      <c r="BE54" s="139"/>
      <c r="BF54" s="139"/>
      <c r="BG54" s="139"/>
      <c r="BH54" s="139"/>
      <c r="BI54" s="139"/>
      <c r="BJ54" s="139"/>
      <c r="BK54" s="139"/>
      <c r="BL54" s="139"/>
      <c r="BM54" s="139"/>
      <c r="BN54" s="139"/>
      <c r="BO54" s="139"/>
      <c r="BP54" s="139"/>
      <c r="BQ54" s="139"/>
      <c r="BR54" s="139"/>
      <c r="BS54" s="139"/>
      <c r="BT54" s="139"/>
      <c r="BU54" s="139"/>
      <c r="BV54" s="139"/>
      <c r="BW54" s="139"/>
      <c r="BX54" s="139"/>
      <c r="BY54" s="139"/>
      <c r="BZ54" s="139"/>
      <c r="CA54" s="139"/>
      <c r="CB54" s="139"/>
      <c r="CC54" s="139"/>
      <c r="CD54" s="139"/>
      <c r="CE54" s="139"/>
      <c r="CF54" s="139"/>
      <c r="CG54" s="139"/>
      <c r="CH54" s="139"/>
      <c r="CI54" s="139"/>
      <c r="CJ54" s="139"/>
      <c r="CK54" s="139"/>
      <c r="CL54" s="139"/>
      <c r="CM54" s="139"/>
      <c r="CN54" s="139"/>
      <c r="CO54" s="139"/>
      <c r="CP54" s="139"/>
      <c r="CQ54" s="139"/>
      <c r="CR54" s="139"/>
      <c r="CS54" s="139"/>
      <c r="CT54" s="139"/>
      <c r="CU54" s="139"/>
      <c r="CV54" s="139"/>
      <c r="CW54" s="139"/>
      <c r="CX54" s="139"/>
      <c r="CY54" s="139"/>
      <c r="CZ54" s="139"/>
      <c r="DA54" s="139"/>
      <c r="DB54" s="139"/>
      <c r="DC54" s="139"/>
      <c r="DD54" s="139"/>
      <c r="DE54" s="139"/>
      <c r="DF54" s="139"/>
      <c r="DG54" s="139"/>
      <c r="DH54" s="139"/>
      <c r="DI54" s="139"/>
      <c r="DJ54" s="139"/>
      <c r="DK54" s="139"/>
      <c r="DL54" s="139"/>
      <c r="DM54" s="139"/>
      <c r="DN54" s="139"/>
      <c r="DO54" s="139"/>
      <c r="DP54" s="139"/>
      <c r="DQ54" s="139"/>
      <c r="DR54" s="139"/>
      <c r="DS54" s="139"/>
      <c r="DT54" s="139"/>
      <c r="DU54" s="139"/>
      <c r="DV54" s="139"/>
      <c r="DW54" s="139"/>
      <c r="DX54" s="139"/>
      <c r="DY54" s="139"/>
      <c r="DZ54" s="139"/>
      <c r="EA54" s="139"/>
      <c r="EB54" s="139"/>
      <c r="EC54" s="139"/>
      <c r="ED54" s="139"/>
      <c r="EE54" s="139"/>
      <c r="EF54" s="139"/>
      <c r="EG54" s="139"/>
      <c r="EH54" s="139"/>
      <c r="EI54" s="139"/>
      <c r="EJ54" s="139"/>
      <c r="EK54" s="139"/>
      <c r="EL54" s="139"/>
      <c r="EM54" s="139"/>
      <c r="EN54" s="139"/>
      <c r="EO54" s="139"/>
      <c r="EP54" s="139"/>
      <c r="EQ54" s="139"/>
      <c r="ER54" s="139"/>
      <c r="ES54" s="139"/>
      <c r="ET54" s="139"/>
      <c r="EU54" s="139"/>
      <c r="EV54" s="139"/>
      <c r="EW54" s="139"/>
      <c r="EX54" s="139"/>
      <c r="EY54" s="139"/>
      <c r="EZ54" s="139"/>
      <c r="FA54" s="139"/>
      <c r="FB54" s="139"/>
      <c r="FC54" s="139"/>
      <c r="FD54" s="139"/>
      <c r="FE54" s="139"/>
      <c r="FF54" s="139"/>
      <c r="FG54" s="139"/>
      <c r="FH54" s="139"/>
      <c r="FI54" s="139"/>
      <c r="FJ54" s="139"/>
      <c r="FK54" s="139"/>
      <c r="FL54" s="139"/>
      <c r="FM54" s="139"/>
      <c r="FN54" s="139"/>
      <c r="FO54" s="139"/>
      <c r="FP54" s="139"/>
      <c r="FQ54" s="139"/>
      <c r="FR54" s="139"/>
      <c r="FS54" s="139"/>
      <c r="FT54" s="139"/>
      <c r="FU54" s="139"/>
      <c r="FV54" s="139"/>
      <c r="FW54" s="139"/>
      <c r="FX54" s="139"/>
      <c r="FY54" s="139"/>
      <c r="FZ54" s="139"/>
      <c r="GA54" s="139"/>
      <c r="GB54" s="139"/>
      <c r="GC54" s="139"/>
      <c r="GD54" s="139"/>
      <c r="GE54" s="139"/>
      <c r="GF54" s="139"/>
      <c r="GG54" s="139"/>
      <c r="GH54" s="139"/>
      <c r="GI54" s="139"/>
      <c r="GJ54" s="139"/>
      <c r="GK54" s="139"/>
      <c r="GL54" s="139"/>
      <c r="GM54" s="139"/>
      <c r="GN54" s="139"/>
      <c r="GO54" s="139"/>
      <c r="GP54" s="139"/>
      <c r="GQ54" s="139"/>
      <c r="GR54" s="139"/>
      <c r="GS54" s="139"/>
      <c r="GT54" s="139"/>
      <c r="GU54" s="139"/>
      <c r="GV54" s="139"/>
      <c r="GW54" s="139"/>
      <c r="GX54" s="139"/>
      <c r="GY54" s="139"/>
      <c r="GZ54" s="139"/>
      <c r="HA54" s="139"/>
      <c r="HB54" s="139"/>
      <c r="HC54" s="139"/>
      <c r="HD54" s="139"/>
      <c r="HE54" s="139"/>
      <c r="HF54" s="139"/>
      <c r="HG54" s="139"/>
      <c r="HH54" s="139"/>
      <c r="HI54" s="139"/>
      <c r="HJ54" s="139"/>
      <c r="HK54" s="139"/>
      <c r="HL54" s="139"/>
      <c r="HM54" s="139"/>
      <c r="HN54" s="139"/>
      <c r="HO54" s="139"/>
      <c r="HP54" s="139"/>
      <c r="HQ54" s="139"/>
      <c r="HR54" s="139"/>
      <c r="HS54" s="139"/>
      <c r="HT54" s="139"/>
      <c r="HU54" s="139"/>
      <c r="HV54" s="139"/>
      <c r="HW54" s="139"/>
      <c r="HX54" s="139"/>
      <c r="HY54" s="139"/>
      <c r="HZ54" s="139"/>
      <c r="IA54" s="139"/>
      <c r="IB54" s="139"/>
      <c r="IC54" s="139"/>
      <c r="ID54" s="139"/>
      <c r="IE54" s="139"/>
      <c r="IF54" s="139"/>
      <c r="IG54" s="139"/>
      <c r="IH54" s="139"/>
      <c r="II54" s="139"/>
      <c r="IJ54" s="139"/>
      <c r="IK54" s="139"/>
      <c r="IL54" s="139"/>
      <c r="IM54" s="139"/>
      <c r="IN54" s="139"/>
      <c r="IO54" s="139"/>
      <c r="IP54" s="139"/>
      <c r="IQ54" s="139"/>
      <c r="IR54" s="139"/>
      <c r="IS54" s="139"/>
      <c r="IT54" s="139"/>
      <c r="IU54" s="139"/>
      <c r="IV54" s="139"/>
    </row>
    <row r="55" spans="1:256" ht="13.8" thickBot="1" x14ac:dyDescent="0.3">
      <c r="A55" s="141" t="str">
        <f t="shared" si="0"/>
        <v>22SST316L</v>
      </c>
      <c r="B55" s="136"/>
      <c r="C55" s="142"/>
      <c r="D55" s="143" t="s">
        <v>856</v>
      </c>
      <c r="E55" s="143" t="s">
        <v>740</v>
      </c>
      <c r="F55" s="144" t="s">
        <v>882</v>
      </c>
      <c r="G55" s="144" t="s">
        <v>882</v>
      </c>
      <c r="H55" s="145">
        <v>2.9020000000000001E-2</v>
      </c>
      <c r="I55" s="144" t="s">
        <v>716</v>
      </c>
      <c r="J55" s="144" t="s">
        <v>705</v>
      </c>
      <c r="K55" s="123" t="s">
        <v>916</v>
      </c>
      <c r="L55" s="122" t="s">
        <v>917</v>
      </c>
      <c r="M55" s="144" t="s">
        <v>898</v>
      </c>
      <c r="N55" s="146" t="s">
        <v>861</v>
      </c>
      <c r="O55" s="144" t="s">
        <v>722</v>
      </c>
      <c r="P55" s="144" t="s">
        <v>711</v>
      </c>
      <c r="Q55" s="144" t="s">
        <v>899</v>
      </c>
      <c r="R55" s="141" t="s">
        <v>918</v>
      </c>
      <c r="S55" s="141" t="s">
        <v>713</v>
      </c>
      <c r="T55" s="147" t="s">
        <v>713</v>
      </c>
      <c r="U55" s="138"/>
      <c r="V55" s="139"/>
      <c r="W55" s="139"/>
      <c r="X55" s="139"/>
      <c r="Y55" s="139"/>
      <c r="Z55" s="139"/>
      <c r="AA55" s="139"/>
      <c r="AB55" s="139"/>
      <c r="AC55" s="139"/>
      <c r="AD55" s="139"/>
      <c r="AE55" s="139"/>
      <c r="AF55" s="139"/>
      <c r="AG55" s="139"/>
      <c r="AH55" s="139"/>
      <c r="AI55" s="139"/>
      <c r="AJ55" s="139"/>
      <c r="AK55" s="139"/>
      <c r="AL55" s="139"/>
      <c r="AM55" s="139"/>
      <c r="AN55" s="139"/>
      <c r="AO55" s="139"/>
      <c r="AP55" s="139"/>
      <c r="AQ55" s="139"/>
      <c r="AR55" s="139"/>
      <c r="AS55" s="139"/>
      <c r="AT55" s="139"/>
      <c r="AU55" s="139"/>
      <c r="AV55" s="139"/>
      <c r="AW55" s="139"/>
      <c r="AX55" s="139"/>
      <c r="AY55" s="139"/>
      <c r="AZ55" s="139"/>
      <c r="BA55" s="139"/>
      <c r="BB55" s="139"/>
      <c r="BC55" s="139"/>
      <c r="BD55" s="139"/>
      <c r="BE55" s="139"/>
      <c r="BF55" s="139"/>
      <c r="BG55" s="139"/>
      <c r="BH55" s="139"/>
      <c r="BI55" s="139"/>
      <c r="BJ55" s="139"/>
      <c r="BK55" s="139"/>
      <c r="BL55" s="139"/>
      <c r="BM55" s="139"/>
      <c r="BN55" s="139"/>
      <c r="BO55" s="139"/>
      <c r="BP55" s="139"/>
      <c r="BQ55" s="139"/>
      <c r="BR55" s="139"/>
      <c r="BS55" s="139"/>
      <c r="BT55" s="139"/>
      <c r="BU55" s="139"/>
      <c r="BV55" s="139"/>
      <c r="BW55" s="139"/>
      <c r="BX55" s="139"/>
      <c r="BY55" s="139"/>
      <c r="BZ55" s="139"/>
      <c r="CA55" s="139"/>
      <c r="CB55" s="139"/>
      <c r="CC55" s="139"/>
      <c r="CD55" s="139"/>
      <c r="CE55" s="139"/>
      <c r="CF55" s="139"/>
      <c r="CG55" s="139"/>
      <c r="CH55" s="139"/>
      <c r="CI55" s="139"/>
      <c r="CJ55" s="139"/>
      <c r="CK55" s="139"/>
      <c r="CL55" s="139"/>
      <c r="CM55" s="139"/>
      <c r="CN55" s="139"/>
      <c r="CO55" s="139"/>
      <c r="CP55" s="139"/>
      <c r="CQ55" s="139"/>
      <c r="CR55" s="139"/>
      <c r="CS55" s="139"/>
      <c r="CT55" s="139"/>
      <c r="CU55" s="139"/>
      <c r="CV55" s="139"/>
      <c r="CW55" s="139"/>
      <c r="CX55" s="139"/>
      <c r="CY55" s="139"/>
      <c r="CZ55" s="139"/>
      <c r="DA55" s="139"/>
      <c r="DB55" s="139"/>
      <c r="DC55" s="139"/>
      <c r="DD55" s="139"/>
      <c r="DE55" s="139"/>
      <c r="DF55" s="139"/>
      <c r="DG55" s="139"/>
      <c r="DH55" s="139"/>
      <c r="DI55" s="139"/>
      <c r="DJ55" s="139"/>
      <c r="DK55" s="139"/>
      <c r="DL55" s="139"/>
      <c r="DM55" s="139"/>
      <c r="DN55" s="139"/>
      <c r="DO55" s="139"/>
      <c r="DP55" s="139"/>
      <c r="DQ55" s="139"/>
      <c r="DR55" s="139"/>
      <c r="DS55" s="139"/>
      <c r="DT55" s="139"/>
      <c r="DU55" s="139"/>
      <c r="DV55" s="139"/>
      <c r="DW55" s="139"/>
      <c r="DX55" s="139"/>
      <c r="DY55" s="139"/>
      <c r="DZ55" s="139"/>
      <c r="EA55" s="139"/>
      <c r="EB55" s="139"/>
      <c r="EC55" s="139"/>
      <c r="ED55" s="139"/>
      <c r="EE55" s="139"/>
      <c r="EF55" s="139"/>
      <c r="EG55" s="139"/>
      <c r="EH55" s="139"/>
      <c r="EI55" s="139"/>
      <c r="EJ55" s="139"/>
      <c r="EK55" s="139"/>
      <c r="EL55" s="139"/>
      <c r="EM55" s="139"/>
      <c r="EN55" s="139"/>
      <c r="EO55" s="139"/>
      <c r="EP55" s="139"/>
      <c r="EQ55" s="139"/>
      <c r="ER55" s="139"/>
      <c r="ES55" s="139"/>
      <c r="ET55" s="139"/>
      <c r="EU55" s="139"/>
      <c r="EV55" s="139"/>
      <c r="EW55" s="139"/>
      <c r="EX55" s="139"/>
      <c r="EY55" s="139"/>
      <c r="EZ55" s="139"/>
      <c r="FA55" s="139"/>
      <c r="FB55" s="139"/>
      <c r="FC55" s="139"/>
      <c r="FD55" s="139"/>
      <c r="FE55" s="139"/>
      <c r="FF55" s="139"/>
      <c r="FG55" s="139"/>
      <c r="FH55" s="139"/>
      <c r="FI55" s="139"/>
      <c r="FJ55" s="139"/>
      <c r="FK55" s="139"/>
      <c r="FL55" s="139"/>
      <c r="FM55" s="139"/>
      <c r="FN55" s="139"/>
      <c r="FO55" s="139"/>
      <c r="FP55" s="139"/>
      <c r="FQ55" s="139"/>
      <c r="FR55" s="139"/>
      <c r="FS55" s="139"/>
      <c r="FT55" s="139"/>
      <c r="FU55" s="139"/>
      <c r="FV55" s="139"/>
      <c r="FW55" s="139"/>
      <c r="FX55" s="139"/>
      <c r="FY55" s="139"/>
      <c r="FZ55" s="139"/>
      <c r="GA55" s="139"/>
      <c r="GB55" s="139"/>
      <c r="GC55" s="139"/>
      <c r="GD55" s="139"/>
      <c r="GE55" s="139"/>
      <c r="GF55" s="139"/>
      <c r="GG55" s="139"/>
      <c r="GH55" s="139"/>
      <c r="GI55" s="139"/>
      <c r="GJ55" s="139"/>
      <c r="GK55" s="139"/>
      <c r="GL55" s="139"/>
      <c r="GM55" s="139"/>
      <c r="GN55" s="139"/>
      <c r="GO55" s="139"/>
      <c r="GP55" s="139"/>
      <c r="GQ55" s="139"/>
      <c r="GR55" s="139"/>
      <c r="GS55" s="139"/>
      <c r="GT55" s="139"/>
      <c r="GU55" s="139"/>
      <c r="GV55" s="139"/>
      <c r="GW55" s="139"/>
      <c r="GX55" s="139"/>
      <c r="GY55" s="139"/>
      <c r="GZ55" s="139"/>
      <c r="HA55" s="139"/>
      <c r="HB55" s="139"/>
      <c r="HC55" s="139"/>
      <c r="HD55" s="139"/>
      <c r="HE55" s="139"/>
      <c r="HF55" s="139"/>
      <c r="HG55" s="139"/>
      <c r="HH55" s="139"/>
      <c r="HI55" s="139"/>
      <c r="HJ55" s="139"/>
      <c r="HK55" s="139"/>
      <c r="HL55" s="139"/>
      <c r="HM55" s="139"/>
      <c r="HN55" s="139"/>
      <c r="HO55" s="139"/>
      <c r="HP55" s="139"/>
      <c r="HQ55" s="139"/>
      <c r="HR55" s="139"/>
      <c r="HS55" s="139"/>
      <c r="HT55" s="139"/>
      <c r="HU55" s="139"/>
      <c r="HV55" s="139"/>
      <c r="HW55" s="139"/>
      <c r="HX55" s="139"/>
      <c r="HY55" s="139"/>
      <c r="HZ55" s="139"/>
      <c r="IA55" s="139"/>
      <c r="IB55" s="139"/>
      <c r="IC55" s="139"/>
      <c r="ID55" s="139"/>
      <c r="IE55" s="139"/>
      <c r="IF55" s="139"/>
      <c r="IG55" s="139"/>
      <c r="IH55" s="139"/>
      <c r="II55" s="139"/>
      <c r="IJ55" s="139"/>
      <c r="IK55" s="139"/>
      <c r="IL55" s="139"/>
      <c r="IM55" s="139"/>
      <c r="IN55" s="139"/>
      <c r="IO55" s="139"/>
      <c r="IP55" s="139"/>
      <c r="IQ55" s="139"/>
      <c r="IR55" s="139"/>
      <c r="IS55" s="139"/>
      <c r="IT55" s="139"/>
      <c r="IU55" s="139"/>
      <c r="IV55" s="139"/>
    </row>
    <row r="56" spans="1:256" ht="17.25" customHeight="1" thickTop="1" thickBot="1" x14ac:dyDescent="0.3">
      <c r="A56" s="148" t="str">
        <f t="shared" si="0"/>
        <v/>
      </c>
      <c r="B56" s="136"/>
      <c r="C56" s="149"/>
      <c r="D56" s="150"/>
      <c r="E56" s="150"/>
      <c r="F56" s="150"/>
      <c r="G56" s="150"/>
      <c r="H56" s="150"/>
      <c r="I56" s="150"/>
      <c r="J56" s="150"/>
      <c r="K56" s="150"/>
      <c r="L56" s="150"/>
      <c r="M56" s="151"/>
      <c r="N56" s="151"/>
      <c r="O56" s="151"/>
      <c r="P56" s="151"/>
      <c r="Q56" s="151"/>
      <c r="R56" s="151"/>
      <c r="S56" s="151"/>
      <c r="T56" s="151"/>
      <c r="U56" s="138"/>
      <c r="V56" s="139"/>
      <c r="W56" s="139"/>
      <c r="X56" s="139"/>
      <c r="Y56" s="139"/>
      <c r="Z56" s="139"/>
      <c r="AA56" s="139"/>
      <c r="AB56" s="139"/>
      <c r="AC56" s="139"/>
      <c r="AD56" s="139"/>
      <c r="AE56" s="139"/>
      <c r="AF56" s="139"/>
      <c r="AG56" s="139"/>
      <c r="AH56" s="139"/>
      <c r="AI56" s="139"/>
      <c r="AJ56" s="139"/>
      <c r="AK56" s="139"/>
      <c r="AL56" s="139"/>
      <c r="AM56" s="139"/>
      <c r="AN56" s="139"/>
      <c r="AO56" s="139"/>
      <c r="AP56" s="139"/>
      <c r="AQ56" s="139"/>
      <c r="AR56" s="139"/>
      <c r="AS56" s="139"/>
      <c r="AT56" s="139"/>
      <c r="AU56" s="139"/>
      <c r="AV56" s="139"/>
      <c r="AW56" s="139"/>
      <c r="AX56" s="139"/>
      <c r="AY56" s="139"/>
      <c r="AZ56" s="139"/>
      <c r="BA56" s="139"/>
      <c r="BB56" s="139"/>
      <c r="BC56" s="139"/>
      <c r="BD56" s="139"/>
      <c r="BE56" s="139"/>
      <c r="BF56" s="139"/>
      <c r="BG56" s="139"/>
      <c r="BH56" s="139"/>
      <c r="BI56" s="139"/>
      <c r="BJ56" s="139"/>
      <c r="BK56" s="139"/>
      <c r="BL56" s="139"/>
      <c r="BM56" s="139"/>
      <c r="BN56" s="139"/>
      <c r="BO56" s="139"/>
      <c r="BP56" s="139"/>
      <c r="BQ56" s="139"/>
      <c r="BR56" s="139"/>
      <c r="BS56" s="139"/>
      <c r="BT56" s="139"/>
      <c r="BU56" s="139"/>
      <c r="BV56" s="139"/>
      <c r="BW56" s="139"/>
      <c r="BX56" s="139"/>
      <c r="BY56" s="139"/>
      <c r="BZ56" s="139"/>
      <c r="CA56" s="139"/>
      <c r="CB56" s="139"/>
      <c r="CC56" s="139"/>
      <c r="CD56" s="139"/>
      <c r="CE56" s="139"/>
      <c r="CF56" s="139"/>
      <c r="CG56" s="139"/>
      <c r="CH56" s="139"/>
      <c r="CI56" s="139"/>
      <c r="CJ56" s="139"/>
      <c r="CK56" s="139"/>
      <c r="CL56" s="139"/>
      <c r="CM56" s="139"/>
      <c r="CN56" s="139"/>
      <c r="CO56" s="139"/>
      <c r="CP56" s="139"/>
      <c r="CQ56" s="139"/>
      <c r="CR56" s="139"/>
      <c r="CS56" s="139"/>
      <c r="CT56" s="139"/>
      <c r="CU56" s="139"/>
      <c r="CV56" s="139"/>
      <c r="CW56" s="139"/>
      <c r="CX56" s="139"/>
      <c r="CY56" s="139"/>
      <c r="CZ56" s="139"/>
      <c r="DA56" s="139"/>
      <c r="DB56" s="139"/>
      <c r="DC56" s="139"/>
      <c r="DD56" s="139"/>
      <c r="DE56" s="139"/>
      <c r="DF56" s="139"/>
      <c r="DG56" s="139"/>
      <c r="DH56" s="139"/>
      <c r="DI56" s="139"/>
      <c r="DJ56" s="139"/>
      <c r="DK56" s="139"/>
      <c r="DL56" s="139"/>
      <c r="DM56" s="139"/>
      <c r="DN56" s="139"/>
      <c r="DO56" s="139"/>
      <c r="DP56" s="139"/>
      <c r="DQ56" s="139"/>
      <c r="DR56" s="139"/>
      <c r="DS56" s="139"/>
      <c r="DT56" s="139"/>
      <c r="DU56" s="139"/>
      <c r="DV56" s="139"/>
      <c r="DW56" s="139"/>
      <c r="DX56" s="139"/>
      <c r="DY56" s="139"/>
      <c r="DZ56" s="139"/>
      <c r="EA56" s="139"/>
      <c r="EB56" s="139"/>
      <c r="EC56" s="139"/>
      <c r="ED56" s="139"/>
      <c r="EE56" s="139"/>
      <c r="EF56" s="139"/>
      <c r="EG56" s="139"/>
      <c r="EH56" s="139"/>
      <c r="EI56" s="139"/>
      <c r="EJ56" s="139"/>
      <c r="EK56" s="139"/>
      <c r="EL56" s="139"/>
      <c r="EM56" s="139"/>
      <c r="EN56" s="139"/>
      <c r="EO56" s="139"/>
      <c r="EP56" s="139"/>
      <c r="EQ56" s="139"/>
      <c r="ER56" s="139"/>
      <c r="ES56" s="139"/>
      <c r="ET56" s="139"/>
      <c r="EU56" s="139"/>
      <c r="EV56" s="139"/>
      <c r="EW56" s="139"/>
      <c r="EX56" s="139"/>
      <c r="EY56" s="139"/>
      <c r="EZ56" s="139"/>
      <c r="FA56" s="139"/>
      <c r="FB56" s="139"/>
      <c r="FC56" s="139"/>
      <c r="FD56" s="139"/>
      <c r="FE56" s="139"/>
      <c r="FF56" s="139"/>
      <c r="FG56" s="139"/>
      <c r="FH56" s="139"/>
      <c r="FI56" s="139"/>
      <c r="FJ56" s="139"/>
      <c r="FK56" s="139"/>
      <c r="FL56" s="139"/>
      <c r="FM56" s="139"/>
      <c r="FN56" s="139"/>
      <c r="FO56" s="139"/>
      <c r="FP56" s="139"/>
      <c r="FQ56" s="139"/>
      <c r="FR56" s="139"/>
      <c r="FS56" s="139"/>
      <c r="FT56" s="139"/>
      <c r="FU56" s="139"/>
      <c r="FV56" s="139"/>
      <c r="FW56" s="139"/>
      <c r="FX56" s="139"/>
      <c r="FY56" s="139"/>
      <c r="FZ56" s="139"/>
      <c r="GA56" s="139"/>
      <c r="GB56" s="139"/>
      <c r="GC56" s="139"/>
      <c r="GD56" s="139"/>
      <c r="GE56" s="139"/>
      <c r="GF56" s="139"/>
      <c r="GG56" s="139"/>
      <c r="GH56" s="139"/>
      <c r="GI56" s="139"/>
      <c r="GJ56" s="139"/>
      <c r="GK56" s="139"/>
      <c r="GL56" s="139"/>
      <c r="GM56" s="139"/>
      <c r="GN56" s="139"/>
      <c r="GO56" s="139"/>
      <c r="GP56" s="139"/>
      <c r="GQ56" s="139"/>
      <c r="GR56" s="139"/>
      <c r="GS56" s="139"/>
      <c r="GT56" s="139"/>
      <c r="GU56" s="139"/>
      <c r="GV56" s="139"/>
      <c r="GW56" s="139"/>
      <c r="GX56" s="139"/>
      <c r="GY56" s="139"/>
      <c r="GZ56" s="139"/>
      <c r="HA56" s="139"/>
      <c r="HB56" s="139"/>
      <c r="HC56" s="139"/>
      <c r="HD56" s="139"/>
      <c r="HE56" s="139"/>
      <c r="HF56" s="139"/>
      <c r="HG56" s="139"/>
      <c r="HH56" s="139"/>
      <c r="HI56" s="139"/>
      <c r="HJ56" s="139"/>
      <c r="HK56" s="139"/>
      <c r="HL56" s="139"/>
      <c r="HM56" s="139"/>
      <c r="HN56" s="139"/>
      <c r="HO56" s="139"/>
      <c r="HP56" s="139"/>
      <c r="HQ56" s="139"/>
      <c r="HR56" s="139"/>
      <c r="HS56" s="139"/>
      <c r="HT56" s="139"/>
      <c r="HU56" s="139"/>
      <c r="HV56" s="139"/>
      <c r="HW56" s="139"/>
      <c r="HX56" s="139"/>
      <c r="HY56" s="139"/>
      <c r="HZ56" s="139"/>
      <c r="IA56" s="139"/>
      <c r="IB56" s="139"/>
      <c r="IC56" s="139"/>
      <c r="ID56" s="139"/>
      <c r="IE56" s="139"/>
      <c r="IF56" s="139"/>
      <c r="IG56" s="139"/>
      <c r="IH56" s="139"/>
      <c r="II56" s="139"/>
      <c r="IJ56" s="139"/>
      <c r="IK56" s="139"/>
      <c r="IL56" s="139"/>
      <c r="IM56" s="139"/>
      <c r="IN56" s="139"/>
      <c r="IO56" s="139"/>
      <c r="IP56" s="139"/>
      <c r="IQ56" s="139"/>
      <c r="IR56" s="139"/>
      <c r="IS56" s="139"/>
      <c r="IT56" s="139"/>
      <c r="IU56" s="139"/>
      <c r="IV56" s="139"/>
    </row>
    <row r="57" spans="1:256" ht="16.8" thickTop="1" thickBot="1" x14ac:dyDescent="0.3">
      <c r="A57" s="148" t="str">
        <f t="shared" si="0"/>
        <v/>
      </c>
      <c r="B57" s="136"/>
      <c r="C57" s="152" t="s">
        <v>919</v>
      </c>
      <c r="D57" s="139"/>
      <c r="E57" s="139"/>
      <c r="F57" s="139"/>
      <c r="G57" s="139"/>
      <c r="H57" s="139"/>
      <c r="I57" s="139"/>
      <c r="J57" s="139"/>
      <c r="K57" s="139"/>
      <c r="L57" s="139"/>
      <c r="M57" s="153"/>
      <c r="N57" s="153"/>
      <c r="O57" s="153"/>
      <c r="P57" s="153"/>
      <c r="Q57" s="153"/>
      <c r="R57" s="153"/>
      <c r="S57" s="153"/>
      <c r="T57" s="153"/>
      <c r="U57" s="138"/>
      <c r="V57" s="139"/>
      <c r="W57" s="139"/>
      <c r="X57" s="139"/>
      <c r="Y57" s="139"/>
      <c r="Z57" s="139"/>
      <c r="AA57" s="139"/>
      <c r="AB57" s="139"/>
      <c r="AC57" s="139"/>
      <c r="AD57" s="139"/>
      <c r="AE57" s="139"/>
      <c r="AF57" s="139"/>
      <c r="AG57" s="139"/>
      <c r="AH57" s="139"/>
      <c r="AI57" s="139"/>
      <c r="AJ57" s="139"/>
      <c r="AK57" s="139"/>
      <c r="AL57" s="139"/>
      <c r="AM57" s="139"/>
      <c r="AN57" s="139"/>
      <c r="AO57" s="139"/>
      <c r="AP57" s="139"/>
      <c r="AQ57" s="139"/>
      <c r="AR57" s="139"/>
      <c r="AS57" s="139"/>
      <c r="AT57" s="139"/>
      <c r="AU57" s="139"/>
      <c r="AV57" s="139"/>
      <c r="AW57" s="139"/>
      <c r="AX57" s="139"/>
      <c r="AY57" s="139"/>
      <c r="AZ57" s="139"/>
      <c r="BA57" s="139"/>
      <c r="BB57" s="139"/>
      <c r="BC57" s="139"/>
      <c r="BD57" s="139"/>
      <c r="BE57" s="139"/>
      <c r="BF57" s="139"/>
      <c r="BG57" s="139"/>
      <c r="BH57" s="139"/>
      <c r="BI57" s="139"/>
      <c r="BJ57" s="139"/>
      <c r="BK57" s="139"/>
      <c r="BL57" s="139"/>
      <c r="BM57" s="139"/>
      <c r="BN57" s="139"/>
      <c r="BO57" s="139"/>
      <c r="BP57" s="139"/>
      <c r="BQ57" s="139"/>
      <c r="BR57" s="139"/>
      <c r="BS57" s="139"/>
      <c r="BT57" s="139"/>
      <c r="BU57" s="139"/>
      <c r="BV57" s="139"/>
      <c r="BW57" s="139"/>
      <c r="BX57" s="139"/>
      <c r="BY57" s="139"/>
      <c r="BZ57" s="139"/>
      <c r="CA57" s="139"/>
      <c r="CB57" s="139"/>
      <c r="CC57" s="139"/>
      <c r="CD57" s="139"/>
      <c r="CE57" s="139"/>
      <c r="CF57" s="139"/>
      <c r="CG57" s="139"/>
      <c r="CH57" s="139"/>
      <c r="CI57" s="139"/>
      <c r="CJ57" s="139"/>
      <c r="CK57" s="139"/>
      <c r="CL57" s="139"/>
      <c r="CM57" s="139"/>
      <c r="CN57" s="139"/>
      <c r="CO57" s="139"/>
      <c r="CP57" s="139"/>
      <c r="CQ57" s="139"/>
      <c r="CR57" s="139"/>
      <c r="CS57" s="139"/>
      <c r="CT57" s="139"/>
      <c r="CU57" s="139"/>
      <c r="CV57" s="139"/>
      <c r="CW57" s="139"/>
      <c r="CX57" s="139"/>
      <c r="CY57" s="139"/>
      <c r="CZ57" s="139"/>
      <c r="DA57" s="139"/>
      <c r="DB57" s="139"/>
      <c r="DC57" s="139"/>
      <c r="DD57" s="139"/>
      <c r="DE57" s="139"/>
      <c r="DF57" s="139"/>
      <c r="DG57" s="139"/>
      <c r="DH57" s="139"/>
      <c r="DI57" s="139"/>
      <c r="DJ57" s="139"/>
      <c r="DK57" s="139"/>
      <c r="DL57" s="139"/>
      <c r="DM57" s="139"/>
      <c r="DN57" s="139"/>
      <c r="DO57" s="139"/>
      <c r="DP57" s="139"/>
      <c r="DQ57" s="139"/>
      <c r="DR57" s="139"/>
      <c r="DS57" s="139"/>
      <c r="DT57" s="139"/>
      <c r="DU57" s="139"/>
      <c r="DV57" s="139"/>
      <c r="DW57" s="139"/>
      <c r="DX57" s="139"/>
      <c r="DY57" s="139"/>
      <c r="DZ57" s="139"/>
      <c r="EA57" s="139"/>
      <c r="EB57" s="139"/>
      <c r="EC57" s="139"/>
      <c r="ED57" s="139"/>
      <c r="EE57" s="139"/>
      <c r="EF57" s="139"/>
      <c r="EG57" s="139"/>
      <c r="EH57" s="139"/>
      <c r="EI57" s="139"/>
      <c r="EJ57" s="139"/>
      <c r="EK57" s="139"/>
      <c r="EL57" s="139"/>
      <c r="EM57" s="139"/>
      <c r="EN57" s="139"/>
      <c r="EO57" s="139"/>
      <c r="EP57" s="139"/>
      <c r="EQ57" s="139"/>
      <c r="ER57" s="139"/>
      <c r="ES57" s="139"/>
      <c r="ET57" s="139"/>
      <c r="EU57" s="139"/>
      <c r="EV57" s="139"/>
      <c r="EW57" s="139"/>
      <c r="EX57" s="139"/>
      <c r="EY57" s="139"/>
      <c r="EZ57" s="139"/>
      <c r="FA57" s="139"/>
      <c r="FB57" s="139"/>
      <c r="FC57" s="139"/>
      <c r="FD57" s="139"/>
      <c r="FE57" s="139"/>
      <c r="FF57" s="139"/>
      <c r="FG57" s="139"/>
      <c r="FH57" s="139"/>
      <c r="FI57" s="139"/>
      <c r="FJ57" s="139"/>
      <c r="FK57" s="139"/>
      <c r="FL57" s="139"/>
      <c r="FM57" s="139"/>
      <c r="FN57" s="139"/>
      <c r="FO57" s="139"/>
      <c r="FP57" s="139"/>
      <c r="FQ57" s="139"/>
      <c r="FR57" s="139"/>
      <c r="FS57" s="139"/>
      <c r="FT57" s="139"/>
      <c r="FU57" s="139"/>
      <c r="FV57" s="139"/>
      <c r="FW57" s="139"/>
      <c r="FX57" s="139"/>
      <c r="FY57" s="139"/>
      <c r="FZ57" s="139"/>
      <c r="GA57" s="139"/>
      <c r="GB57" s="139"/>
      <c r="GC57" s="139"/>
      <c r="GD57" s="139"/>
      <c r="GE57" s="139"/>
      <c r="GF57" s="139"/>
      <c r="GG57" s="139"/>
      <c r="GH57" s="139"/>
      <c r="GI57" s="139"/>
      <c r="GJ57" s="139"/>
      <c r="GK57" s="139"/>
      <c r="GL57" s="139"/>
      <c r="GM57" s="139"/>
      <c r="GN57" s="139"/>
      <c r="GO57" s="139"/>
      <c r="GP57" s="139"/>
      <c r="GQ57" s="139"/>
      <c r="GR57" s="139"/>
      <c r="GS57" s="139"/>
      <c r="GT57" s="139"/>
      <c r="GU57" s="139"/>
      <c r="GV57" s="139"/>
      <c r="GW57" s="139"/>
      <c r="GX57" s="139"/>
      <c r="GY57" s="139"/>
      <c r="GZ57" s="139"/>
      <c r="HA57" s="139"/>
      <c r="HB57" s="139"/>
      <c r="HC57" s="139"/>
      <c r="HD57" s="139"/>
      <c r="HE57" s="139"/>
      <c r="HF57" s="139"/>
      <c r="HG57" s="139"/>
      <c r="HH57" s="139"/>
      <c r="HI57" s="139"/>
      <c r="HJ57" s="139"/>
      <c r="HK57" s="139"/>
      <c r="HL57" s="139"/>
      <c r="HM57" s="139"/>
      <c r="HN57" s="139"/>
      <c r="HO57" s="139"/>
      <c r="HP57" s="139"/>
      <c r="HQ57" s="139"/>
      <c r="HR57" s="139"/>
      <c r="HS57" s="139"/>
      <c r="HT57" s="139"/>
      <c r="HU57" s="139"/>
      <c r="HV57" s="139"/>
      <c r="HW57" s="139"/>
      <c r="HX57" s="139"/>
      <c r="HY57" s="139"/>
      <c r="HZ57" s="139"/>
      <c r="IA57" s="139"/>
      <c r="IB57" s="139"/>
      <c r="IC57" s="139"/>
      <c r="ID57" s="139"/>
      <c r="IE57" s="139"/>
      <c r="IF57" s="139"/>
      <c r="IG57" s="139"/>
      <c r="IH57" s="139"/>
      <c r="II57" s="139"/>
      <c r="IJ57" s="139"/>
      <c r="IK57" s="139"/>
      <c r="IL57" s="139"/>
      <c r="IM57" s="139"/>
      <c r="IN57" s="139"/>
      <c r="IO57" s="139"/>
      <c r="IP57" s="139"/>
      <c r="IQ57" s="139"/>
      <c r="IR57" s="139"/>
      <c r="IS57" s="139"/>
      <c r="IT57" s="139"/>
      <c r="IU57" s="139"/>
      <c r="IV57" s="139"/>
    </row>
    <row r="58" spans="1:256" ht="13.8" thickTop="1" x14ac:dyDescent="0.25">
      <c r="A58" s="154" t="str">
        <f t="shared" si="0"/>
        <v>10STRUCT GALV</v>
      </c>
      <c r="B58" s="136"/>
      <c r="C58" s="137"/>
      <c r="D58" s="155" t="s">
        <v>920</v>
      </c>
      <c r="E58" s="155" t="s">
        <v>801</v>
      </c>
      <c r="F58" s="156" t="s">
        <v>714</v>
      </c>
      <c r="G58" s="156" t="s">
        <v>715</v>
      </c>
      <c r="H58" s="157">
        <v>0.12601999999999999</v>
      </c>
      <c r="I58" s="156" t="s">
        <v>704</v>
      </c>
      <c r="J58" s="156" t="s">
        <v>716</v>
      </c>
      <c r="K58" s="154" t="s">
        <v>921</v>
      </c>
      <c r="L58" s="155" t="s">
        <v>922</v>
      </c>
      <c r="M58" s="156" t="s">
        <v>708</v>
      </c>
      <c r="N58" s="158" t="s">
        <v>923</v>
      </c>
      <c r="O58" s="156" t="s">
        <v>710</v>
      </c>
      <c r="P58" s="156" t="s">
        <v>711</v>
      </c>
      <c r="Q58" s="156" t="s">
        <v>924</v>
      </c>
      <c r="R58" s="154" t="s">
        <v>925</v>
      </c>
      <c r="S58" s="159" t="s">
        <v>713</v>
      </c>
      <c r="T58" s="159" t="s">
        <v>713</v>
      </c>
      <c r="U58" s="138"/>
      <c r="V58" s="139"/>
      <c r="W58" s="139"/>
      <c r="X58" s="139"/>
      <c r="Y58" s="139"/>
      <c r="Z58" s="139"/>
      <c r="AA58" s="139"/>
      <c r="AB58" s="139"/>
      <c r="AC58" s="139"/>
      <c r="AD58" s="139"/>
      <c r="AE58" s="139"/>
      <c r="AF58" s="139"/>
      <c r="AG58" s="139"/>
      <c r="AH58" s="139"/>
      <c r="AI58" s="139"/>
      <c r="AJ58" s="139"/>
      <c r="AK58" s="139"/>
      <c r="AL58" s="139"/>
      <c r="AM58" s="139"/>
      <c r="AN58" s="139"/>
      <c r="AO58" s="139"/>
      <c r="AP58" s="139"/>
      <c r="AQ58" s="139"/>
      <c r="AR58" s="139"/>
      <c r="AS58" s="139"/>
      <c r="AT58" s="139"/>
      <c r="AU58" s="139"/>
      <c r="AV58" s="139"/>
      <c r="AW58" s="139"/>
      <c r="AX58" s="139"/>
      <c r="AY58" s="139"/>
      <c r="AZ58" s="139"/>
      <c r="BA58" s="139"/>
      <c r="BB58" s="139"/>
      <c r="BC58" s="139"/>
      <c r="BD58" s="139"/>
      <c r="BE58" s="139"/>
      <c r="BF58" s="139"/>
      <c r="BG58" s="139"/>
      <c r="BH58" s="139"/>
      <c r="BI58" s="139"/>
      <c r="BJ58" s="139"/>
      <c r="BK58" s="139"/>
      <c r="BL58" s="139"/>
      <c r="BM58" s="139"/>
      <c r="BN58" s="139"/>
      <c r="BO58" s="139"/>
      <c r="BP58" s="139"/>
      <c r="BQ58" s="139"/>
      <c r="BR58" s="139"/>
      <c r="BS58" s="139"/>
      <c r="BT58" s="139"/>
      <c r="BU58" s="139"/>
      <c r="BV58" s="139"/>
      <c r="BW58" s="139"/>
      <c r="BX58" s="139"/>
      <c r="BY58" s="139"/>
      <c r="BZ58" s="139"/>
      <c r="CA58" s="139"/>
      <c r="CB58" s="139"/>
      <c r="CC58" s="139"/>
      <c r="CD58" s="139"/>
      <c r="CE58" s="139"/>
      <c r="CF58" s="139"/>
      <c r="CG58" s="139"/>
      <c r="CH58" s="139"/>
      <c r="CI58" s="139"/>
      <c r="CJ58" s="139"/>
      <c r="CK58" s="139"/>
      <c r="CL58" s="139"/>
      <c r="CM58" s="139"/>
      <c r="CN58" s="139"/>
      <c r="CO58" s="139"/>
      <c r="CP58" s="139"/>
      <c r="CQ58" s="139"/>
      <c r="CR58" s="139"/>
      <c r="CS58" s="139"/>
      <c r="CT58" s="139"/>
      <c r="CU58" s="139"/>
      <c r="CV58" s="139"/>
      <c r="CW58" s="139"/>
      <c r="CX58" s="139"/>
      <c r="CY58" s="139"/>
      <c r="CZ58" s="139"/>
      <c r="DA58" s="139"/>
      <c r="DB58" s="139"/>
      <c r="DC58" s="139"/>
      <c r="DD58" s="139"/>
      <c r="DE58" s="139"/>
      <c r="DF58" s="139"/>
      <c r="DG58" s="139"/>
      <c r="DH58" s="139"/>
      <c r="DI58" s="139"/>
      <c r="DJ58" s="139"/>
      <c r="DK58" s="139"/>
      <c r="DL58" s="139"/>
      <c r="DM58" s="139"/>
      <c r="DN58" s="139"/>
      <c r="DO58" s="139"/>
      <c r="DP58" s="139"/>
      <c r="DQ58" s="139"/>
      <c r="DR58" s="139"/>
      <c r="DS58" s="139"/>
      <c r="DT58" s="139"/>
      <c r="DU58" s="139"/>
      <c r="DV58" s="139"/>
      <c r="DW58" s="139"/>
      <c r="DX58" s="139"/>
      <c r="DY58" s="139"/>
      <c r="DZ58" s="139"/>
      <c r="EA58" s="139"/>
      <c r="EB58" s="139"/>
      <c r="EC58" s="139"/>
      <c r="ED58" s="139"/>
      <c r="EE58" s="139"/>
      <c r="EF58" s="139"/>
      <c r="EG58" s="139"/>
      <c r="EH58" s="139"/>
      <c r="EI58" s="139"/>
      <c r="EJ58" s="139"/>
      <c r="EK58" s="139"/>
      <c r="EL58" s="139"/>
      <c r="EM58" s="139"/>
      <c r="EN58" s="139"/>
      <c r="EO58" s="139"/>
      <c r="EP58" s="139"/>
      <c r="EQ58" s="139"/>
      <c r="ER58" s="139"/>
      <c r="ES58" s="139"/>
      <c r="ET58" s="139"/>
      <c r="EU58" s="139"/>
      <c r="EV58" s="139"/>
      <c r="EW58" s="139"/>
      <c r="EX58" s="139"/>
      <c r="EY58" s="139"/>
      <c r="EZ58" s="139"/>
      <c r="FA58" s="139"/>
      <c r="FB58" s="139"/>
      <c r="FC58" s="139"/>
      <c r="FD58" s="139"/>
      <c r="FE58" s="139"/>
      <c r="FF58" s="139"/>
      <c r="FG58" s="139"/>
      <c r="FH58" s="139"/>
      <c r="FI58" s="139"/>
      <c r="FJ58" s="139"/>
      <c r="FK58" s="139"/>
      <c r="FL58" s="139"/>
      <c r="FM58" s="139"/>
      <c r="FN58" s="139"/>
      <c r="FO58" s="139"/>
      <c r="FP58" s="139"/>
      <c r="FQ58" s="139"/>
      <c r="FR58" s="139"/>
      <c r="FS58" s="139"/>
      <c r="FT58" s="139"/>
      <c r="FU58" s="139"/>
      <c r="FV58" s="139"/>
      <c r="FW58" s="139"/>
      <c r="FX58" s="139"/>
      <c r="FY58" s="139"/>
      <c r="FZ58" s="139"/>
      <c r="GA58" s="139"/>
      <c r="GB58" s="139"/>
      <c r="GC58" s="139"/>
      <c r="GD58" s="139"/>
      <c r="GE58" s="139"/>
      <c r="GF58" s="139"/>
      <c r="GG58" s="139"/>
      <c r="GH58" s="139"/>
      <c r="GI58" s="139"/>
      <c r="GJ58" s="139"/>
      <c r="GK58" s="139"/>
      <c r="GL58" s="139"/>
      <c r="GM58" s="139"/>
      <c r="GN58" s="139"/>
      <c r="GO58" s="139"/>
      <c r="GP58" s="139"/>
      <c r="GQ58" s="139"/>
      <c r="GR58" s="139"/>
      <c r="GS58" s="139"/>
      <c r="GT58" s="139"/>
      <c r="GU58" s="139"/>
      <c r="GV58" s="139"/>
      <c r="GW58" s="139"/>
      <c r="GX58" s="139"/>
      <c r="GY58" s="139"/>
      <c r="GZ58" s="139"/>
      <c r="HA58" s="139"/>
      <c r="HB58" s="139"/>
      <c r="HC58" s="139"/>
      <c r="HD58" s="139"/>
      <c r="HE58" s="139"/>
      <c r="HF58" s="139"/>
      <c r="HG58" s="139"/>
      <c r="HH58" s="139"/>
      <c r="HI58" s="139"/>
      <c r="HJ58" s="139"/>
      <c r="HK58" s="139"/>
      <c r="HL58" s="139"/>
      <c r="HM58" s="139"/>
      <c r="HN58" s="139"/>
      <c r="HO58" s="139"/>
      <c r="HP58" s="139"/>
      <c r="HQ58" s="139"/>
      <c r="HR58" s="139"/>
      <c r="HS58" s="139"/>
      <c r="HT58" s="139"/>
      <c r="HU58" s="139"/>
      <c r="HV58" s="139"/>
      <c r="HW58" s="139"/>
      <c r="HX58" s="139"/>
      <c r="HY58" s="139"/>
      <c r="HZ58" s="139"/>
      <c r="IA58" s="139"/>
      <c r="IB58" s="139"/>
      <c r="IC58" s="139"/>
      <c r="ID58" s="139"/>
      <c r="IE58" s="139"/>
      <c r="IF58" s="139"/>
      <c r="IG58" s="139"/>
      <c r="IH58" s="139"/>
      <c r="II58" s="139"/>
      <c r="IJ58" s="139"/>
      <c r="IK58" s="139"/>
      <c r="IL58" s="139"/>
      <c r="IM58" s="139"/>
      <c r="IN58" s="139"/>
      <c r="IO58" s="139"/>
      <c r="IP58" s="139"/>
      <c r="IQ58" s="139"/>
      <c r="IR58" s="139"/>
      <c r="IS58" s="139"/>
      <c r="IT58" s="139"/>
      <c r="IU58" s="139"/>
      <c r="IV58" s="139"/>
    </row>
    <row r="59" spans="1:256" x14ac:dyDescent="0.25">
      <c r="A59" s="118" t="str">
        <f t="shared" si="0"/>
        <v>12STRUCT GALV</v>
      </c>
      <c r="B59" s="136"/>
      <c r="C59" s="137"/>
      <c r="D59" s="122" t="s">
        <v>920</v>
      </c>
      <c r="E59" s="121" t="s">
        <v>815</v>
      </c>
      <c r="F59" s="130" t="s">
        <v>719</v>
      </c>
      <c r="G59" s="130" t="s">
        <v>720</v>
      </c>
      <c r="H59" s="131">
        <v>9.7019999999999995E-2</v>
      </c>
      <c r="I59" s="130" t="s">
        <v>704</v>
      </c>
      <c r="J59" s="123" t="s">
        <v>716</v>
      </c>
      <c r="K59" s="118" t="s">
        <v>926</v>
      </c>
      <c r="L59" s="122" t="s">
        <v>922</v>
      </c>
      <c r="M59" s="123" t="s">
        <v>708</v>
      </c>
      <c r="N59" s="125" t="s">
        <v>923</v>
      </c>
      <c r="O59" s="123" t="s">
        <v>722</v>
      </c>
      <c r="P59" s="123" t="s">
        <v>711</v>
      </c>
      <c r="Q59" s="123" t="s">
        <v>924</v>
      </c>
      <c r="R59" s="118" t="s">
        <v>927</v>
      </c>
      <c r="S59" s="118" t="s">
        <v>713</v>
      </c>
      <c r="T59" s="118" t="s">
        <v>713</v>
      </c>
      <c r="U59" s="138"/>
      <c r="V59" s="139"/>
      <c r="W59" s="139"/>
      <c r="X59" s="139"/>
      <c r="Y59" s="139"/>
      <c r="Z59" s="139"/>
      <c r="AA59" s="139"/>
      <c r="AB59" s="139"/>
      <c r="AC59" s="139"/>
      <c r="AD59" s="139"/>
      <c r="AE59" s="139"/>
      <c r="AF59" s="139"/>
      <c r="AG59" s="139"/>
      <c r="AH59" s="139"/>
      <c r="AI59" s="139"/>
      <c r="AJ59" s="139"/>
      <c r="AK59" s="139"/>
      <c r="AL59" s="139"/>
      <c r="AM59" s="139"/>
      <c r="AN59" s="139"/>
      <c r="AO59" s="139"/>
      <c r="AP59" s="139"/>
      <c r="AQ59" s="139"/>
      <c r="AR59" s="139"/>
      <c r="AS59" s="139"/>
      <c r="AT59" s="139"/>
      <c r="AU59" s="139"/>
      <c r="AV59" s="139"/>
      <c r="AW59" s="139"/>
      <c r="AX59" s="139"/>
      <c r="AY59" s="139"/>
      <c r="AZ59" s="139"/>
      <c r="BA59" s="139"/>
      <c r="BB59" s="139"/>
      <c r="BC59" s="139"/>
      <c r="BD59" s="139"/>
      <c r="BE59" s="139"/>
      <c r="BF59" s="139"/>
      <c r="BG59" s="139"/>
      <c r="BH59" s="139"/>
      <c r="BI59" s="139"/>
      <c r="BJ59" s="139"/>
      <c r="BK59" s="139"/>
      <c r="BL59" s="139"/>
      <c r="BM59" s="139"/>
      <c r="BN59" s="139"/>
      <c r="BO59" s="139"/>
      <c r="BP59" s="139"/>
      <c r="BQ59" s="139"/>
      <c r="BR59" s="139"/>
      <c r="BS59" s="139"/>
      <c r="BT59" s="139"/>
      <c r="BU59" s="139"/>
      <c r="BV59" s="139"/>
      <c r="BW59" s="139"/>
      <c r="BX59" s="139"/>
      <c r="BY59" s="139"/>
      <c r="BZ59" s="139"/>
      <c r="CA59" s="139"/>
      <c r="CB59" s="139"/>
      <c r="CC59" s="139"/>
      <c r="CD59" s="139"/>
      <c r="CE59" s="139"/>
      <c r="CF59" s="139"/>
      <c r="CG59" s="139"/>
      <c r="CH59" s="139"/>
      <c r="CI59" s="139"/>
      <c r="CJ59" s="139"/>
      <c r="CK59" s="139"/>
      <c r="CL59" s="139"/>
      <c r="CM59" s="139"/>
      <c r="CN59" s="139"/>
      <c r="CO59" s="139"/>
      <c r="CP59" s="139"/>
      <c r="CQ59" s="139"/>
      <c r="CR59" s="139"/>
      <c r="CS59" s="139"/>
      <c r="CT59" s="139"/>
      <c r="CU59" s="139"/>
      <c r="CV59" s="139"/>
      <c r="CW59" s="139"/>
      <c r="CX59" s="139"/>
      <c r="CY59" s="139"/>
      <c r="CZ59" s="139"/>
      <c r="DA59" s="139"/>
      <c r="DB59" s="139"/>
      <c r="DC59" s="139"/>
      <c r="DD59" s="139"/>
      <c r="DE59" s="139"/>
      <c r="DF59" s="139"/>
      <c r="DG59" s="139"/>
      <c r="DH59" s="139"/>
      <c r="DI59" s="139"/>
      <c r="DJ59" s="139"/>
      <c r="DK59" s="139"/>
      <c r="DL59" s="139"/>
      <c r="DM59" s="139"/>
      <c r="DN59" s="139"/>
      <c r="DO59" s="139"/>
      <c r="DP59" s="139"/>
      <c r="DQ59" s="139"/>
      <c r="DR59" s="139"/>
      <c r="DS59" s="139"/>
      <c r="DT59" s="139"/>
      <c r="DU59" s="139"/>
      <c r="DV59" s="139"/>
      <c r="DW59" s="139"/>
      <c r="DX59" s="139"/>
      <c r="DY59" s="139"/>
      <c r="DZ59" s="139"/>
      <c r="EA59" s="139"/>
      <c r="EB59" s="139"/>
      <c r="EC59" s="139"/>
      <c r="ED59" s="139"/>
      <c r="EE59" s="139"/>
      <c r="EF59" s="139"/>
      <c r="EG59" s="139"/>
      <c r="EH59" s="139"/>
      <c r="EI59" s="139"/>
      <c r="EJ59" s="139"/>
      <c r="EK59" s="139"/>
      <c r="EL59" s="139"/>
      <c r="EM59" s="139"/>
      <c r="EN59" s="139"/>
      <c r="EO59" s="139"/>
      <c r="EP59" s="139"/>
      <c r="EQ59" s="139"/>
      <c r="ER59" s="139"/>
      <c r="ES59" s="139"/>
      <c r="ET59" s="139"/>
      <c r="EU59" s="139"/>
      <c r="EV59" s="139"/>
      <c r="EW59" s="139"/>
      <c r="EX59" s="139"/>
      <c r="EY59" s="139"/>
      <c r="EZ59" s="139"/>
      <c r="FA59" s="139"/>
      <c r="FB59" s="139"/>
      <c r="FC59" s="139"/>
      <c r="FD59" s="139"/>
      <c r="FE59" s="139"/>
      <c r="FF59" s="139"/>
      <c r="FG59" s="139"/>
      <c r="FH59" s="139"/>
      <c r="FI59" s="139"/>
      <c r="FJ59" s="139"/>
      <c r="FK59" s="139"/>
      <c r="FL59" s="139"/>
      <c r="FM59" s="139"/>
      <c r="FN59" s="139"/>
      <c r="FO59" s="139"/>
      <c r="FP59" s="139"/>
      <c r="FQ59" s="139"/>
      <c r="FR59" s="139"/>
      <c r="FS59" s="139"/>
      <c r="FT59" s="139"/>
      <c r="FU59" s="139"/>
      <c r="FV59" s="139"/>
      <c r="FW59" s="139"/>
      <c r="FX59" s="139"/>
      <c r="FY59" s="139"/>
      <c r="FZ59" s="139"/>
      <c r="GA59" s="139"/>
      <c r="GB59" s="139"/>
      <c r="GC59" s="139"/>
      <c r="GD59" s="139"/>
      <c r="GE59" s="139"/>
      <c r="GF59" s="139"/>
      <c r="GG59" s="139"/>
      <c r="GH59" s="139"/>
      <c r="GI59" s="139"/>
      <c r="GJ59" s="139"/>
      <c r="GK59" s="139"/>
      <c r="GL59" s="139"/>
      <c r="GM59" s="139"/>
      <c r="GN59" s="139"/>
      <c r="GO59" s="139"/>
      <c r="GP59" s="139"/>
      <c r="GQ59" s="139"/>
      <c r="GR59" s="139"/>
      <c r="GS59" s="139"/>
      <c r="GT59" s="139"/>
      <c r="GU59" s="139"/>
      <c r="GV59" s="139"/>
      <c r="GW59" s="139"/>
      <c r="GX59" s="139"/>
      <c r="GY59" s="139"/>
      <c r="GZ59" s="139"/>
      <c r="HA59" s="139"/>
      <c r="HB59" s="139"/>
      <c r="HC59" s="139"/>
      <c r="HD59" s="139"/>
      <c r="HE59" s="139"/>
      <c r="HF59" s="139"/>
      <c r="HG59" s="139"/>
      <c r="HH59" s="139"/>
      <c r="HI59" s="139"/>
      <c r="HJ59" s="139"/>
      <c r="HK59" s="139"/>
      <c r="HL59" s="139"/>
      <c r="HM59" s="139"/>
      <c r="HN59" s="139"/>
      <c r="HO59" s="139"/>
      <c r="HP59" s="139"/>
      <c r="HQ59" s="139"/>
      <c r="HR59" s="139"/>
      <c r="HS59" s="139"/>
      <c r="HT59" s="139"/>
      <c r="HU59" s="139"/>
      <c r="HV59" s="139"/>
      <c r="HW59" s="139"/>
      <c r="HX59" s="139"/>
      <c r="HY59" s="139"/>
      <c r="HZ59" s="139"/>
      <c r="IA59" s="139"/>
      <c r="IB59" s="139"/>
      <c r="IC59" s="139"/>
      <c r="ID59" s="139"/>
      <c r="IE59" s="139"/>
      <c r="IF59" s="139"/>
      <c r="IG59" s="139"/>
      <c r="IH59" s="139"/>
      <c r="II59" s="139"/>
      <c r="IJ59" s="139"/>
      <c r="IK59" s="139"/>
      <c r="IL59" s="139"/>
      <c r="IM59" s="139"/>
      <c r="IN59" s="139"/>
      <c r="IO59" s="139"/>
      <c r="IP59" s="139"/>
      <c r="IQ59" s="139"/>
      <c r="IR59" s="139"/>
      <c r="IS59" s="139"/>
      <c r="IT59" s="139"/>
      <c r="IU59" s="139"/>
      <c r="IV59" s="139"/>
    </row>
    <row r="60" spans="1:256" ht="13.8" thickBot="1" x14ac:dyDescent="0.3">
      <c r="A60" s="141" t="str">
        <f t="shared" si="0"/>
        <v>14STRUCT GALV</v>
      </c>
      <c r="B60" s="136"/>
      <c r="C60" s="137"/>
      <c r="D60" s="143" t="s">
        <v>920</v>
      </c>
      <c r="E60" s="160" t="s">
        <v>819</v>
      </c>
      <c r="F60" s="161" t="s">
        <v>724</v>
      </c>
      <c r="G60" s="161" t="s">
        <v>725</v>
      </c>
      <c r="H60" s="162">
        <v>7.0019999999999999E-2</v>
      </c>
      <c r="I60" s="161" t="s">
        <v>704</v>
      </c>
      <c r="J60" s="144" t="s">
        <v>716</v>
      </c>
      <c r="K60" s="141" t="s">
        <v>928</v>
      </c>
      <c r="L60" s="143" t="s">
        <v>922</v>
      </c>
      <c r="M60" s="144" t="s">
        <v>708</v>
      </c>
      <c r="N60" s="163" t="s">
        <v>923</v>
      </c>
      <c r="O60" s="144" t="s">
        <v>722</v>
      </c>
      <c r="P60" s="144" t="s">
        <v>711</v>
      </c>
      <c r="Q60" s="144" t="s">
        <v>924</v>
      </c>
      <c r="R60" s="141" t="s">
        <v>929</v>
      </c>
      <c r="S60" s="141" t="s">
        <v>713</v>
      </c>
      <c r="T60" s="141" t="s">
        <v>713</v>
      </c>
      <c r="U60" s="138"/>
      <c r="V60" s="139"/>
      <c r="W60" s="139"/>
      <c r="X60" s="139"/>
      <c r="Y60" s="139"/>
      <c r="Z60" s="139"/>
      <c r="AA60" s="139"/>
      <c r="AB60" s="139"/>
      <c r="AC60" s="139"/>
      <c r="AD60" s="139"/>
      <c r="AE60" s="139"/>
      <c r="AF60" s="139"/>
      <c r="AG60" s="139"/>
      <c r="AH60" s="139"/>
      <c r="AI60" s="139"/>
      <c r="AJ60" s="139"/>
      <c r="AK60" s="139"/>
      <c r="AL60" s="139"/>
      <c r="AM60" s="139"/>
      <c r="AN60" s="139"/>
      <c r="AO60" s="139"/>
      <c r="AP60" s="139"/>
      <c r="AQ60" s="139"/>
      <c r="AR60" s="139"/>
      <c r="AS60" s="139"/>
      <c r="AT60" s="139"/>
      <c r="AU60" s="139"/>
      <c r="AV60" s="139"/>
      <c r="AW60" s="139"/>
      <c r="AX60" s="139"/>
      <c r="AY60" s="139"/>
      <c r="AZ60" s="139"/>
      <c r="BA60" s="139"/>
      <c r="BB60" s="139"/>
      <c r="BC60" s="139"/>
      <c r="BD60" s="139"/>
      <c r="BE60" s="139"/>
      <c r="BF60" s="139"/>
      <c r="BG60" s="139"/>
      <c r="BH60" s="139"/>
      <c r="BI60" s="139"/>
      <c r="BJ60" s="139"/>
      <c r="BK60" s="139"/>
      <c r="BL60" s="139"/>
      <c r="BM60" s="139"/>
      <c r="BN60" s="139"/>
      <c r="BO60" s="139"/>
      <c r="BP60" s="139"/>
      <c r="BQ60" s="139"/>
      <c r="BR60" s="139"/>
      <c r="BS60" s="139"/>
      <c r="BT60" s="139"/>
      <c r="BU60" s="139"/>
      <c r="BV60" s="139"/>
      <c r="BW60" s="139"/>
      <c r="BX60" s="139"/>
      <c r="BY60" s="139"/>
      <c r="BZ60" s="139"/>
      <c r="CA60" s="139"/>
      <c r="CB60" s="139"/>
      <c r="CC60" s="139"/>
      <c r="CD60" s="139"/>
      <c r="CE60" s="139"/>
      <c r="CF60" s="139"/>
      <c r="CG60" s="139"/>
      <c r="CH60" s="139"/>
      <c r="CI60" s="139"/>
      <c r="CJ60" s="139"/>
      <c r="CK60" s="139"/>
      <c r="CL60" s="139"/>
      <c r="CM60" s="139"/>
      <c r="CN60" s="139"/>
      <c r="CO60" s="139"/>
      <c r="CP60" s="139"/>
      <c r="CQ60" s="139"/>
      <c r="CR60" s="139"/>
      <c r="CS60" s="139"/>
      <c r="CT60" s="139"/>
      <c r="CU60" s="139"/>
      <c r="CV60" s="139"/>
      <c r="CW60" s="139"/>
      <c r="CX60" s="139"/>
      <c r="CY60" s="139"/>
      <c r="CZ60" s="139"/>
      <c r="DA60" s="139"/>
      <c r="DB60" s="139"/>
      <c r="DC60" s="139"/>
      <c r="DD60" s="139"/>
      <c r="DE60" s="139"/>
      <c r="DF60" s="139"/>
      <c r="DG60" s="139"/>
      <c r="DH60" s="139"/>
      <c r="DI60" s="139"/>
      <c r="DJ60" s="139"/>
      <c r="DK60" s="139"/>
      <c r="DL60" s="139"/>
      <c r="DM60" s="139"/>
      <c r="DN60" s="139"/>
      <c r="DO60" s="139"/>
      <c r="DP60" s="139"/>
      <c r="DQ60" s="139"/>
      <c r="DR60" s="139"/>
      <c r="DS60" s="139"/>
      <c r="DT60" s="139"/>
      <c r="DU60" s="139"/>
      <c r="DV60" s="139"/>
      <c r="DW60" s="139"/>
      <c r="DX60" s="139"/>
      <c r="DY60" s="139"/>
      <c r="DZ60" s="139"/>
      <c r="EA60" s="139"/>
      <c r="EB60" s="139"/>
      <c r="EC60" s="139"/>
      <c r="ED60" s="139"/>
      <c r="EE60" s="139"/>
      <c r="EF60" s="139"/>
      <c r="EG60" s="139"/>
      <c r="EH60" s="139"/>
      <c r="EI60" s="139"/>
      <c r="EJ60" s="139"/>
      <c r="EK60" s="139"/>
      <c r="EL60" s="139"/>
      <c r="EM60" s="139"/>
      <c r="EN60" s="139"/>
      <c r="EO60" s="139"/>
      <c r="EP60" s="139"/>
      <c r="EQ60" s="139"/>
      <c r="ER60" s="139"/>
      <c r="ES60" s="139"/>
      <c r="ET60" s="139"/>
      <c r="EU60" s="139"/>
      <c r="EV60" s="139"/>
      <c r="EW60" s="139"/>
      <c r="EX60" s="139"/>
      <c r="EY60" s="139"/>
      <c r="EZ60" s="139"/>
      <c r="FA60" s="139"/>
      <c r="FB60" s="139"/>
      <c r="FC60" s="139"/>
      <c r="FD60" s="139"/>
      <c r="FE60" s="139"/>
      <c r="FF60" s="139"/>
      <c r="FG60" s="139"/>
      <c r="FH60" s="139"/>
      <c r="FI60" s="139"/>
      <c r="FJ60" s="139"/>
      <c r="FK60" s="139"/>
      <c r="FL60" s="139"/>
      <c r="FM60" s="139"/>
      <c r="FN60" s="139"/>
      <c r="FO60" s="139"/>
      <c r="FP60" s="139"/>
      <c r="FQ60" s="139"/>
      <c r="FR60" s="139"/>
      <c r="FS60" s="139"/>
      <c r="FT60" s="139"/>
      <c r="FU60" s="139"/>
      <c r="FV60" s="139"/>
      <c r="FW60" s="139"/>
      <c r="FX60" s="139"/>
      <c r="FY60" s="139"/>
      <c r="FZ60" s="139"/>
      <c r="GA60" s="139"/>
      <c r="GB60" s="139"/>
      <c r="GC60" s="139"/>
      <c r="GD60" s="139"/>
      <c r="GE60" s="139"/>
      <c r="GF60" s="139"/>
      <c r="GG60" s="139"/>
      <c r="GH60" s="139"/>
      <c r="GI60" s="139"/>
      <c r="GJ60" s="139"/>
      <c r="GK60" s="139"/>
      <c r="GL60" s="139"/>
      <c r="GM60" s="139"/>
      <c r="GN60" s="139"/>
      <c r="GO60" s="139"/>
      <c r="GP60" s="139"/>
      <c r="GQ60" s="139"/>
      <c r="GR60" s="139"/>
      <c r="GS60" s="139"/>
      <c r="GT60" s="139"/>
      <c r="GU60" s="139"/>
      <c r="GV60" s="139"/>
      <c r="GW60" s="139"/>
      <c r="GX60" s="139"/>
      <c r="GY60" s="139"/>
      <c r="GZ60" s="139"/>
      <c r="HA60" s="139"/>
      <c r="HB60" s="139"/>
      <c r="HC60" s="139"/>
      <c r="HD60" s="139"/>
      <c r="HE60" s="139"/>
      <c r="HF60" s="139"/>
      <c r="HG60" s="139"/>
      <c r="HH60" s="139"/>
      <c r="HI60" s="139"/>
      <c r="HJ60" s="139"/>
      <c r="HK60" s="139"/>
      <c r="HL60" s="139"/>
      <c r="HM60" s="139"/>
      <c r="HN60" s="139"/>
      <c r="HO60" s="139"/>
      <c r="HP60" s="139"/>
      <c r="HQ60" s="139"/>
      <c r="HR60" s="139"/>
      <c r="HS60" s="139"/>
      <c r="HT60" s="139"/>
      <c r="HU60" s="139"/>
      <c r="HV60" s="139"/>
      <c r="HW60" s="139"/>
      <c r="HX60" s="139"/>
      <c r="HY60" s="139"/>
      <c r="HZ60" s="139"/>
      <c r="IA60" s="139"/>
      <c r="IB60" s="139"/>
      <c r="IC60" s="139"/>
      <c r="ID60" s="139"/>
      <c r="IE60" s="139"/>
      <c r="IF60" s="139"/>
      <c r="IG60" s="139"/>
      <c r="IH60" s="139"/>
      <c r="II60" s="139"/>
      <c r="IJ60" s="139"/>
      <c r="IK60" s="139"/>
      <c r="IL60" s="139"/>
      <c r="IM60" s="139"/>
      <c r="IN60" s="139"/>
      <c r="IO60" s="139"/>
      <c r="IP60" s="139"/>
      <c r="IQ60" s="139"/>
      <c r="IR60" s="139"/>
      <c r="IS60" s="139"/>
      <c r="IT60" s="139"/>
      <c r="IU60" s="139"/>
      <c r="IV60" s="139"/>
    </row>
    <row r="61" spans="1:256" ht="17.25" customHeight="1" thickTop="1" thickBot="1" x14ac:dyDescent="0.3">
      <c r="A61" s="148" t="str">
        <f t="shared" si="0"/>
        <v/>
      </c>
      <c r="B61" s="136"/>
      <c r="C61" s="149"/>
      <c r="D61" s="164"/>
      <c r="E61" s="164"/>
      <c r="F61" s="164"/>
      <c r="G61" s="164"/>
      <c r="H61" s="164"/>
      <c r="I61" s="164"/>
      <c r="J61" s="164"/>
      <c r="K61" s="164"/>
      <c r="L61" s="164"/>
      <c r="M61" s="165"/>
      <c r="N61" s="165"/>
      <c r="O61" s="165"/>
      <c r="P61" s="165"/>
      <c r="Q61" s="165"/>
      <c r="R61" s="165"/>
      <c r="S61" s="165"/>
      <c r="T61" s="166"/>
      <c r="U61" s="138"/>
      <c r="V61" s="139"/>
      <c r="W61" s="139"/>
      <c r="X61" s="139"/>
      <c r="Y61" s="139"/>
      <c r="Z61" s="139"/>
      <c r="AA61" s="139"/>
      <c r="AB61" s="139"/>
      <c r="AC61" s="139"/>
      <c r="AD61" s="139"/>
      <c r="AE61" s="139"/>
      <c r="AF61" s="139"/>
      <c r="AG61" s="139"/>
      <c r="AH61" s="139"/>
      <c r="AI61" s="139"/>
      <c r="AJ61" s="139"/>
      <c r="AK61" s="139"/>
      <c r="AL61" s="139"/>
      <c r="AM61" s="139"/>
      <c r="AN61" s="139"/>
      <c r="AO61" s="139"/>
      <c r="AP61" s="139"/>
      <c r="AQ61" s="139"/>
      <c r="AR61" s="139"/>
      <c r="AS61" s="139"/>
      <c r="AT61" s="139"/>
      <c r="AU61" s="139"/>
      <c r="AV61" s="139"/>
      <c r="AW61" s="139"/>
      <c r="AX61" s="139"/>
      <c r="AY61" s="139"/>
      <c r="AZ61" s="139"/>
      <c r="BA61" s="139"/>
      <c r="BB61" s="139"/>
      <c r="BC61" s="139"/>
      <c r="BD61" s="139"/>
      <c r="BE61" s="139"/>
      <c r="BF61" s="139"/>
      <c r="BG61" s="139"/>
      <c r="BH61" s="139"/>
      <c r="BI61" s="139"/>
      <c r="BJ61" s="139"/>
      <c r="BK61" s="139"/>
      <c r="BL61" s="139"/>
      <c r="BM61" s="139"/>
      <c r="BN61" s="139"/>
      <c r="BO61" s="139"/>
      <c r="BP61" s="139"/>
      <c r="BQ61" s="139"/>
      <c r="BR61" s="139"/>
      <c r="BS61" s="139"/>
      <c r="BT61" s="139"/>
      <c r="BU61" s="139"/>
      <c r="BV61" s="139"/>
      <c r="BW61" s="139"/>
      <c r="BX61" s="139"/>
      <c r="BY61" s="139"/>
      <c r="BZ61" s="139"/>
      <c r="CA61" s="139"/>
      <c r="CB61" s="139"/>
      <c r="CC61" s="139"/>
      <c r="CD61" s="139"/>
      <c r="CE61" s="139"/>
      <c r="CF61" s="139"/>
      <c r="CG61" s="139"/>
      <c r="CH61" s="139"/>
      <c r="CI61" s="139"/>
      <c r="CJ61" s="139"/>
      <c r="CK61" s="139"/>
      <c r="CL61" s="139"/>
      <c r="CM61" s="139"/>
      <c r="CN61" s="139"/>
      <c r="CO61" s="139"/>
      <c r="CP61" s="139"/>
      <c r="CQ61" s="139"/>
      <c r="CR61" s="139"/>
      <c r="CS61" s="139"/>
      <c r="CT61" s="139"/>
      <c r="CU61" s="139"/>
      <c r="CV61" s="139"/>
      <c r="CW61" s="139"/>
      <c r="CX61" s="139"/>
      <c r="CY61" s="139"/>
      <c r="CZ61" s="139"/>
      <c r="DA61" s="139"/>
      <c r="DB61" s="139"/>
      <c r="DC61" s="139"/>
      <c r="DD61" s="139"/>
      <c r="DE61" s="139"/>
      <c r="DF61" s="139"/>
      <c r="DG61" s="139"/>
      <c r="DH61" s="139"/>
      <c r="DI61" s="139"/>
      <c r="DJ61" s="139"/>
      <c r="DK61" s="139"/>
      <c r="DL61" s="139"/>
      <c r="DM61" s="139"/>
      <c r="DN61" s="139"/>
      <c r="DO61" s="139"/>
      <c r="DP61" s="139"/>
      <c r="DQ61" s="139"/>
      <c r="DR61" s="139"/>
      <c r="DS61" s="139"/>
      <c r="DT61" s="139"/>
      <c r="DU61" s="139"/>
      <c r="DV61" s="139"/>
      <c r="DW61" s="139"/>
      <c r="DX61" s="139"/>
      <c r="DY61" s="139"/>
      <c r="DZ61" s="139"/>
      <c r="EA61" s="139"/>
      <c r="EB61" s="139"/>
      <c r="EC61" s="139"/>
      <c r="ED61" s="139"/>
      <c r="EE61" s="139"/>
      <c r="EF61" s="139"/>
      <c r="EG61" s="139"/>
      <c r="EH61" s="139"/>
      <c r="EI61" s="139"/>
      <c r="EJ61" s="139"/>
      <c r="EK61" s="139"/>
      <c r="EL61" s="139"/>
      <c r="EM61" s="139"/>
      <c r="EN61" s="139"/>
      <c r="EO61" s="139"/>
      <c r="EP61" s="139"/>
      <c r="EQ61" s="139"/>
      <c r="ER61" s="139"/>
      <c r="ES61" s="139"/>
      <c r="ET61" s="139"/>
      <c r="EU61" s="139"/>
      <c r="EV61" s="139"/>
      <c r="EW61" s="139"/>
      <c r="EX61" s="139"/>
      <c r="EY61" s="139"/>
      <c r="EZ61" s="139"/>
      <c r="FA61" s="139"/>
      <c r="FB61" s="139"/>
      <c r="FC61" s="139"/>
      <c r="FD61" s="139"/>
      <c r="FE61" s="139"/>
      <c r="FF61" s="139"/>
      <c r="FG61" s="139"/>
      <c r="FH61" s="139"/>
      <c r="FI61" s="139"/>
      <c r="FJ61" s="139"/>
      <c r="FK61" s="139"/>
      <c r="FL61" s="139"/>
      <c r="FM61" s="139"/>
      <c r="FN61" s="139"/>
      <c r="FO61" s="139"/>
      <c r="FP61" s="139"/>
      <c r="FQ61" s="139"/>
      <c r="FR61" s="139"/>
      <c r="FS61" s="139"/>
      <c r="FT61" s="139"/>
      <c r="FU61" s="139"/>
      <c r="FV61" s="139"/>
      <c r="FW61" s="139"/>
      <c r="FX61" s="139"/>
      <c r="FY61" s="139"/>
      <c r="FZ61" s="139"/>
      <c r="GA61" s="139"/>
      <c r="GB61" s="139"/>
      <c r="GC61" s="139"/>
      <c r="GD61" s="139"/>
      <c r="GE61" s="139"/>
      <c r="GF61" s="139"/>
      <c r="GG61" s="139"/>
      <c r="GH61" s="139"/>
      <c r="GI61" s="139"/>
      <c r="GJ61" s="139"/>
      <c r="GK61" s="139"/>
      <c r="GL61" s="139"/>
      <c r="GM61" s="139"/>
      <c r="GN61" s="139"/>
      <c r="GO61" s="139"/>
      <c r="GP61" s="139"/>
      <c r="GQ61" s="139"/>
      <c r="GR61" s="139"/>
      <c r="GS61" s="139"/>
      <c r="GT61" s="139"/>
      <c r="GU61" s="139"/>
      <c r="GV61" s="139"/>
      <c r="GW61" s="139"/>
      <c r="GX61" s="139"/>
      <c r="GY61" s="139"/>
      <c r="GZ61" s="139"/>
      <c r="HA61" s="139"/>
      <c r="HB61" s="139"/>
      <c r="HC61" s="139"/>
      <c r="HD61" s="139"/>
      <c r="HE61" s="139"/>
      <c r="HF61" s="139"/>
      <c r="HG61" s="139"/>
      <c r="HH61" s="139"/>
      <c r="HI61" s="139"/>
      <c r="HJ61" s="139"/>
      <c r="HK61" s="139"/>
      <c r="HL61" s="139"/>
      <c r="HM61" s="139"/>
      <c r="HN61" s="139"/>
      <c r="HO61" s="139"/>
      <c r="HP61" s="139"/>
      <c r="HQ61" s="139"/>
      <c r="HR61" s="139"/>
      <c r="HS61" s="139"/>
      <c r="HT61" s="139"/>
      <c r="HU61" s="139"/>
      <c r="HV61" s="139"/>
      <c r="HW61" s="139"/>
      <c r="HX61" s="139"/>
      <c r="HY61" s="139"/>
      <c r="HZ61" s="139"/>
      <c r="IA61" s="139"/>
      <c r="IB61" s="139"/>
      <c r="IC61" s="139"/>
      <c r="ID61" s="139"/>
      <c r="IE61" s="139"/>
      <c r="IF61" s="139"/>
      <c r="IG61" s="139"/>
      <c r="IH61" s="139"/>
      <c r="II61" s="139"/>
      <c r="IJ61" s="139"/>
      <c r="IK61" s="139"/>
      <c r="IL61" s="139"/>
      <c r="IM61" s="139"/>
      <c r="IN61" s="139"/>
      <c r="IO61" s="139"/>
      <c r="IP61" s="139"/>
      <c r="IQ61" s="139"/>
      <c r="IR61" s="139"/>
      <c r="IS61" s="139"/>
      <c r="IT61" s="139"/>
      <c r="IU61" s="139"/>
      <c r="IV61" s="139"/>
    </row>
    <row r="62" spans="1:256" ht="16.8" thickTop="1" thickBot="1" x14ac:dyDescent="0.3">
      <c r="A62" s="148" t="str">
        <f t="shared" si="0"/>
        <v/>
      </c>
      <c r="B62" s="136"/>
      <c r="C62" s="167" t="s">
        <v>930</v>
      </c>
      <c r="D62" s="139"/>
      <c r="E62" s="139"/>
      <c r="F62" s="139"/>
      <c r="G62" s="139"/>
      <c r="H62" s="139"/>
      <c r="I62" s="139"/>
      <c r="J62" s="139"/>
      <c r="K62" s="139"/>
      <c r="L62" s="139"/>
      <c r="M62" s="153"/>
      <c r="N62" s="153"/>
      <c r="O62" s="153"/>
      <c r="P62" s="153"/>
      <c r="Q62" s="153"/>
      <c r="R62" s="153"/>
      <c r="S62" s="153"/>
      <c r="T62" s="153"/>
      <c r="U62" s="138"/>
      <c r="V62" s="139"/>
      <c r="W62" s="139"/>
      <c r="X62" s="139"/>
      <c r="Y62" s="139"/>
      <c r="Z62" s="139"/>
      <c r="AA62" s="139"/>
      <c r="AB62" s="139"/>
      <c r="AC62" s="139"/>
      <c r="AD62" s="139"/>
      <c r="AE62" s="139"/>
      <c r="AF62" s="139"/>
      <c r="AG62" s="139"/>
      <c r="AH62" s="139"/>
      <c r="AI62" s="139"/>
      <c r="AJ62" s="139"/>
      <c r="AK62" s="139"/>
      <c r="AL62" s="139"/>
      <c r="AM62" s="139"/>
      <c r="AN62" s="139"/>
      <c r="AO62" s="139"/>
      <c r="AP62" s="139"/>
      <c r="AQ62" s="139"/>
      <c r="AR62" s="139"/>
      <c r="AS62" s="139"/>
      <c r="AT62" s="139"/>
      <c r="AU62" s="139"/>
      <c r="AV62" s="139"/>
      <c r="AW62" s="139"/>
      <c r="AX62" s="139"/>
      <c r="AY62" s="139"/>
      <c r="AZ62" s="139"/>
      <c r="BA62" s="139"/>
      <c r="BB62" s="139"/>
      <c r="BC62" s="139"/>
      <c r="BD62" s="139"/>
      <c r="BE62" s="139"/>
      <c r="BF62" s="139"/>
      <c r="BG62" s="139"/>
      <c r="BH62" s="139"/>
      <c r="BI62" s="139"/>
      <c r="BJ62" s="139"/>
      <c r="BK62" s="139"/>
      <c r="BL62" s="139"/>
      <c r="BM62" s="139"/>
      <c r="BN62" s="139"/>
      <c r="BO62" s="139"/>
      <c r="BP62" s="139"/>
      <c r="BQ62" s="139"/>
      <c r="BR62" s="139"/>
      <c r="BS62" s="139"/>
      <c r="BT62" s="139"/>
      <c r="BU62" s="139"/>
      <c r="BV62" s="139"/>
      <c r="BW62" s="139"/>
      <c r="BX62" s="139"/>
      <c r="BY62" s="139"/>
      <c r="BZ62" s="139"/>
      <c r="CA62" s="139"/>
      <c r="CB62" s="139"/>
      <c r="CC62" s="139"/>
      <c r="CD62" s="139"/>
      <c r="CE62" s="139"/>
      <c r="CF62" s="139"/>
      <c r="CG62" s="139"/>
      <c r="CH62" s="139"/>
      <c r="CI62" s="139"/>
      <c r="CJ62" s="139"/>
      <c r="CK62" s="139"/>
      <c r="CL62" s="139"/>
      <c r="CM62" s="139"/>
      <c r="CN62" s="139"/>
      <c r="CO62" s="139"/>
      <c r="CP62" s="139"/>
      <c r="CQ62" s="139"/>
      <c r="CR62" s="139"/>
      <c r="CS62" s="139"/>
      <c r="CT62" s="139"/>
      <c r="CU62" s="139"/>
      <c r="CV62" s="139"/>
      <c r="CW62" s="139"/>
      <c r="CX62" s="139"/>
      <c r="CY62" s="139"/>
      <c r="CZ62" s="139"/>
      <c r="DA62" s="139"/>
      <c r="DB62" s="139"/>
      <c r="DC62" s="139"/>
      <c r="DD62" s="139"/>
      <c r="DE62" s="139"/>
      <c r="DF62" s="139"/>
      <c r="DG62" s="139"/>
      <c r="DH62" s="139"/>
      <c r="DI62" s="139"/>
      <c r="DJ62" s="139"/>
      <c r="DK62" s="139"/>
      <c r="DL62" s="139"/>
      <c r="DM62" s="139"/>
      <c r="DN62" s="139"/>
      <c r="DO62" s="139"/>
      <c r="DP62" s="139"/>
      <c r="DQ62" s="139"/>
      <c r="DR62" s="139"/>
      <c r="DS62" s="139"/>
      <c r="DT62" s="139"/>
      <c r="DU62" s="139"/>
      <c r="DV62" s="139"/>
      <c r="DW62" s="139"/>
      <c r="DX62" s="139"/>
      <c r="DY62" s="139"/>
      <c r="DZ62" s="139"/>
      <c r="EA62" s="139"/>
      <c r="EB62" s="139"/>
      <c r="EC62" s="139"/>
      <c r="ED62" s="139"/>
      <c r="EE62" s="139"/>
      <c r="EF62" s="139"/>
      <c r="EG62" s="139"/>
      <c r="EH62" s="139"/>
      <c r="EI62" s="139"/>
      <c r="EJ62" s="139"/>
      <c r="EK62" s="139"/>
      <c r="EL62" s="139"/>
      <c r="EM62" s="139"/>
      <c r="EN62" s="139"/>
      <c r="EO62" s="139"/>
      <c r="EP62" s="139"/>
      <c r="EQ62" s="139"/>
      <c r="ER62" s="139"/>
      <c r="ES62" s="139"/>
      <c r="ET62" s="139"/>
      <c r="EU62" s="139"/>
      <c r="EV62" s="139"/>
      <c r="EW62" s="139"/>
      <c r="EX62" s="139"/>
      <c r="EY62" s="139"/>
      <c r="EZ62" s="139"/>
      <c r="FA62" s="139"/>
      <c r="FB62" s="139"/>
      <c r="FC62" s="139"/>
      <c r="FD62" s="139"/>
      <c r="FE62" s="139"/>
      <c r="FF62" s="139"/>
      <c r="FG62" s="139"/>
      <c r="FH62" s="139"/>
      <c r="FI62" s="139"/>
      <c r="FJ62" s="139"/>
      <c r="FK62" s="139"/>
      <c r="FL62" s="139"/>
      <c r="FM62" s="139"/>
      <c r="FN62" s="139"/>
      <c r="FO62" s="139"/>
      <c r="FP62" s="139"/>
      <c r="FQ62" s="139"/>
      <c r="FR62" s="139"/>
      <c r="FS62" s="139"/>
      <c r="FT62" s="139"/>
      <c r="FU62" s="139"/>
      <c r="FV62" s="139"/>
      <c r="FW62" s="139"/>
      <c r="FX62" s="139"/>
      <c r="FY62" s="139"/>
      <c r="FZ62" s="139"/>
      <c r="GA62" s="139"/>
      <c r="GB62" s="139"/>
      <c r="GC62" s="139"/>
      <c r="GD62" s="139"/>
      <c r="GE62" s="139"/>
      <c r="GF62" s="139"/>
      <c r="GG62" s="139"/>
      <c r="GH62" s="139"/>
      <c r="GI62" s="139"/>
      <c r="GJ62" s="139"/>
      <c r="GK62" s="139"/>
      <c r="GL62" s="139"/>
      <c r="GM62" s="139"/>
      <c r="GN62" s="139"/>
      <c r="GO62" s="139"/>
      <c r="GP62" s="139"/>
      <c r="GQ62" s="139"/>
      <c r="GR62" s="139"/>
      <c r="GS62" s="139"/>
      <c r="GT62" s="139"/>
      <c r="GU62" s="139"/>
      <c r="GV62" s="139"/>
      <c r="GW62" s="139"/>
      <c r="GX62" s="139"/>
      <c r="GY62" s="139"/>
      <c r="GZ62" s="139"/>
      <c r="HA62" s="139"/>
      <c r="HB62" s="139"/>
      <c r="HC62" s="139"/>
      <c r="HD62" s="139"/>
      <c r="HE62" s="139"/>
      <c r="HF62" s="139"/>
      <c r="HG62" s="139"/>
      <c r="HH62" s="139"/>
      <c r="HI62" s="139"/>
      <c r="HJ62" s="139"/>
      <c r="HK62" s="139"/>
      <c r="HL62" s="139"/>
      <c r="HM62" s="139"/>
      <c r="HN62" s="139"/>
      <c r="HO62" s="139"/>
      <c r="HP62" s="139"/>
      <c r="HQ62" s="139"/>
      <c r="HR62" s="139"/>
      <c r="HS62" s="139"/>
      <c r="HT62" s="139"/>
      <c r="HU62" s="139"/>
      <c r="HV62" s="139"/>
      <c r="HW62" s="139"/>
      <c r="HX62" s="139"/>
      <c r="HY62" s="139"/>
      <c r="HZ62" s="139"/>
      <c r="IA62" s="139"/>
      <c r="IB62" s="139"/>
      <c r="IC62" s="139"/>
      <c r="ID62" s="139"/>
      <c r="IE62" s="139"/>
      <c r="IF62" s="139"/>
      <c r="IG62" s="139"/>
      <c r="IH62" s="139"/>
      <c r="II62" s="139"/>
      <c r="IJ62" s="139"/>
      <c r="IK62" s="139"/>
      <c r="IL62" s="139"/>
      <c r="IM62" s="139"/>
      <c r="IN62" s="139"/>
      <c r="IO62" s="139"/>
      <c r="IP62" s="139"/>
      <c r="IQ62" s="139"/>
      <c r="IR62" s="139"/>
      <c r="IS62" s="139"/>
      <c r="IT62" s="139"/>
      <c r="IU62" s="139"/>
      <c r="IV62" s="139"/>
    </row>
    <row r="63" spans="1:256" ht="13.8" thickTop="1" x14ac:dyDescent="0.25">
      <c r="A63" s="154" t="str">
        <f t="shared" si="0"/>
        <v>20GALV PRFA</v>
      </c>
      <c r="B63" s="136"/>
      <c r="C63" s="137"/>
      <c r="D63" s="155" t="s">
        <v>931</v>
      </c>
      <c r="E63" s="155">
        <v>20</v>
      </c>
      <c r="F63" s="156" t="s">
        <v>932</v>
      </c>
      <c r="G63" s="156" t="s">
        <v>932</v>
      </c>
      <c r="H63" s="157">
        <v>3.9010000000000003E-2</v>
      </c>
      <c r="I63" s="156" t="s">
        <v>704</v>
      </c>
      <c r="J63" s="156" t="s">
        <v>716</v>
      </c>
      <c r="K63" s="156" t="s">
        <v>933</v>
      </c>
      <c r="L63" s="155" t="s">
        <v>934</v>
      </c>
      <c r="M63" s="156" t="s">
        <v>708</v>
      </c>
      <c r="N63" s="154" t="s">
        <v>935</v>
      </c>
      <c r="O63" s="156" t="s">
        <v>823</v>
      </c>
      <c r="P63" s="156" t="s">
        <v>711</v>
      </c>
      <c r="Q63" s="156" t="s">
        <v>936</v>
      </c>
      <c r="R63" s="154" t="s">
        <v>937</v>
      </c>
      <c r="S63" s="156" t="s">
        <v>938</v>
      </c>
      <c r="T63" s="156" t="s">
        <v>939</v>
      </c>
      <c r="U63" s="138"/>
      <c r="V63" s="139"/>
      <c r="W63" s="139"/>
      <c r="X63" s="139"/>
      <c r="Y63" s="139"/>
      <c r="Z63" s="139"/>
      <c r="AA63" s="139"/>
      <c r="AB63" s="139"/>
      <c r="AC63" s="139"/>
      <c r="AD63" s="139"/>
      <c r="AE63" s="139"/>
      <c r="AF63" s="139"/>
      <c r="AG63" s="139"/>
      <c r="AH63" s="139"/>
      <c r="AI63" s="139"/>
      <c r="AJ63" s="139"/>
      <c r="AK63" s="139"/>
      <c r="AL63" s="139"/>
      <c r="AM63" s="139"/>
      <c r="AN63" s="139"/>
      <c r="AO63" s="139"/>
      <c r="AP63" s="139"/>
      <c r="AQ63" s="139"/>
      <c r="AR63" s="139"/>
      <c r="AS63" s="139"/>
      <c r="AT63" s="139"/>
      <c r="AU63" s="139"/>
      <c r="AV63" s="139"/>
      <c r="AW63" s="139"/>
      <c r="AX63" s="139"/>
      <c r="AY63" s="139"/>
      <c r="AZ63" s="139"/>
      <c r="BA63" s="139"/>
      <c r="BB63" s="139"/>
      <c r="BC63" s="139"/>
      <c r="BD63" s="139"/>
      <c r="BE63" s="139"/>
      <c r="BF63" s="139"/>
      <c r="BG63" s="139"/>
      <c r="BH63" s="139"/>
      <c r="BI63" s="139"/>
      <c r="BJ63" s="139"/>
      <c r="BK63" s="139"/>
      <c r="BL63" s="139"/>
      <c r="BM63" s="139"/>
      <c r="BN63" s="139"/>
      <c r="BO63" s="139"/>
      <c r="BP63" s="139"/>
      <c r="BQ63" s="139"/>
      <c r="BR63" s="139"/>
      <c r="BS63" s="139"/>
      <c r="BT63" s="139"/>
      <c r="BU63" s="139"/>
      <c r="BV63" s="139"/>
      <c r="BW63" s="139"/>
      <c r="BX63" s="139"/>
      <c r="BY63" s="139"/>
      <c r="BZ63" s="139"/>
      <c r="CA63" s="139"/>
      <c r="CB63" s="139"/>
      <c r="CC63" s="139"/>
      <c r="CD63" s="139"/>
      <c r="CE63" s="139"/>
      <c r="CF63" s="139"/>
      <c r="CG63" s="139"/>
      <c r="CH63" s="139"/>
      <c r="CI63" s="139"/>
      <c r="CJ63" s="139"/>
      <c r="CK63" s="139"/>
      <c r="CL63" s="139"/>
      <c r="CM63" s="139"/>
      <c r="CN63" s="139"/>
      <c r="CO63" s="139"/>
      <c r="CP63" s="139"/>
      <c r="CQ63" s="139"/>
      <c r="CR63" s="139"/>
      <c r="CS63" s="139"/>
      <c r="CT63" s="139"/>
      <c r="CU63" s="139"/>
      <c r="CV63" s="139"/>
      <c r="CW63" s="139"/>
      <c r="CX63" s="139"/>
      <c r="CY63" s="139"/>
      <c r="CZ63" s="139"/>
      <c r="DA63" s="139"/>
      <c r="DB63" s="139"/>
      <c r="DC63" s="139"/>
      <c r="DD63" s="139"/>
      <c r="DE63" s="139"/>
      <c r="DF63" s="139"/>
      <c r="DG63" s="139"/>
      <c r="DH63" s="139"/>
      <c r="DI63" s="139"/>
      <c r="DJ63" s="139"/>
      <c r="DK63" s="139"/>
      <c r="DL63" s="139"/>
      <c r="DM63" s="139"/>
      <c r="DN63" s="139"/>
      <c r="DO63" s="139"/>
      <c r="DP63" s="139"/>
      <c r="DQ63" s="139"/>
      <c r="DR63" s="139"/>
      <c r="DS63" s="139"/>
      <c r="DT63" s="139"/>
      <c r="DU63" s="139"/>
      <c r="DV63" s="139"/>
      <c r="DW63" s="139"/>
      <c r="DX63" s="139"/>
      <c r="DY63" s="139"/>
      <c r="DZ63" s="139"/>
      <c r="EA63" s="139"/>
      <c r="EB63" s="139"/>
      <c r="EC63" s="139"/>
      <c r="ED63" s="139"/>
      <c r="EE63" s="139"/>
      <c r="EF63" s="139"/>
      <c r="EG63" s="139"/>
      <c r="EH63" s="139"/>
      <c r="EI63" s="139"/>
      <c r="EJ63" s="139"/>
      <c r="EK63" s="139"/>
      <c r="EL63" s="139"/>
      <c r="EM63" s="139"/>
      <c r="EN63" s="139"/>
      <c r="EO63" s="139"/>
      <c r="EP63" s="139"/>
      <c r="EQ63" s="139"/>
      <c r="ER63" s="139"/>
      <c r="ES63" s="139"/>
      <c r="ET63" s="139"/>
      <c r="EU63" s="139"/>
      <c r="EV63" s="139"/>
      <c r="EW63" s="139"/>
      <c r="EX63" s="139"/>
      <c r="EY63" s="139"/>
      <c r="EZ63" s="139"/>
      <c r="FA63" s="139"/>
      <c r="FB63" s="139"/>
      <c r="FC63" s="139"/>
      <c r="FD63" s="139"/>
      <c r="FE63" s="139"/>
      <c r="FF63" s="139"/>
      <c r="FG63" s="139"/>
      <c r="FH63" s="139"/>
      <c r="FI63" s="139"/>
      <c r="FJ63" s="139"/>
      <c r="FK63" s="139"/>
      <c r="FL63" s="139"/>
      <c r="FM63" s="139"/>
      <c r="FN63" s="139"/>
      <c r="FO63" s="139"/>
      <c r="FP63" s="139"/>
      <c r="FQ63" s="139"/>
      <c r="FR63" s="139"/>
      <c r="FS63" s="139"/>
      <c r="FT63" s="139"/>
      <c r="FU63" s="139"/>
      <c r="FV63" s="139"/>
      <c r="FW63" s="139"/>
      <c r="FX63" s="139"/>
      <c r="FY63" s="139"/>
      <c r="FZ63" s="139"/>
      <c r="GA63" s="139"/>
      <c r="GB63" s="139"/>
      <c r="GC63" s="139"/>
      <c r="GD63" s="139"/>
      <c r="GE63" s="139"/>
      <c r="GF63" s="139"/>
      <c r="GG63" s="139"/>
      <c r="GH63" s="139"/>
      <c r="GI63" s="139"/>
      <c r="GJ63" s="139"/>
      <c r="GK63" s="139"/>
      <c r="GL63" s="139"/>
      <c r="GM63" s="139"/>
      <c r="GN63" s="139"/>
      <c r="GO63" s="139"/>
      <c r="GP63" s="139"/>
      <c r="GQ63" s="139"/>
      <c r="GR63" s="139"/>
      <c r="GS63" s="139"/>
      <c r="GT63" s="139"/>
      <c r="GU63" s="139"/>
      <c r="GV63" s="139"/>
      <c r="GW63" s="139"/>
      <c r="GX63" s="139"/>
      <c r="GY63" s="139"/>
      <c r="GZ63" s="139"/>
      <c r="HA63" s="139"/>
      <c r="HB63" s="139"/>
      <c r="HC63" s="139"/>
      <c r="HD63" s="139"/>
      <c r="HE63" s="139"/>
      <c r="HF63" s="139"/>
      <c r="HG63" s="139"/>
      <c r="HH63" s="139"/>
      <c r="HI63" s="139"/>
      <c r="HJ63" s="139"/>
      <c r="HK63" s="139"/>
      <c r="HL63" s="139"/>
      <c r="HM63" s="139"/>
      <c r="HN63" s="139"/>
      <c r="HO63" s="139"/>
      <c r="HP63" s="139"/>
      <c r="HQ63" s="139"/>
      <c r="HR63" s="139"/>
      <c r="HS63" s="139"/>
      <c r="HT63" s="139"/>
      <c r="HU63" s="139"/>
      <c r="HV63" s="139"/>
      <c r="HW63" s="139"/>
      <c r="HX63" s="139"/>
      <c r="HY63" s="139"/>
      <c r="HZ63" s="139"/>
      <c r="IA63" s="139"/>
      <c r="IB63" s="139"/>
      <c r="IC63" s="139"/>
      <c r="ID63" s="139"/>
      <c r="IE63" s="139"/>
      <c r="IF63" s="139"/>
      <c r="IG63" s="139"/>
      <c r="IH63" s="139"/>
      <c r="II63" s="139"/>
      <c r="IJ63" s="139"/>
      <c r="IK63" s="139"/>
      <c r="IL63" s="139"/>
      <c r="IM63" s="139"/>
      <c r="IN63" s="139"/>
      <c r="IO63" s="139"/>
      <c r="IP63" s="139"/>
      <c r="IQ63" s="139"/>
      <c r="IR63" s="139"/>
      <c r="IS63" s="139"/>
      <c r="IT63" s="139"/>
      <c r="IU63" s="139"/>
      <c r="IV63" s="139"/>
    </row>
    <row r="64" spans="1:256" x14ac:dyDescent="0.25">
      <c r="A64" s="118" t="str">
        <f t="shared" si="0"/>
        <v>20GALV PRFD</v>
      </c>
      <c r="B64" s="136"/>
      <c r="C64" s="137"/>
      <c r="D64" s="121" t="s">
        <v>931</v>
      </c>
      <c r="E64" s="121">
        <v>20</v>
      </c>
      <c r="F64" s="130" t="s">
        <v>932</v>
      </c>
      <c r="G64" s="130" t="s">
        <v>932</v>
      </c>
      <c r="H64" s="131">
        <v>3.9019999999999999E-2</v>
      </c>
      <c r="I64" s="130" t="s">
        <v>704</v>
      </c>
      <c r="J64" s="123" t="s">
        <v>716</v>
      </c>
      <c r="K64" s="123" t="s">
        <v>940</v>
      </c>
      <c r="L64" s="122" t="s">
        <v>934</v>
      </c>
      <c r="M64" s="123" t="s">
        <v>708</v>
      </c>
      <c r="N64" s="118" t="s">
        <v>935</v>
      </c>
      <c r="O64" s="123" t="s">
        <v>823</v>
      </c>
      <c r="P64" s="123" t="s">
        <v>711</v>
      </c>
      <c r="Q64" s="130" t="s">
        <v>941</v>
      </c>
      <c r="R64" s="132" t="s">
        <v>942</v>
      </c>
      <c r="S64" s="123" t="s">
        <v>943</v>
      </c>
      <c r="T64" s="123" t="s">
        <v>939</v>
      </c>
      <c r="U64" s="138"/>
      <c r="V64" s="139"/>
      <c r="W64" s="139"/>
      <c r="X64" s="139"/>
      <c r="Y64" s="139"/>
      <c r="Z64" s="139"/>
      <c r="AA64" s="139"/>
      <c r="AB64" s="139"/>
      <c r="AC64" s="139"/>
      <c r="AD64" s="139"/>
      <c r="AE64" s="139"/>
      <c r="AF64" s="139"/>
      <c r="AG64" s="139"/>
      <c r="AH64" s="139"/>
      <c r="AI64" s="139"/>
      <c r="AJ64" s="139"/>
      <c r="AK64" s="139"/>
      <c r="AL64" s="139"/>
      <c r="AM64" s="139"/>
      <c r="AN64" s="139"/>
      <c r="AO64" s="139"/>
      <c r="AP64" s="139"/>
      <c r="AQ64" s="139"/>
      <c r="AR64" s="139"/>
      <c r="AS64" s="139"/>
      <c r="AT64" s="139"/>
      <c r="AU64" s="139"/>
      <c r="AV64" s="139"/>
      <c r="AW64" s="139"/>
      <c r="AX64" s="139"/>
      <c r="AY64" s="139"/>
      <c r="AZ64" s="139"/>
      <c r="BA64" s="139"/>
      <c r="BB64" s="139"/>
      <c r="BC64" s="139"/>
      <c r="BD64" s="139"/>
      <c r="BE64" s="139"/>
      <c r="BF64" s="139"/>
      <c r="BG64" s="139"/>
      <c r="BH64" s="139"/>
      <c r="BI64" s="139"/>
      <c r="BJ64" s="139"/>
      <c r="BK64" s="139"/>
      <c r="BL64" s="139"/>
      <c r="BM64" s="139"/>
      <c r="BN64" s="139"/>
      <c r="BO64" s="139"/>
      <c r="BP64" s="139"/>
      <c r="BQ64" s="139"/>
      <c r="BR64" s="139"/>
      <c r="BS64" s="139"/>
      <c r="BT64" s="139"/>
      <c r="BU64" s="139"/>
      <c r="BV64" s="139"/>
      <c r="BW64" s="139"/>
      <c r="BX64" s="139"/>
      <c r="BY64" s="139"/>
      <c r="BZ64" s="139"/>
      <c r="CA64" s="139"/>
      <c r="CB64" s="139"/>
      <c r="CC64" s="139"/>
      <c r="CD64" s="139"/>
      <c r="CE64" s="139"/>
      <c r="CF64" s="139"/>
      <c r="CG64" s="139"/>
      <c r="CH64" s="139"/>
      <c r="CI64" s="139"/>
      <c r="CJ64" s="139"/>
      <c r="CK64" s="139"/>
      <c r="CL64" s="139"/>
      <c r="CM64" s="139"/>
      <c r="CN64" s="139"/>
      <c r="CO64" s="139"/>
      <c r="CP64" s="139"/>
      <c r="CQ64" s="139"/>
      <c r="CR64" s="139"/>
      <c r="CS64" s="139"/>
      <c r="CT64" s="139"/>
      <c r="CU64" s="139"/>
      <c r="CV64" s="139"/>
      <c r="CW64" s="139"/>
      <c r="CX64" s="139"/>
      <c r="CY64" s="139"/>
      <c r="CZ64" s="139"/>
      <c r="DA64" s="139"/>
      <c r="DB64" s="139"/>
      <c r="DC64" s="139"/>
      <c r="DD64" s="139"/>
      <c r="DE64" s="139"/>
      <c r="DF64" s="139"/>
      <c r="DG64" s="139"/>
      <c r="DH64" s="139"/>
      <c r="DI64" s="139"/>
      <c r="DJ64" s="139"/>
      <c r="DK64" s="139"/>
      <c r="DL64" s="139"/>
      <c r="DM64" s="139"/>
      <c r="DN64" s="139"/>
      <c r="DO64" s="139"/>
      <c r="DP64" s="139"/>
      <c r="DQ64" s="139"/>
      <c r="DR64" s="139"/>
      <c r="DS64" s="139"/>
      <c r="DT64" s="139"/>
      <c r="DU64" s="139"/>
      <c r="DV64" s="139"/>
      <c r="DW64" s="139"/>
      <c r="DX64" s="139"/>
      <c r="DY64" s="139"/>
      <c r="DZ64" s="139"/>
      <c r="EA64" s="139"/>
      <c r="EB64" s="139"/>
      <c r="EC64" s="139"/>
      <c r="ED64" s="139"/>
      <c r="EE64" s="139"/>
      <c r="EF64" s="139"/>
      <c r="EG64" s="139"/>
      <c r="EH64" s="139"/>
      <c r="EI64" s="139"/>
      <c r="EJ64" s="139"/>
      <c r="EK64" s="139"/>
      <c r="EL64" s="139"/>
      <c r="EM64" s="139"/>
      <c r="EN64" s="139"/>
      <c r="EO64" s="139"/>
      <c r="EP64" s="139"/>
      <c r="EQ64" s="139"/>
      <c r="ER64" s="139"/>
      <c r="ES64" s="139"/>
      <c r="ET64" s="139"/>
      <c r="EU64" s="139"/>
      <c r="EV64" s="139"/>
      <c r="EW64" s="139"/>
      <c r="EX64" s="139"/>
      <c r="EY64" s="139"/>
      <c r="EZ64" s="139"/>
      <c r="FA64" s="139"/>
      <c r="FB64" s="139"/>
      <c r="FC64" s="139"/>
      <c r="FD64" s="139"/>
      <c r="FE64" s="139"/>
      <c r="FF64" s="139"/>
      <c r="FG64" s="139"/>
      <c r="FH64" s="139"/>
      <c r="FI64" s="139"/>
      <c r="FJ64" s="139"/>
      <c r="FK64" s="139"/>
      <c r="FL64" s="139"/>
      <c r="FM64" s="139"/>
      <c r="FN64" s="139"/>
      <c r="FO64" s="139"/>
      <c r="FP64" s="139"/>
      <c r="FQ64" s="139"/>
      <c r="FR64" s="139"/>
      <c r="FS64" s="139"/>
      <c r="FT64" s="139"/>
      <c r="FU64" s="139"/>
      <c r="FV64" s="139"/>
      <c r="FW64" s="139"/>
      <c r="FX64" s="139"/>
      <c r="FY64" s="139"/>
      <c r="FZ64" s="139"/>
      <c r="GA64" s="139"/>
      <c r="GB64" s="139"/>
      <c r="GC64" s="139"/>
      <c r="GD64" s="139"/>
      <c r="GE64" s="139"/>
      <c r="GF64" s="139"/>
      <c r="GG64" s="139"/>
      <c r="GH64" s="139"/>
      <c r="GI64" s="139"/>
      <c r="GJ64" s="139"/>
      <c r="GK64" s="139"/>
      <c r="GL64" s="139"/>
      <c r="GM64" s="139"/>
      <c r="GN64" s="139"/>
      <c r="GO64" s="139"/>
      <c r="GP64" s="139"/>
      <c r="GQ64" s="139"/>
      <c r="GR64" s="139"/>
      <c r="GS64" s="139"/>
      <c r="GT64" s="139"/>
      <c r="GU64" s="139"/>
      <c r="GV64" s="139"/>
      <c r="GW64" s="139"/>
      <c r="GX64" s="139"/>
      <c r="GY64" s="139"/>
      <c r="GZ64" s="139"/>
      <c r="HA64" s="139"/>
      <c r="HB64" s="139"/>
      <c r="HC64" s="139"/>
      <c r="HD64" s="139"/>
      <c r="HE64" s="139"/>
      <c r="HF64" s="139"/>
      <c r="HG64" s="139"/>
      <c r="HH64" s="139"/>
      <c r="HI64" s="139"/>
      <c r="HJ64" s="139"/>
      <c r="HK64" s="139"/>
      <c r="HL64" s="139"/>
      <c r="HM64" s="139"/>
      <c r="HN64" s="139"/>
      <c r="HO64" s="139"/>
      <c r="HP64" s="139"/>
      <c r="HQ64" s="139"/>
      <c r="HR64" s="139"/>
      <c r="HS64" s="139"/>
      <c r="HT64" s="139"/>
      <c r="HU64" s="139"/>
      <c r="HV64" s="139"/>
      <c r="HW64" s="139"/>
      <c r="HX64" s="139"/>
      <c r="HY64" s="139"/>
      <c r="HZ64" s="139"/>
      <c r="IA64" s="139"/>
      <c r="IB64" s="139"/>
      <c r="IC64" s="139"/>
      <c r="ID64" s="139"/>
      <c r="IE64" s="139"/>
      <c r="IF64" s="139"/>
      <c r="IG64" s="139"/>
      <c r="IH64" s="139"/>
      <c r="II64" s="139"/>
      <c r="IJ64" s="139"/>
      <c r="IK64" s="139"/>
      <c r="IL64" s="139"/>
      <c r="IM64" s="139"/>
      <c r="IN64" s="139"/>
      <c r="IO64" s="139"/>
      <c r="IP64" s="139"/>
      <c r="IQ64" s="139"/>
      <c r="IR64" s="139"/>
      <c r="IS64" s="139"/>
      <c r="IT64" s="139"/>
      <c r="IU64" s="139"/>
      <c r="IV64" s="139"/>
    </row>
    <row r="65" spans="1:256" x14ac:dyDescent="0.25">
      <c r="A65" s="118" t="str">
        <f t="shared" si="0"/>
        <v>20GALV PRFE</v>
      </c>
      <c r="B65" s="136"/>
      <c r="C65" s="137"/>
      <c r="D65" s="121" t="s">
        <v>931</v>
      </c>
      <c r="E65" s="121" t="s">
        <v>826</v>
      </c>
      <c r="F65" s="135" t="s">
        <v>932</v>
      </c>
      <c r="G65" s="130" t="s">
        <v>932</v>
      </c>
      <c r="H65" s="168">
        <v>3.9030000000000002E-2</v>
      </c>
      <c r="I65" s="130" t="s">
        <v>704</v>
      </c>
      <c r="J65" s="123" t="s">
        <v>716</v>
      </c>
      <c r="K65" s="123" t="s">
        <v>944</v>
      </c>
      <c r="L65" s="122" t="s">
        <v>934</v>
      </c>
      <c r="M65" s="123" t="s">
        <v>708</v>
      </c>
      <c r="N65" s="118" t="s">
        <v>935</v>
      </c>
      <c r="O65" s="123" t="s">
        <v>823</v>
      </c>
      <c r="P65" s="123" t="s">
        <v>711</v>
      </c>
      <c r="Q65" s="130" t="s">
        <v>945</v>
      </c>
      <c r="R65" s="132" t="s">
        <v>946</v>
      </c>
      <c r="S65" s="123" t="s">
        <v>947</v>
      </c>
      <c r="T65" s="123" t="s">
        <v>948</v>
      </c>
      <c r="U65" s="138"/>
      <c r="V65" s="139"/>
      <c r="W65" s="139"/>
      <c r="X65" s="139"/>
      <c r="Y65" s="139"/>
      <c r="Z65" s="139"/>
      <c r="AA65" s="139"/>
      <c r="AB65" s="139"/>
      <c r="AC65" s="139"/>
      <c r="AD65" s="139"/>
      <c r="AE65" s="139"/>
      <c r="AF65" s="139"/>
      <c r="AG65" s="139"/>
      <c r="AH65" s="139"/>
      <c r="AI65" s="139"/>
      <c r="AJ65" s="139"/>
      <c r="AK65" s="139"/>
      <c r="AL65" s="139"/>
      <c r="AM65" s="139"/>
      <c r="AN65" s="139"/>
      <c r="AO65" s="139"/>
      <c r="AP65" s="139"/>
      <c r="AQ65" s="139"/>
      <c r="AR65" s="139"/>
      <c r="AS65" s="139"/>
      <c r="AT65" s="139"/>
      <c r="AU65" s="139"/>
      <c r="AV65" s="139"/>
      <c r="AW65" s="139"/>
      <c r="AX65" s="139"/>
      <c r="AY65" s="139"/>
      <c r="AZ65" s="139"/>
      <c r="BA65" s="139"/>
      <c r="BB65" s="139"/>
      <c r="BC65" s="139"/>
      <c r="BD65" s="139"/>
      <c r="BE65" s="139"/>
      <c r="BF65" s="139"/>
      <c r="BG65" s="139"/>
      <c r="BH65" s="139"/>
      <c r="BI65" s="139"/>
      <c r="BJ65" s="139"/>
      <c r="BK65" s="139"/>
      <c r="BL65" s="139"/>
      <c r="BM65" s="139"/>
      <c r="BN65" s="139"/>
      <c r="BO65" s="139"/>
      <c r="BP65" s="139"/>
      <c r="BQ65" s="139"/>
      <c r="BR65" s="139"/>
      <c r="BS65" s="139"/>
      <c r="BT65" s="139"/>
      <c r="BU65" s="139"/>
      <c r="BV65" s="139"/>
      <c r="BW65" s="139"/>
      <c r="BX65" s="139"/>
      <c r="BY65" s="139"/>
      <c r="BZ65" s="139"/>
      <c r="CA65" s="139"/>
      <c r="CB65" s="139"/>
      <c r="CC65" s="139"/>
      <c r="CD65" s="139"/>
      <c r="CE65" s="139"/>
      <c r="CF65" s="139"/>
      <c r="CG65" s="139"/>
      <c r="CH65" s="139"/>
      <c r="CI65" s="139"/>
      <c r="CJ65" s="139"/>
      <c r="CK65" s="139"/>
      <c r="CL65" s="139"/>
      <c r="CM65" s="139"/>
      <c r="CN65" s="139"/>
      <c r="CO65" s="139"/>
      <c r="CP65" s="139"/>
      <c r="CQ65" s="139"/>
      <c r="CR65" s="139"/>
      <c r="CS65" s="139"/>
      <c r="CT65" s="139"/>
      <c r="CU65" s="139"/>
      <c r="CV65" s="139"/>
      <c r="CW65" s="139"/>
      <c r="CX65" s="139"/>
      <c r="CY65" s="139"/>
      <c r="CZ65" s="139"/>
      <c r="DA65" s="139"/>
      <c r="DB65" s="139"/>
      <c r="DC65" s="139"/>
      <c r="DD65" s="139"/>
      <c r="DE65" s="139"/>
      <c r="DF65" s="139"/>
      <c r="DG65" s="139"/>
      <c r="DH65" s="139"/>
      <c r="DI65" s="139"/>
      <c r="DJ65" s="139"/>
      <c r="DK65" s="139"/>
      <c r="DL65" s="139"/>
      <c r="DM65" s="139"/>
      <c r="DN65" s="139"/>
      <c r="DO65" s="139"/>
      <c r="DP65" s="139"/>
      <c r="DQ65" s="139"/>
      <c r="DR65" s="139"/>
      <c r="DS65" s="139"/>
      <c r="DT65" s="139"/>
      <c r="DU65" s="139"/>
      <c r="DV65" s="139"/>
      <c r="DW65" s="139"/>
      <c r="DX65" s="139"/>
      <c r="DY65" s="139"/>
      <c r="DZ65" s="139"/>
      <c r="EA65" s="139"/>
      <c r="EB65" s="139"/>
      <c r="EC65" s="139"/>
      <c r="ED65" s="139"/>
      <c r="EE65" s="139"/>
      <c r="EF65" s="139"/>
      <c r="EG65" s="139"/>
      <c r="EH65" s="139"/>
      <c r="EI65" s="139"/>
      <c r="EJ65" s="139"/>
      <c r="EK65" s="139"/>
      <c r="EL65" s="139"/>
      <c r="EM65" s="139"/>
      <c r="EN65" s="139"/>
      <c r="EO65" s="139"/>
      <c r="EP65" s="139"/>
      <c r="EQ65" s="139"/>
      <c r="ER65" s="139"/>
      <c r="ES65" s="139"/>
      <c r="ET65" s="139"/>
      <c r="EU65" s="139"/>
      <c r="EV65" s="139"/>
      <c r="EW65" s="139"/>
      <c r="EX65" s="139"/>
      <c r="EY65" s="139"/>
      <c r="EZ65" s="139"/>
      <c r="FA65" s="139"/>
      <c r="FB65" s="139"/>
      <c r="FC65" s="139"/>
      <c r="FD65" s="139"/>
      <c r="FE65" s="139"/>
      <c r="FF65" s="139"/>
      <c r="FG65" s="139"/>
      <c r="FH65" s="139"/>
      <c r="FI65" s="139"/>
      <c r="FJ65" s="139"/>
      <c r="FK65" s="139"/>
      <c r="FL65" s="139"/>
      <c r="FM65" s="139"/>
      <c r="FN65" s="139"/>
      <c r="FO65" s="139"/>
      <c r="FP65" s="139"/>
      <c r="FQ65" s="139"/>
      <c r="FR65" s="139"/>
      <c r="FS65" s="139"/>
      <c r="FT65" s="139"/>
      <c r="FU65" s="139"/>
      <c r="FV65" s="139"/>
      <c r="FW65" s="139"/>
      <c r="FX65" s="139"/>
      <c r="FY65" s="139"/>
      <c r="FZ65" s="139"/>
      <c r="GA65" s="139"/>
      <c r="GB65" s="139"/>
      <c r="GC65" s="139"/>
      <c r="GD65" s="139"/>
      <c r="GE65" s="139"/>
      <c r="GF65" s="139"/>
      <c r="GG65" s="139"/>
      <c r="GH65" s="139"/>
      <c r="GI65" s="139"/>
      <c r="GJ65" s="139"/>
      <c r="GK65" s="139"/>
      <c r="GL65" s="139"/>
      <c r="GM65" s="139"/>
      <c r="GN65" s="139"/>
      <c r="GO65" s="139"/>
      <c r="GP65" s="139"/>
      <c r="GQ65" s="139"/>
      <c r="GR65" s="139"/>
      <c r="GS65" s="139"/>
      <c r="GT65" s="139"/>
      <c r="GU65" s="139"/>
      <c r="GV65" s="139"/>
      <c r="GW65" s="139"/>
      <c r="GX65" s="139"/>
      <c r="GY65" s="139"/>
      <c r="GZ65" s="139"/>
      <c r="HA65" s="139"/>
      <c r="HB65" s="139"/>
      <c r="HC65" s="139"/>
      <c r="HD65" s="139"/>
      <c r="HE65" s="139"/>
      <c r="HF65" s="139"/>
      <c r="HG65" s="139"/>
      <c r="HH65" s="139"/>
      <c r="HI65" s="139"/>
      <c r="HJ65" s="139"/>
      <c r="HK65" s="139"/>
      <c r="HL65" s="139"/>
      <c r="HM65" s="139"/>
      <c r="HN65" s="139"/>
      <c r="HO65" s="139"/>
      <c r="HP65" s="139"/>
      <c r="HQ65" s="139"/>
      <c r="HR65" s="139"/>
      <c r="HS65" s="139"/>
      <c r="HT65" s="139"/>
      <c r="HU65" s="139"/>
      <c r="HV65" s="139"/>
      <c r="HW65" s="139"/>
      <c r="HX65" s="139"/>
      <c r="HY65" s="139"/>
      <c r="HZ65" s="139"/>
      <c r="IA65" s="139"/>
      <c r="IB65" s="139"/>
      <c r="IC65" s="139"/>
      <c r="ID65" s="139"/>
      <c r="IE65" s="139"/>
      <c r="IF65" s="139"/>
      <c r="IG65" s="139"/>
      <c r="IH65" s="139"/>
      <c r="II65" s="139"/>
      <c r="IJ65" s="139"/>
      <c r="IK65" s="139"/>
      <c r="IL65" s="139"/>
      <c r="IM65" s="139"/>
      <c r="IN65" s="139"/>
      <c r="IO65" s="139"/>
      <c r="IP65" s="139"/>
      <c r="IQ65" s="139"/>
      <c r="IR65" s="139"/>
      <c r="IS65" s="139"/>
      <c r="IT65" s="139"/>
      <c r="IU65" s="139"/>
      <c r="IV65" s="139"/>
    </row>
    <row r="66" spans="1:256" x14ac:dyDescent="0.25">
      <c r="A66" s="118" t="str">
        <f t="shared" si="0"/>
        <v>16GALV PRFG</v>
      </c>
      <c r="B66" s="136"/>
      <c r="C66" s="137"/>
      <c r="D66" s="121" t="s">
        <v>931</v>
      </c>
      <c r="E66" s="121" t="s">
        <v>839</v>
      </c>
      <c r="F66" s="130" t="s">
        <v>728</v>
      </c>
      <c r="G66" s="130" t="s">
        <v>728</v>
      </c>
      <c r="H66" s="131">
        <v>5.5010000000000003E-2</v>
      </c>
      <c r="I66" s="130" t="s">
        <v>716</v>
      </c>
      <c r="J66" s="123" t="s">
        <v>705</v>
      </c>
      <c r="K66" s="123" t="s">
        <v>949</v>
      </c>
      <c r="L66" s="122" t="s">
        <v>950</v>
      </c>
      <c r="M66" s="123" t="s">
        <v>708</v>
      </c>
      <c r="N66" s="118" t="s">
        <v>935</v>
      </c>
      <c r="O66" s="123" t="s">
        <v>951</v>
      </c>
      <c r="P66" s="123" t="s">
        <v>711</v>
      </c>
      <c r="Q66" s="130" t="s">
        <v>952</v>
      </c>
      <c r="R66" s="130" t="s">
        <v>953</v>
      </c>
      <c r="S66" s="123" t="s">
        <v>714</v>
      </c>
      <c r="T66" s="123" t="s">
        <v>954</v>
      </c>
      <c r="U66" s="138"/>
      <c r="V66" s="139"/>
      <c r="W66" s="139"/>
      <c r="X66" s="139"/>
      <c r="Y66" s="139"/>
      <c r="Z66" s="139"/>
      <c r="AA66" s="139"/>
      <c r="AB66" s="139"/>
      <c r="AC66" s="139"/>
      <c r="AD66" s="139"/>
      <c r="AE66" s="139"/>
      <c r="AF66" s="139"/>
      <c r="AG66" s="139"/>
      <c r="AH66" s="139"/>
      <c r="AI66" s="139"/>
      <c r="AJ66" s="139"/>
      <c r="AK66" s="139"/>
      <c r="AL66" s="139"/>
      <c r="AM66" s="139"/>
      <c r="AN66" s="139"/>
      <c r="AO66" s="139"/>
      <c r="AP66" s="139"/>
      <c r="AQ66" s="139"/>
      <c r="AR66" s="139"/>
      <c r="AS66" s="139"/>
      <c r="AT66" s="139"/>
      <c r="AU66" s="139"/>
      <c r="AV66" s="139"/>
      <c r="AW66" s="139"/>
      <c r="AX66" s="139"/>
      <c r="AY66" s="139"/>
      <c r="AZ66" s="139"/>
      <c r="BA66" s="139"/>
      <c r="BB66" s="139"/>
      <c r="BC66" s="139"/>
      <c r="BD66" s="139"/>
      <c r="BE66" s="139"/>
      <c r="BF66" s="139"/>
      <c r="BG66" s="139"/>
      <c r="BH66" s="139"/>
      <c r="BI66" s="139"/>
      <c r="BJ66" s="139"/>
      <c r="BK66" s="139"/>
      <c r="BL66" s="139"/>
      <c r="BM66" s="139"/>
      <c r="BN66" s="139"/>
      <c r="BO66" s="139"/>
      <c r="BP66" s="139"/>
      <c r="BQ66" s="139"/>
      <c r="BR66" s="139"/>
      <c r="BS66" s="139"/>
      <c r="BT66" s="139"/>
      <c r="BU66" s="139"/>
      <c r="BV66" s="139"/>
      <c r="BW66" s="139"/>
      <c r="BX66" s="139"/>
      <c r="BY66" s="139"/>
      <c r="BZ66" s="139"/>
      <c r="CA66" s="139"/>
      <c r="CB66" s="139"/>
      <c r="CC66" s="139"/>
      <c r="CD66" s="139"/>
      <c r="CE66" s="139"/>
      <c r="CF66" s="139"/>
      <c r="CG66" s="139"/>
      <c r="CH66" s="139"/>
      <c r="CI66" s="139"/>
      <c r="CJ66" s="139"/>
      <c r="CK66" s="139"/>
      <c r="CL66" s="139"/>
      <c r="CM66" s="139"/>
      <c r="CN66" s="139"/>
      <c r="CO66" s="139"/>
      <c r="CP66" s="139"/>
      <c r="CQ66" s="139"/>
      <c r="CR66" s="139"/>
      <c r="CS66" s="139"/>
      <c r="CT66" s="139"/>
      <c r="CU66" s="139"/>
      <c r="CV66" s="139"/>
      <c r="CW66" s="139"/>
      <c r="CX66" s="139"/>
      <c r="CY66" s="139"/>
      <c r="CZ66" s="139"/>
      <c r="DA66" s="139"/>
      <c r="DB66" s="139"/>
      <c r="DC66" s="139"/>
      <c r="DD66" s="139"/>
      <c r="DE66" s="139"/>
      <c r="DF66" s="139"/>
      <c r="DG66" s="139"/>
      <c r="DH66" s="139"/>
      <c r="DI66" s="139"/>
      <c r="DJ66" s="139"/>
      <c r="DK66" s="139"/>
      <c r="DL66" s="139"/>
      <c r="DM66" s="139"/>
      <c r="DN66" s="139"/>
      <c r="DO66" s="139"/>
      <c r="DP66" s="139"/>
      <c r="DQ66" s="139"/>
      <c r="DR66" s="139"/>
      <c r="DS66" s="139"/>
      <c r="DT66" s="139"/>
      <c r="DU66" s="139"/>
      <c r="DV66" s="139"/>
      <c r="DW66" s="139"/>
      <c r="DX66" s="139"/>
      <c r="DY66" s="139"/>
      <c r="DZ66" s="139"/>
      <c r="EA66" s="139"/>
      <c r="EB66" s="139"/>
      <c r="EC66" s="139"/>
      <c r="ED66" s="139"/>
      <c r="EE66" s="139"/>
      <c r="EF66" s="139"/>
      <c r="EG66" s="139"/>
      <c r="EH66" s="139"/>
      <c r="EI66" s="139"/>
      <c r="EJ66" s="139"/>
      <c r="EK66" s="139"/>
      <c r="EL66" s="139"/>
      <c r="EM66" s="139"/>
      <c r="EN66" s="139"/>
      <c r="EO66" s="139"/>
      <c r="EP66" s="139"/>
      <c r="EQ66" s="139"/>
      <c r="ER66" s="139"/>
      <c r="ES66" s="139"/>
      <c r="ET66" s="139"/>
      <c r="EU66" s="139"/>
      <c r="EV66" s="139"/>
      <c r="EW66" s="139"/>
      <c r="EX66" s="139"/>
      <c r="EY66" s="139"/>
      <c r="EZ66" s="139"/>
      <c r="FA66" s="139"/>
      <c r="FB66" s="139"/>
      <c r="FC66" s="139"/>
      <c r="FD66" s="139"/>
      <c r="FE66" s="139"/>
      <c r="FF66" s="139"/>
      <c r="FG66" s="139"/>
      <c r="FH66" s="139"/>
      <c r="FI66" s="139"/>
      <c r="FJ66" s="139"/>
      <c r="FK66" s="139"/>
      <c r="FL66" s="139"/>
      <c r="FM66" s="139"/>
      <c r="FN66" s="139"/>
      <c r="FO66" s="139"/>
      <c r="FP66" s="139"/>
      <c r="FQ66" s="139"/>
      <c r="FR66" s="139"/>
      <c r="FS66" s="139"/>
      <c r="FT66" s="139"/>
      <c r="FU66" s="139"/>
      <c r="FV66" s="139"/>
      <c r="FW66" s="139"/>
      <c r="FX66" s="139"/>
      <c r="FY66" s="139"/>
      <c r="FZ66" s="139"/>
      <c r="GA66" s="139"/>
      <c r="GB66" s="139"/>
      <c r="GC66" s="139"/>
      <c r="GD66" s="139"/>
      <c r="GE66" s="139"/>
      <c r="GF66" s="139"/>
      <c r="GG66" s="139"/>
      <c r="GH66" s="139"/>
      <c r="GI66" s="139"/>
      <c r="GJ66" s="139"/>
      <c r="GK66" s="139"/>
      <c r="GL66" s="139"/>
      <c r="GM66" s="139"/>
      <c r="GN66" s="139"/>
      <c r="GO66" s="139"/>
      <c r="GP66" s="139"/>
      <c r="GQ66" s="139"/>
      <c r="GR66" s="139"/>
      <c r="GS66" s="139"/>
      <c r="GT66" s="139"/>
      <c r="GU66" s="139"/>
      <c r="GV66" s="139"/>
      <c r="GW66" s="139"/>
      <c r="GX66" s="139"/>
      <c r="GY66" s="139"/>
      <c r="GZ66" s="139"/>
      <c r="HA66" s="139"/>
      <c r="HB66" s="139"/>
      <c r="HC66" s="139"/>
      <c r="HD66" s="139"/>
      <c r="HE66" s="139"/>
      <c r="HF66" s="139"/>
      <c r="HG66" s="139"/>
      <c r="HH66" s="139"/>
      <c r="HI66" s="139"/>
      <c r="HJ66" s="139"/>
      <c r="HK66" s="139"/>
      <c r="HL66" s="139"/>
      <c r="HM66" s="139"/>
      <c r="HN66" s="139"/>
      <c r="HO66" s="139"/>
      <c r="HP66" s="139"/>
      <c r="HQ66" s="139"/>
      <c r="HR66" s="139"/>
      <c r="HS66" s="139"/>
      <c r="HT66" s="139"/>
      <c r="HU66" s="139"/>
      <c r="HV66" s="139"/>
      <c r="HW66" s="139"/>
      <c r="HX66" s="139"/>
      <c r="HY66" s="139"/>
      <c r="HZ66" s="139"/>
      <c r="IA66" s="139"/>
      <c r="IB66" s="139"/>
      <c r="IC66" s="139"/>
      <c r="ID66" s="139"/>
      <c r="IE66" s="139"/>
      <c r="IF66" s="139"/>
      <c r="IG66" s="139"/>
      <c r="IH66" s="139"/>
      <c r="II66" s="139"/>
      <c r="IJ66" s="139"/>
      <c r="IK66" s="139"/>
      <c r="IL66" s="139"/>
      <c r="IM66" s="139"/>
      <c r="IN66" s="139"/>
      <c r="IO66" s="139"/>
      <c r="IP66" s="139"/>
      <c r="IQ66" s="139"/>
      <c r="IR66" s="139"/>
      <c r="IS66" s="139"/>
      <c r="IT66" s="139"/>
      <c r="IU66" s="139"/>
      <c r="IV66" s="139"/>
    </row>
    <row r="67" spans="1:256" x14ac:dyDescent="0.25">
      <c r="A67" s="118" t="str">
        <f t="shared" si="0"/>
        <v>18GALV PRFG</v>
      </c>
      <c r="B67" s="136"/>
      <c r="C67" s="137"/>
      <c r="D67" s="121" t="s">
        <v>931</v>
      </c>
      <c r="E67" s="121" t="s">
        <v>834</v>
      </c>
      <c r="F67" s="130" t="s">
        <v>732</v>
      </c>
      <c r="G67" s="130" t="s">
        <v>732</v>
      </c>
      <c r="H67" s="131">
        <v>4.505E-2</v>
      </c>
      <c r="I67" s="130" t="s">
        <v>716</v>
      </c>
      <c r="J67" s="123" t="s">
        <v>705</v>
      </c>
      <c r="K67" s="123" t="s">
        <v>955</v>
      </c>
      <c r="L67" s="122" t="s">
        <v>956</v>
      </c>
      <c r="M67" s="123" t="s">
        <v>708</v>
      </c>
      <c r="N67" s="118" t="s">
        <v>935</v>
      </c>
      <c r="O67" s="123" t="s">
        <v>823</v>
      </c>
      <c r="P67" s="123" t="s">
        <v>711</v>
      </c>
      <c r="Q67" s="130" t="s">
        <v>952</v>
      </c>
      <c r="R67" s="130" t="s">
        <v>957</v>
      </c>
      <c r="S67" s="123" t="s">
        <v>714</v>
      </c>
      <c r="T67" s="123" t="s">
        <v>954</v>
      </c>
      <c r="U67" s="138"/>
      <c r="V67" s="139"/>
      <c r="W67" s="139"/>
      <c r="X67" s="139"/>
      <c r="Y67" s="139"/>
      <c r="Z67" s="139"/>
      <c r="AA67" s="139"/>
      <c r="AB67" s="139"/>
      <c r="AC67" s="139"/>
      <c r="AD67" s="139"/>
      <c r="AE67" s="139"/>
      <c r="AF67" s="139"/>
      <c r="AG67" s="139"/>
      <c r="AH67" s="139"/>
      <c r="AI67" s="139"/>
      <c r="AJ67" s="139"/>
      <c r="AK67" s="139"/>
      <c r="AL67" s="139"/>
      <c r="AM67" s="139"/>
      <c r="AN67" s="139"/>
      <c r="AO67" s="139"/>
      <c r="AP67" s="139"/>
      <c r="AQ67" s="139"/>
      <c r="AR67" s="139"/>
      <c r="AS67" s="139"/>
      <c r="AT67" s="139"/>
      <c r="AU67" s="139"/>
      <c r="AV67" s="139"/>
      <c r="AW67" s="139"/>
      <c r="AX67" s="139"/>
      <c r="AY67" s="139"/>
      <c r="AZ67" s="139"/>
      <c r="BA67" s="139"/>
      <c r="BB67" s="139"/>
      <c r="BC67" s="139"/>
      <c r="BD67" s="139"/>
      <c r="BE67" s="139"/>
      <c r="BF67" s="139"/>
      <c r="BG67" s="139"/>
      <c r="BH67" s="139"/>
      <c r="BI67" s="139"/>
      <c r="BJ67" s="139"/>
      <c r="BK67" s="139"/>
      <c r="BL67" s="139"/>
      <c r="BM67" s="139"/>
      <c r="BN67" s="139"/>
      <c r="BO67" s="139"/>
      <c r="BP67" s="139"/>
      <c r="BQ67" s="139"/>
      <c r="BR67" s="139"/>
      <c r="BS67" s="139"/>
      <c r="BT67" s="139"/>
      <c r="BU67" s="139"/>
      <c r="BV67" s="139"/>
      <c r="BW67" s="139"/>
      <c r="BX67" s="139"/>
      <c r="BY67" s="139"/>
      <c r="BZ67" s="139"/>
      <c r="CA67" s="139"/>
      <c r="CB67" s="139"/>
      <c r="CC67" s="139"/>
      <c r="CD67" s="139"/>
      <c r="CE67" s="139"/>
      <c r="CF67" s="139"/>
      <c r="CG67" s="139"/>
      <c r="CH67" s="139"/>
      <c r="CI67" s="139"/>
      <c r="CJ67" s="139"/>
      <c r="CK67" s="139"/>
      <c r="CL67" s="139"/>
      <c r="CM67" s="139"/>
      <c r="CN67" s="139"/>
      <c r="CO67" s="139"/>
      <c r="CP67" s="139"/>
      <c r="CQ67" s="139"/>
      <c r="CR67" s="139"/>
      <c r="CS67" s="139"/>
      <c r="CT67" s="139"/>
      <c r="CU67" s="139"/>
      <c r="CV67" s="139"/>
      <c r="CW67" s="139"/>
      <c r="CX67" s="139"/>
      <c r="CY67" s="139"/>
      <c r="CZ67" s="139"/>
      <c r="DA67" s="139"/>
      <c r="DB67" s="139"/>
      <c r="DC67" s="139"/>
      <c r="DD67" s="139"/>
      <c r="DE67" s="139"/>
      <c r="DF67" s="139"/>
      <c r="DG67" s="139"/>
      <c r="DH67" s="139"/>
      <c r="DI67" s="139"/>
      <c r="DJ67" s="139"/>
      <c r="DK67" s="139"/>
      <c r="DL67" s="139"/>
      <c r="DM67" s="139"/>
      <c r="DN67" s="139"/>
      <c r="DO67" s="139"/>
      <c r="DP67" s="139"/>
      <c r="DQ67" s="139"/>
      <c r="DR67" s="139"/>
      <c r="DS67" s="139"/>
      <c r="DT67" s="139"/>
      <c r="DU67" s="139"/>
      <c r="DV67" s="139"/>
      <c r="DW67" s="139"/>
      <c r="DX67" s="139"/>
      <c r="DY67" s="139"/>
      <c r="DZ67" s="139"/>
      <c r="EA67" s="139"/>
      <c r="EB67" s="139"/>
      <c r="EC67" s="139"/>
      <c r="ED67" s="139"/>
      <c r="EE67" s="139"/>
      <c r="EF67" s="139"/>
      <c r="EG67" s="139"/>
      <c r="EH67" s="139"/>
      <c r="EI67" s="139"/>
      <c r="EJ67" s="139"/>
      <c r="EK67" s="139"/>
      <c r="EL67" s="139"/>
      <c r="EM67" s="139"/>
      <c r="EN67" s="139"/>
      <c r="EO67" s="139"/>
      <c r="EP67" s="139"/>
      <c r="EQ67" s="139"/>
      <c r="ER67" s="139"/>
      <c r="ES67" s="139"/>
      <c r="ET67" s="139"/>
      <c r="EU67" s="139"/>
      <c r="EV67" s="139"/>
      <c r="EW67" s="139"/>
      <c r="EX67" s="139"/>
      <c r="EY67" s="139"/>
      <c r="EZ67" s="139"/>
      <c r="FA67" s="139"/>
      <c r="FB67" s="139"/>
      <c r="FC67" s="139"/>
      <c r="FD67" s="139"/>
      <c r="FE67" s="139"/>
      <c r="FF67" s="139"/>
      <c r="FG67" s="139"/>
      <c r="FH67" s="139"/>
      <c r="FI67" s="139"/>
      <c r="FJ67" s="139"/>
      <c r="FK67" s="139"/>
      <c r="FL67" s="139"/>
      <c r="FM67" s="139"/>
      <c r="FN67" s="139"/>
      <c r="FO67" s="139"/>
      <c r="FP67" s="139"/>
      <c r="FQ67" s="139"/>
      <c r="FR67" s="139"/>
      <c r="FS67" s="139"/>
      <c r="FT67" s="139"/>
      <c r="FU67" s="139"/>
      <c r="FV67" s="139"/>
      <c r="FW67" s="139"/>
      <c r="FX67" s="139"/>
      <c r="FY67" s="139"/>
      <c r="FZ67" s="139"/>
      <c r="GA67" s="139"/>
      <c r="GB67" s="139"/>
      <c r="GC67" s="139"/>
      <c r="GD67" s="139"/>
      <c r="GE67" s="139"/>
      <c r="GF67" s="139"/>
      <c r="GG67" s="139"/>
      <c r="GH67" s="139"/>
      <c r="GI67" s="139"/>
      <c r="GJ67" s="139"/>
      <c r="GK67" s="139"/>
      <c r="GL67" s="139"/>
      <c r="GM67" s="139"/>
      <c r="GN67" s="139"/>
      <c r="GO67" s="139"/>
      <c r="GP67" s="139"/>
      <c r="GQ67" s="139"/>
      <c r="GR67" s="139"/>
      <c r="GS67" s="139"/>
      <c r="GT67" s="139"/>
      <c r="GU67" s="139"/>
      <c r="GV67" s="139"/>
      <c r="GW67" s="139"/>
      <c r="GX67" s="139"/>
      <c r="GY67" s="139"/>
      <c r="GZ67" s="139"/>
      <c r="HA67" s="139"/>
      <c r="HB67" s="139"/>
      <c r="HC67" s="139"/>
      <c r="HD67" s="139"/>
      <c r="HE67" s="139"/>
      <c r="HF67" s="139"/>
      <c r="HG67" s="139"/>
      <c r="HH67" s="139"/>
      <c r="HI67" s="139"/>
      <c r="HJ67" s="139"/>
      <c r="HK67" s="139"/>
      <c r="HL67" s="139"/>
      <c r="HM67" s="139"/>
      <c r="HN67" s="139"/>
      <c r="HO67" s="139"/>
      <c r="HP67" s="139"/>
      <c r="HQ67" s="139"/>
      <c r="HR67" s="139"/>
      <c r="HS67" s="139"/>
      <c r="HT67" s="139"/>
      <c r="HU67" s="139"/>
      <c r="HV67" s="139"/>
      <c r="HW67" s="139"/>
      <c r="HX67" s="139"/>
      <c r="HY67" s="139"/>
      <c r="HZ67" s="139"/>
      <c r="IA67" s="139"/>
      <c r="IB67" s="139"/>
      <c r="IC67" s="139"/>
      <c r="ID67" s="139"/>
      <c r="IE67" s="139"/>
      <c r="IF67" s="139"/>
      <c r="IG67" s="139"/>
      <c r="IH67" s="139"/>
      <c r="II67" s="139"/>
      <c r="IJ67" s="139"/>
      <c r="IK67" s="139"/>
      <c r="IL67" s="139"/>
      <c r="IM67" s="139"/>
      <c r="IN67" s="139"/>
      <c r="IO67" s="139"/>
      <c r="IP67" s="139"/>
      <c r="IQ67" s="139"/>
      <c r="IR67" s="139"/>
      <c r="IS67" s="139"/>
      <c r="IT67" s="139"/>
      <c r="IU67" s="139"/>
      <c r="IV67" s="139"/>
    </row>
    <row r="68" spans="1:256" x14ac:dyDescent="0.25">
      <c r="A68" s="118" t="str">
        <f t="shared" si="0"/>
        <v>20GALV PRFG</v>
      </c>
      <c r="B68" s="136"/>
      <c r="C68" s="137"/>
      <c r="D68" s="121" t="s">
        <v>931</v>
      </c>
      <c r="E68" s="121" t="s">
        <v>826</v>
      </c>
      <c r="F68" s="130" t="s">
        <v>736</v>
      </c>
      <c r="G68" s="130" t="s">
        <v>737</v>
      </c>
      <c r="H68" s="131">
        <v>3.4020000000000002E-2</v>
      </c>
      <c r="I68" s="130" t="s">
        <v>716</v>
      </c>
      <c r="J68" s="123" t="s">
        <v>705</v>
      </c>
      <c r="K68" s="123" t="s">
        <v>958</v>
      </c>
      <c r="L68" s="122" t="s">
        <v>959</v>
      </c>
      <c r="M68" s="123" t="s">
        <v>708</v>
      </c>
      <c r="N68" s="118" t="s">
        <v>935</v>
      </c>
      <c r="O68" s="123" t="s">
        <v>710</v>
      </c>
      <c r="P68" s="123" t="s">
        <v>711</v>
      </c>
      <c r="Q68" s="130" t="s">
        <v>952</v>
      </c>
      <c r="R68" s="130" t="s">
        <v>960</v>
      </c>
      <c r="S68" s="123" t="s">
        <v>714</v>
      </c>
      <c r="T68" s="123" t="s">
        <v>954</v>
      </c>
      <c r="U68" s="138"/>
      <c r="V68" s="139"/>
      <c r="W68" s="139"/>
      <c r="X68" s="139"/>
      <c r="Y68" s="139"/>
      <c r="Z68" s="139"/>
      <c r="AA68" s="139"/>
      <c r="AB68" s="139"/>
      <c r="AC68" s="139"/>
      <c r="AD68" s="139"/>
      <c r="AE68" s="139"/>
      <c r="AF68" s="139"/>
      <c r="AG68" s="139"/>
      <c r="AH68" s="139"/>
      <c r="AI68" s="139"/>
      <c r="AJ68" s="139"/>
      <c r="AK68" s="139"/>
      <c r="AL68" s="139"/>
      <c r="AM68" s="139"/>
      <c r="AN68" s="139"/>
      <c r="AO68" s="139"/>
      <c r="AP68" s="139"/>
      <c r="AQ68" s="139"/>
      <c r="AR68" s="139"/>
      <c r="AS68" s="139"/>
      <c r="AT68" s="139"/>
      <c r="AU68" s="139"/>
      <c r="AV68" s="139"/>
      <c r="AW68" s="139"/>
      <c r="AX68" s="139"/>
      <c r="AY68" s="139"/>
      <c r="AZ68" s="139"/>
      <c r="BA68" s="139"/>
      <c r="BB68" s="139"/>
      <c r="BC68" s="139"/>
      <c r="BD68" s="139"/>
      <c r="BE68" s="139"/>
      <c r="BF68" s="139"/>
      <c r="BG68" s="139"/>
      <c r="BH68" s="139"/>
      <c r="BI68" s="139"/>
      <c r="BJ68" s="139"/>
      <c r="BK68" s="139"/>
      <c r="BL68" s="139"/>
      <c r="BM68" s="139"/>
      <c r="BN68" s="139"/>
      <c r="BO68" s="139"/>
      <c r="BP68" s="139"/>
      <c r="BQ68" s="139"/>
      <c r="BR68" s="139"/>
      <c r="BS68" s="139"/>
      <c r="BT68" s="139"/>
      <c r="BU68" s="139"/>
      <c r="BV68" s="139"/>
      <c r="BW68" s="139"/>
      <c r="BX68" s="139"/>
      <c r="BY68" s="139"/>
      <c r="BZ68" s="139"/>
      <c r="CA68" s="139"/>
      <c r="CB68" s="139"/>
      <c r="CC68" s="139"/>
      <c r="CD68" s="139"/>
      <c r="CE68" s="139"/>
      <c r="CF68" s="139"/>
      <c r="CG68" s="139"/>
      <c r="CH68" s="139"/>
      <c r="CI68" s="139"/>
      <c r="CJ68" s="139"/>
      <c r="CK68" s="139"/>
      <c r="CL68" s="139"/>
      <c r="CM68" s="139"/>
      <c r="CN68" s="139"/>
      <c r="CO68" s="139"/>
      <c r="CP68" s="139"/>
      <c r="CQ68" s="139"/>
      <c r="CR68" s="139"/>
      <c r="CS68" s="139"/>
      <c r="CT68" s="139"/>
      <c r="CU68" s="139"/>
      <c r="CV68" s="139"/>
      <c r="CW68" s="139"/>
      <c r="CX68" s="139"/>
      <c r="CY68" s="139"/>
      <c r="CZ68" s="139"/>
      <c r="DA68" s="139"/>
      <c r="DB68" s="139"/>
      <c r="DC68" s="139"/>
      <c r="DD68" s="139"/>
      <c r="DE68" s="139"/>
      <c r="DF68" s="139"/>
      <c r="DG68" s="139"/>
      <c r="DH68" s="139"/>
      <c r="DI68" s="139"/>
      <c r="DJ68" s="139"/>
      <c r="DK68" s="139"/>
      <c r="DL68" s="139"/>
      <c r="DM68" s="139"/>
      <c r="DN68" s="139"/>
      <c r="DO68" s="139"/>
      <c r="DP68" s="139"/>
      <c r="DQ68" s="139"/>
      <c r="DR68" s="139"/>
      <c r="DS68" s="139"/>
      <c r="DT68" s="139"/>
      <c r="DU68" s="139"/>
      <c r="DV68" s="139"/>
      <c r="DW68" s="139"/>
      <c r="DX68" s="139"/>
      <c r="DY68" s="139"/>
      <c r="DZ68" s="139"/>
      <c r="EA68" s="139"/>
      <c r="EB68" s="139"/>
      <c r="EC68" s="139"/>
      <c r="ED68" s="139"/>
      <c r="EE68" s="139"/>
      <c r="EF68" s="139"/>
      <c r="EG68" s="139"/>
      <c r="EH68" s="139"/>
      <c r="EI68" s="139"/>
      <c r="EJ68" s="139"/>
      <c r="EK68" s="139"/>
      <c r="EL68" s="139"/>
      <c r="EM68" s="139"/>
      <c r="EN68" s="139"/>
      <c r="EO68" s="139"/>
      <c r="EP68" s="139"/>
      <c r="EQ68" s="139"/>
      <c r="ER68" s="139"/>
      <c r="ES68" s="139"/>
      <c r="ET68" s="139"/>
      <c r="EU68" s="139"/>
      <c r="EV68" s="139"/>
      <c r="EW68" s="139"/>
      <c r="EX68" s="139"/>
      <c r="EY68" s="139"/>
      <c r="EZ68" s="139"/>
      <c r="FA68" s="139"/>
      <c r="FB68" s="139"/>
      <c r="FC68" s="139"/>
      <c r="FD68" s="139"/>
      <c r="FE68" s="139"/>
      <c r="FF68" s="139"/>
      <c r="FG68" s="139"/>
      <c r="FH68" s="139"/>
      <c r="FI68" s="139"/>
      <c r="FJ68" s="139"/>
      <c r="FK68" s="139"/>
      <c r="FL68" s="139"/>
      <c r="FM68" s="139"/>
      <c r="FN68" s="139"/>
      <c r="FO68" s="139"/>
      <c r="FP68" s="139"/>
      <c r="FQ68" s="139"/>
      <c r="FR68" s="139"/>
      <c r="FS68" s="139"/>
      <c r="FT68" s="139"/>
      <c r="FU68" s="139"/>
      <c r="FV68" s="139"/>
      <c r="FW68" s="139"/>
      <c r="FX68" s="139"/>
      <c r="FY68" s="139"/>
      <c r="FZ68" s="139"/>
      <c r="GA68" s="139"/>
      <c r="GB68" s="139"/>
      <c r="GC68" s="139"/>
      <c r="GD68" s="139"/>
      <c r="GE68" s="139"/>
      <c r="GF68" s="139"/>
      <c r="GG68" s="139"/>
      <c r="GH68" s="139"/>
      <c r="GI68" s="139"/>
      <c r="GJ68" s="139"/>
      <c r="GK68" s="139"/>
      <c r="GL68" s="139"/>
      <c r="GM68" s="139"/>
      <c r="GN68" s="139"/>
      <c r="GO68" s="139"/>
      <c r="GP68" s="139"/>
      <c r="GQ68" s="139"/>
      <c r="GR68" s="139"/>
      <c r="GS68" s="139"/>
      <c r="GT68" s="139"/>
      <c r="GU68" s="139"/>
      <c r="GV68" s="139"/>
      <c r="GW68" s="139"/>
      <c r="GX68" s="139"/>
      <c r="GY68" s="139"/>
      <c r="GZ68" s="139"/>
      <c r="HA68" s="139"/>
      <c r="HB68" s="139"/>
      <c r="HC68" s="139"/>
      <c r="HD68" s="139"/>
      <c r="HE68" s="139"/>
      <c r="HF68" s="139"/>
      <c r="HG68" s="139"/>
      <c r="HH68" s="139"/>
      <c r="HI68" s="139"/>
      <c r="HJ68" s="139"/>
      <c r="HK68" s="139"/>
      <c r="HL68" s="139"/>
      <c r="HM68" s="139"/>
      <c r="HN68" s="139"/>
      <c r="HO68" s="139"/>
      <c r="HP68" s="139"/>
      <c r="HQ68" s="139"/>
      <c r="HR68" s="139"/>
      <c r="HS68" s="139"/>
      <c r="HT68" s="139"/>
      <c r="HU68" s="139"/>
      <c r="HV68" s="139"/>
      <c r="HW68" s="139"/>
      <c r="HX68" s="139"/>
      <c r="HY68" s="139"/>
      <c r="HZ68" s="139"/>
      <c r="IA68" s="139"/>
      <c r="IB68" s="139"/>
      <c r="IC68" s="139"/>
      <c r="ID68" s="139"/>
      <c r="IE68" s="139"/>
      <c r="IF68" s="139"/>
      <c r="IG68" s="139"/>
      <c r="IH68" s="139"/>
      <c r="II68" s="139"/>
      <c r="IJ68" s="139"/>
      <c r="IK68" s="139"/>
      <c r="IL68" s="139"/>
      <c r="IM68" s="139"/>
      <c r="IN68" s="139"/>
      <c r="IO68" s="139"/>
      <c r="IP68" s="139"/>
      <c r="IQ68" s="139"/>
      <c r="IR68" s="139"/>
      <c r="IS68" s="139"/>
      <c r="IT68" s="139"/>
      <c r="IU68" s="139"/>
      <c r="IV68" s="139"/>
    </row>
    <row r="69" spans="1:256" x14ac:dyDescent="0.25">
      <c r="A69" s="118" t="str">
        <f t="shared" si="0"/>
        <v>22GALV PRFF</v>
      </c>
      <c r="B69" s="136"/>
      <c r="C69" s="137"/>
      <c r="D69" s="121" t="s">
        <v>931</v>
      </c>
      <c r="E69" s="169">
        <v>22</v>
      </c>
      <c r="F69" s="130" t="s">
        <v>741</v>
      </c>
      <c r="G69" s="130" t="s">
        <v>741</v>
      </c>
      <c r="H69" s="131">
        <v>2.802E-2</v>
      </c>
      <c r="I69" s="130" t="s">
        <v>704</v>
      </c>
      <c r="J69" s="123" t="s">
        <v>705</v>
      </c>
      <c r="K69" s="123" t="s">
        <v>961</v>
      </c>
      <c r="L69" s="122" t="s">
        <v>962</v>
      </c>
      <c r="M69" s="123" t="s">
        <v>708</v>
      </c>
      <c r="N69" s="118" t="s">
        <v>935</v>
      </c>
      <c r="O69" s="123" t="s">
        <v>722</v>
      </c>
      <c r="P69" s="123" t="s">
        <v>711</v>
      </c>
      <c r="Q69" s="130" t="s">
        <v>963</v>
      </c>
      <c r="R69" s="132" t="s">
        <v>964</v>
      </c>
      <c r="S69" s="123" t="s">
        <v>714</v>
      </c>
      <c r="T69" s="123" t="s">
        <v>954</v>
      </c>
      <c r="U69" s="138"/>
      <c r="V69" s="139"/>
      <c r="W69" s="139"/>
      <c r="X69" s="139"/>
      <c r="Y69" s="139"/>
      <c r="Z69" s="139"/>
      <c r="AA69" s="139"/>
      <c r="AB69" s="139"/>
      <c r="AC69" s="139"/>
      <c r="AD69" s="139"/>
      <c r="AE69" s="139"/>
      <c r="AF69" s="139"/>
      <c r="AG69" s="139"/>
      <c r="AH69" s="139"/>
      <c r="AI69" s="139"/>
      <c r="AJ69" s="139"/>
      <c r="AK69" s="139"/>
      <c r="AL69" s="139"/>
      <c r="AM69" s="139"/>
      <c r="AN69" s="139"/>
      <c r="AO69" s="139"/>
      <c r="AP69" s="139"/>
      <c r="AQ69" s="139"/>
      <c r="AR69" s="139"/>
      <c r="AS69" s="139"/>
      <c r="AT69" s="139"/>
      <c r="AU69" s="139"/>
      <c r="AV69" s="139"/>
      <c r="AW69" s="139"/>
      <c r="AX69" s="139"/>
      <c r="AY69" s="139"/>
      <c r="AZ69" s="139"/>
      <c r="BA69" s="139"/>
      <c r="BB69" s="139"/>
      <c r="BC69" s="139"/>
      <c r="BD69" s="139"/>
      <c r="BE69" s="139"/>
      <c r="BF69" s="139"/>
      <c r="BG69" s="139"/>
      <c r="BH69" s="139"/>
      <c r="BI69" s="139"/>
      <c r="BJ69" s="139"/>
      <c r="BK69" s="139"/>
      <c r="BL69" s="139"/>
      <c r="BM69" s="139"/>
      <c r="BN69" s="139"/>
      <c r="BO69" s="139"/>
      <c r="BP69" s="139"/>
      <c r="BQ69" s="139"/>
      <c r="BR69" s="139"/>
      <c r="BS69" s="139"/>
      <c r="BT69" s="139"/>
      <c r="BU69" s="139"/>
      <c r="BV69" s="139"/>
      <c r="BW69" s="139"/>
      <c r="BX69" s="139"/>
      <c r="BY69" s="139"/>
      <c r="BZ69" s="139"/>
      <c r="CA69" s="139"/>
      <c r="CB69" s="139"/>
      <c r="CC69" s="139"/>
      <c r="CD69" s="139"/>
      <c r="CE69" s="139"/>
      <c r="CF69" s="139"/>
      <c r="CG69" s="139"/>
      <c r="CH69" s="139"/>
      <c r="CI69" s="139"/>
      <c r="CJ69" s="139"/>
      <c r="CK69" s="139"/>
      <c r="CL69" s="139"/>
      <c r="CM69" s="139"/>
      <c r="CN69" s="139"/>
      <c r="CO69" s="139"/>
      <c r="CP69" s="139"/>
      <c r="CQ69" s="139"/>
      <c r="CR69" s="139"/>
      <c r="CS69" s="139"/>
      <c r="CT69" s="139"/>
      <c r="CU69" s="139"/>
      <c r="CV69" s="139"/>
      <c r="CW69" s="139"/>
      <c r="CX69" s="139"/>
      <c r="CY69" s="139"/>
      <c r="CZ69" s="139"/>
      <c r="DA69" s="139"/>
      <c r="DB69" s="139"/>
      <c r="DC69" s="139"/>
      <c r="DD69" s="139"/>
      <c r="DE69" s="139"/>
      <c r="DF69" s="139"/>
      <c r="DG69" s="139"/>
      <c r="DH69" s="139"/>
      <c r="DI69" s="139"/>
      <c r="DJ69" s="139"/>
      <c r="DK69" s="139"/>
      <c r="DL69" s="139"/>
      <c r="DM69" s="139"/>
      <c r="DN69" s="139"/>
      <c r="DO69" s="139"/>
      <c r="DP69" s="139"/>
      <c r="DQ69" s="139"/>
      <c r="DR69" s="139"/>
      <c r="DS69" s="139"/>
      <c r="DT69" s="139"/>
      <c r="DU69" s="139"/>
      <c r="DV69" s="139"/>
      <c r="DW69" s="139"/>
      <c r="DX69" s="139"/>
      <c r="DY69" s="139"/>
      <c r="DZ69" s="139"/>
      <c r="EA69" s="139"/>
      <c r="EB69" s="139"/>
      <c r="EC69" s="139"/>
      <c r="ED69" s="139"/>
      <c r="EE69" s="139"/>
      <c r="EF69" s="139"/>
      <c r="EG69" s="139"/>
      <c r="EH69" s="139"/>
      <c r="EI69" s="139"/>
      <c r="EJ69" s="139"/>
      <c r="EK69" s="139"/>
      <c r="EL69" s="139"/>
      <c r="EM69" s="139"/>
      <c r="EN69" s="139"/>
      <c r="EO69" s="139"/>
      <c r="EP69" s="139"/>
      <c r="EQ69" s="139"/>
      <c r="ER69" s="139"/>
      <c r="ES69" s="139"/>
      <c r="ET69" s="139"/>
      <c r="EU69" s="139"/>
      <c r="EV69" s="139"/>
      <c r="EW69" s="139"/>
      <c r="EX69" s="139"/>
      <c r="EY69" s="139"/>
      <c r="EZ69" s="139"/>
      <c r="FA69" s="139"/>
      <c r="FB69" s="139"/>
      <c r="FC69" s="139"/>
      <c r="FD69" s="139"/>
      <c r="FE69" s="139"/>
      <c r="FF69" s="139"/>
      <c r="FG69" s="139"/>
      <c r="FH69" s="139"/>
      <c r="FI69" s="139"/>
      <c r="FJ69" s="139"/>
      <c r="FK69" s="139"/>
      <c r="FL69" s="139"/>
      <c r="FM69" s="139"/>
      <c r="FN69" s="139"/>
      <c r="FO69" s="139"/>
      <c r="FP69" s="139"/>
      <c r="FQ69" s="139"/>
      <c r="FR69" s="139"/>
      <c r="FS69" s="139"/>
      <c r="FT69" s="139"/>
      <c r="FU69" s="139"/>
      <c r="FV69" s="139"/>
      <c r="FW69" s="139"/>
      <c r="FX69" s="139"/>
      <c r="FY69" s="139"/>
      <c r="FZ69" s="139"/>
      <c r="GA69" s="139"/>
      <c r="GB69" s="139"/>
      <c r="GC69" s="139"/>
      <c r="GD69" s="139"/>
      <c r="GE69" s="139"/>
      <c r="GF69" s="139"/>
      <c r="GG69" s="139"/>
      <c r="GH69" s="139"/>
      <c r="GI69" s="139"/>
      <c r="GJ69" s="139"/>
      <c r="GK69" s="139"/>
      <c r="GL69" s="139"/>
      <c r="GM69" s="139"/>
      <c r="GN69" s="139"/>
      <c r="GO69" s="139"/>
      <c r="GP69" s="139"/>
      <c r="GQ69" s="139"/>
      <c r="GR69" s="139"/>
      <c r="GS69" s="139"/>
      <c r="GT69" s="139"/>
      <c r="GU69" s="139"/>
      <c r="GV69" s="139"/>
      <c r="GW69" s="139"/>
      <c r="GX69" s="139"/>
      <c r="GY69" s="139"/>
      <c r="GZ69" s="139"/>
      <c r="HA69" s="139"/>
      <c r="HB69" s="139"/>
      <c r="HC69" s="139"/>
      <c r="HD69" s="139"/>
      <c r="HE69" s="139"/>
      <c r="HF69" s="139"/>
      <c r="HG69" s="139"/>
      <c r="HH69" s="139"/>
      <c r="HI69" s="139"/>
      <c r="HJ69" s="139"/>
      <c r="HK69" s="139"/>
      <c r="HL69" s="139"/>
      <c r="HM69" s="139"/>
      <c r="HN69" s="139"/>
      <c r="HO69" s="139"/>
      <c r="HP69" s="139"/>
      <c r="HQ69" s="139"/>
      <c r="HR69" s="139"/>
      <c r="HS69" s="139"/>
      <c r="HT69" s="139"/>
      <c r="HU69" s="139"/>
      <c r="HV69" s="139"/>
      <c r="HW69" s="139"/>
      <c r="HX69" s="139"/>
      <c r="HY69" s="139"/>
      <c r="HZ69" s="139"/>
      <c r="IA69" s="139"/>
      <c r="IB69" s="139"/>
      <c r="IC69" s="139"/>
      <c r="ID69" s="139"/>
      <c r="IE69" s="139"/>
      <c r="IF69" s="139"/>
      <c r="IG69" s="139"/>
      <c r="IH69" s="139"/>
      <c r="II69" s="139"/>
      <c r="IJ69" s="139"/>
      <c r="IK69" s="139"/>
      <c r="IL69" s="139"/>
      <c r="IM69" s="139"/>
      <c r="IN69" s="139"/>
      <c r="IO69" s="139"/>
      <c r="IP69" s="139"/>
      <c r="IQ69" s="139"/>
      <c r="IR69" s="139"/>
      <c r="IS69" s="139"/>
      <c r="IT69" s="139"/>
      <c r="IU69" s="139"/>
      <c r="IV69" s="139"/>
    </row>
    <row r="70" spans="1:256" x14ac:dyDescent="0.25">
      <c r="A70" s="118" t="str">
        <f t="shared" si="0"/>
        <v>18GALV PRFH</v>
      </c>
      <c r="B70" s="136"/>
      <c r="C70" s="137"/>
      <c r="D70" s="121" t="s">
        <v>931</v>
      </c>
      <c r="E70" s="121" t="s">
        <v>834</v>
      </c>
      <c r="F70" s="130" t="s">
        <v>732</v>
      </c>
      <c r="G70" s="130" t="s">
        <v>732</v>
      </c>
      <c r="H70" s="131">
        <v>4.3999999999999997E-2</v>
      </c>
      <c r="I70" s="130" t="s">
        <v>716</v>
      </c>
      <c r="J70" s="123" t="s">
        <v>705</v>
      </c>
      <c r="K70" s="123" t="s">
        <v>965</v>
      </c>
      <c r="L70" s="122" t="s">
        <v>966</v>
      </c>
      <c r="M70" s="123" t="s">
        <v>708</v>
      </c>
      <c r="N70" s="118" t="s">
        <v>935</v>
      </c>
      <c r="O70" s="123" t="s">
        <v>823</v>
      </c>
      <c r="P70" s="123" t="s">
        <v>711</v>
      </c>
      <c r="Q70" s="130" t="s">
        <v>967</v>
      </c>
      <c r="R70" s="130" t="s">
        <v>968</v>
      </c>
      <c r="S70" s="123" t="s">
        <v>969</v>
      </c>
      <c r="T70" s="123" t="s">
        <v>970</v>
      </c>
      <c r="U70" s="138"/>
      <c r="V70" s="139"/>
      <c r="W70" s="139"/>
      <c r="X70" s="139"/>
      <c r="Y70" s="139"/>
      <c r="Z70" s="139"/>
      <c r="AA70" s="139"/>
      <c r="AB70" s="139"/>
      <c r="AC70" s="139"/>
      <c r="AD70" s="139"/>
      <c r="AE70" s="139"/>
      <c r="AF70" s="139"/>
      <c r="AG70" s="139"/>
      <c r="AH70" s="139"/>
      <c r="AI70" s="139"/>
      <c r="AJ70" s="139"/>
      <c r="AK70" s="139"/>
      <c r="AL70" s="139"/>
      <c r="AM70" s="139"/>
      <c r="AN70" s="139"/>
      <c r="AO70" s="139"/>
      <c r="AP70" s="139"/>
      <c r="AQ70" s="139"/>
      <c r="AR70" s="139"/>
      <c r="AS70" s="139"/>
      <c r="AT70" s="139"/>
      <c r="AU70" s="139"/>
      <c r="AV70" s="139"/>
      <c r="AW70" s="139"/>
      <c r="AX70" s="139"/>
      <c r="AY70" s="139"/>
      <c r="AZ70" s="139"/>
      <c r="BA70" s="139"/>
      <c r="BB70" s="139"/>
      <c r="BC70" s="139"/>
      <c r="BD70" s="139"/>
      <c r="BE70" s="139"/>
      <c r="BF70" s="139"/>
      <c r="BG70" s="139"/>
      <c r="BH70" s="139"/>
      <c r="BI70" s="139"/>
      <c r="BJ70" s="139"/>
      <c r="BK70" s="139"/>
      <c r="BL70" s="139"/>
      <c r="BM70" s="139"/>
      <c r="BN70" s="139"/>
      <c r="BO70" s="139"/>
      <c r="BP70" s="139"/>
      <c r="BQ70" s="139"/>
      <c r="BR70" s="139"/>
      <c r="BS70" s="139"/>
      <c r="BT70" s="139"/>
      <c r="BU70" s="139"/>
      <c r="BV70" s="139"/>
      <c r="BW70" s="139"/>
      <c r="BX70" s="139"/>
      <c r="BY70" s="139"/>
      <c r="BZ70" s="139"/>
      <c r="CA70" s="139"/>
      <c r="CB70" s="139"/>
      <c r="CC70" s="139"/>
      <c r="CD70" s="139"/>
      <c r="CE70" s="139"/>
      <c r="CF70" s="139"/>
      <c r="CG70" s="139"/>
      <c r="CH70" s="139"/>
      <c r="CI70" s="139"/>
      <c r="CJ70" s="139"/>
      <c r="CK70" s="139"/>
      <c r="CL70" s="139"/>
      <c r="CM70" s="139"/>
      <c r="CN70" s="139"/>
      <c r="CO70" s="139"/>
      <c r="CP70" s="139"/>
      <c r="CQ70" s="139"/>
      <c r="CR70" s="139"/>
      <c r="CS70" s="139"/>
      <c r="CT70" s="139"/>
      <c r="CU70" s="139"/>
      <c r="CV70" s="139"/>
      <c r="CW70" s="139"/>
      <c r="CX70" s="139"/>
      <c r="CY70" s="139"/>
      <c r="CZ70" s="139"/>
      <c r="DA70" s="139"/>
      <c r="DB70" s="139"/>
      <c r="DC70" s="139"/>
      <c r="DD70" s="139"/>
      <c r="DE70" s="139"/>
      <c r="DF70" s="139"/>
      <c r="DG70" s="139"/>
      <c r="DH70" s="139"/>
      <c r="DI70" s="139"/>
      <c r="DJ70" s="139"/>
      <c r="DK70" s="139"/>
      <c r="DL70" s="139"/>
      <c r="DM70" s="139"/>
      <c r="DN70" s="139"/>
      <c r="DO70" s="139"/>
      <c r="DP70" s="139"/>
      <c r="DQ70" s="139"/>
      <c r="DR70" s="139"/>
      <c r="DS70" s="139"/>
      <c r="DT70" s="139"/>
      <c r="DU70" s="139"/>
      <c r="DV70" s="139"/>
      <c r="DW70" s="139"/>
      <c r="DX70" s="139"/>
      <c r="DY70" s="139"/>
      <c r="DZ70" s="139"/>
      <c r="EA70" s="139"/>
      <c r="EB70" s="139"/>
      <c r="EC70" s="139"/>
      <c r="ED70" s="139"/>
      <c r="EE70" s="139"/>
      <c r="EF70" s="139"/>
      <c r="EG70" s="139"/>
      <c r="EH70" s="139"/>
      <c r="EI70" s="139"/>
      <c r="EJ70" s="139"/>
      <c r="EK70" s="139"/>
      <c r="EL70" s="139"/>
      <c r="EM70" s="139"/>
      <c r="EN70" s="139"/>
      <c r="EO70" s="139"/>
      <c r="EP70" s="139"/>
      <c r="EQ70" s="139"/>
      <c r="ER70" s="139"/>
      <c r="ES70" s="139"/>
      <c r="ET70" s="139"/>
      <c r="EU70" s="139"/>
      <c r="EV70" s="139"/>
      <c r="EW70" s="139"/>
      <c r="EX70" s="139"/>
      <c r="EY70" s="139"/>
      <c r="EZ70" s="139"/>
      <c r="FA70" s="139"/>
      <c r="FB70" s="139"/>
      <c r="FC70" s="139"/>
      <c r="FD70" s="139"/>
      <c r="FE70" s="139"/>
      <c r="FF70" s="139"/>
      <c r="FG70" s="139"/>
      <c r="FH70" s="139"/>
      <c r="FI70" s="139"/>
      <c r="FJ70" s="139"/>
      <c r="FK70" s="139"/>
      <c r="FL70" s="139"/>
      <c r="FM70" s="139"/>
      <c r="FN70" s="139"/>
      <c r="FO70" s="139"/>
      <c r="FP70" s="139"/>
      <c r="FQ70" s="139"/>
      <c r="FR70" s="139"/>
      <c r="FS70" s="139"/>
      <c r="FT70" s="139"/>
      <c r="FU70" s="139"/>
      <c r="FV70" s="139"/>
      <c r="FW70" s="139"/>
      <c r="FX70" s="139"/>
      <c r="FY70" s="139"/>
      <c r="FZ70" s="139"/>
      <c r="GA70" s="139"/>
      <c r="GB70" s="139"/>
      <c r="GC70" s="139"/>
      <c r="GD70" s="139"/>
      <c r="GE70" s="139"/>
      <c r="GF70" s="139"/>
      <c r="GG70" s="139"/>
      <c r="GH70" s="139"/>
      <c r="GI70" s="139"/>
      <c r="GJ70" s="139"/>
      <c r="GK70" s="139"/>
      <c r="GL70" s="139"/>
      <c r="GM70" s="139"/>
      <c r="GN70" s="139"/>
      <c r="GO70" s="139"/>
      <c r="GP70" s="139"/>
      <c r="GQ70" s="139"/>
      <c r="GR70" s="139"/>
      <c r="GS70" s="139"/>
      <c r="GT70" s="139"/>
      <c r="GU70" s="139"/>
      <c r="GV70" s="139"/>
      <c r="GW70" s="139"/>
      <c r="GX70" s="139"/>
      <c r="GY70" s="139"/>
      <c r="GZ70" s="139"/>
      <c r="HA70" s="139"/>
      <c r="HB70" s="139"/>
      <c r="HC70" s="139"/>
      <c r="HD70" s="139"/>
      <c r="HE70" s="139"/>
      <c r="HF70" s="139"/>
      <c r="HG70" s="139"/>
      <c r="HH70" s="139"/>
      <c r="HI70" s="139"/>
      <c r="HJ70" s="139"/>
      <c r="HK70" s="139"/>
      <c r="HL70" s="139"/>
      <c r="HM70" s="139"/>
      <c r="HN70" s="139"/>
      <c r="HO70" s="139"/>
      <c r="HP70" s="139"/>
      <c r="HQ70" s="139"/>
      <c r="HR70" s="139"/>
      <c r="HS70" s="139"/>
      <c r="HT70" s="139"/>
      <c r="HU70" s="139"/>
      <c r="HV70" s="139"/>
      <c r="HW70" s="139"/>
      <c r="HX70" s="139"/>
      <c r="HY70" s="139"/>
      <c r="HZ70" s="139"/>
      <c r="IA70" s="139"/>
      <c r="IB70" s="139"/>
      <c r="IC70" s="139"/>
      <c r="ID70" s="139"/>
      <c r="IE70" s="139"/>
      <c r="IF70" s="139"/>
      <c r="IG70" s="139"/>
      <c r="IH70" s="139"/>
      <c r="II70" s="139"/>
      <c r="IJ70" s="139"/>
      <c r="IK70" s="139"/>
      <c r="IL70" s="139"/>
      <c r="IM70" s="139"/>
      <c r="IN70" s="139"/>
      <c r="IO70" s="139"/>
      <c r="IP70" s="139"/>
      <c r="IQ70" s="139"/>
      <c r="IR70" s="139"/>
      <c r="IS70" s="139"/>
      <c r="IT70" s="139"/>
      <c r="IU70" s="139"/>
      <c r="IV70" s="139"/>
    </row>
    <row r="71" spans="1:256" x14ac:dyDescent="0.25">
      <c r="A71" s="118" t="str">
        <f t="shared" si="0"/>
        <v>18ALM PRF</v>
      </c>
      <c r="B71" s="136"/>
      <c r="C71" s="137"/>
      <c r="D71" s="121" t="s">
        <v>971</v>
      </c>
      <c r="E71" s="121">
        <v>18</v>
      </c>
      <c r="F71" s="130" t="s">
        <v>835</v>
      </c>
      <c r="G71" s="130" t="s">
        <v>835</v>
      </c>
      <c r="H71" s="131">
        <v>5.0009999999999999E-2</v>
      </c>
      <c r="I71" s="130" t="s">
        <v>704</v>
      </c>
      <c r="J71" s="123" t="s">
        <v>716</v>
      </c>
      <c r="K71" s="123" t="s">
        <v>972</v>
      </c>
      <c r="L71" s="122" t="s">
        <v>973</v>
      </c>
      <c r="M71" s="123" t="s">
        <v>136</v>
      </c>
      <c r="N71" s="118" t="s">
        <v>974</v>
      </c>
      <c r="O71" s="123" t="s">
        <v>722</v>
      </c>
      <c r="P71" s="123" t="s">
        <v>711</v>
      </c>
      <c r="Q71" s="130" t="s">
        <v>975</v>
      </c>
      <c r="R71" s="132" t="s">
        <v>976</v>
      </c>
      <c r="S71" s="123" t="s">
        <v>977</v>
      </c>
      <c r="T71" s="123" t="s">
        <v>978</v>
      </c>
      <c r="U71" s="138"/>
      <c r="V71" s="139"/>
      <c r="W71" s="139"/>
      <c r="X71" s="139"/>
      <c r="Y71" s="139"/>
      <c r="Z71" s="139"/>
      <c r="AA71" s="139"/>
      <c r="AB71" s="139"/>
      <c r="AC71" s="139"/>
      <c r="AD71" s="139"/>
      <c r="AE71" s="139"/>
      <c r="AF71" s="139"/>
      <c r="AG71" s="139"/>
      <c r="AH71" s="139"/>
      <c r="AI71" s="139"/>
      <c r="AJ71" s="139"/>
      <c r="AK71" s="139"/>
      <c r="AL71" s="139"/>
      <c r="AM71" s="139"/>
      <c r="AN71" s="139"/>
      <c r="AO71" s="139"/>
      <c r="AP71" s="139"/>
      <c r="AQ71" s="139"/>
      <c r="AR71" s="139"/>
      <c r="AS71" s="139"/>
      <c r="AT71" s="139"/>
      <c r="AU71" s="139"/>
      <c r="AV71" s="139"/>
      <c r="AW71" s="139"/>
      <c r="AX71" s="139"/>
      <c r="AY71" s="139"/>
      <c r="AZ71" s="139"/>
      <c r="BA71" s="139"/>
      <c r="BB71" s="139"/>
      <c r="BC71" s="139"/>
      <c r="BD71" s="139"/>
      <c r="BE71" s="139"/>
      <c r="BF71" s="139"/>
      <c r="BG71" s="139"/>
      <c r="BH71" s="139"/>
      <c r="BI71" s="139"/>
      <c r="BJ71" s="139"/>
      <c r="BK71" s="139"/>
      <c r="BL71" s="139"/>
      <c r="BM71" s="139"/>
      <c r="BN71" s="139"/>
      <c r="BO71" s="139"/>
      <c r="BP71" s="139"/>
      <c r="BQ71" s="139"/>
      <c r="BR71" s="139"/>
      <c r="BS71" s="139"/>
      <c r="BT71" s="139"/>
      <c r="BU71" s="139"/>
      <c r="BV71" s="139"/>
      <c r="BW71" s="139"/>
      <c r="BX71" s="139"/>
      <c r="BY71" s="139"/>
      <c r="BZ71" s="139"/>
      <c r="CA71" s="139"/>
      <c r="CB71" s="139"/>
      <c r="CC71" s="139"/>
      <c r="CD71" s="139"/>
      <c r="CE71" s="139"/>
      <c r="CF71" s="139"/>
      <c r="CG71" s="139"/>
      <c r="CH71" s="139"/>
      <c r="CI71" s="139"/>
      <c r="CJ71" s="139"/>
      <c r="CK71" s="139"/>
      <c r="CL71" s="139"/>
      <c r="CM71" s="139"/>
      <c r="CN71" s="139"/>
      <c r="CO71" s="139"/>
      <c r="CP71" s="139"/>
      <c r="CQ71" s="139"/>
      <c r="CR71" s="139"/>
      <c r="CS71" s="139"/>
      <c r="CT71" s="139"/>
      <c r="CU71" s="139"/>
      <c r="CV71" s="139"/>
      <c r="CW71" s="139"/>
      <c r="CX71" s="139"/>
      <c r="CY71" s="139"/>
      <c r="CZ71" s="139"/>
      <c r="DA71" s="139"/>
      <c r="DB71" s="139"/>
      <c r="DC71" s="139"/>
      <c r="DD71" s="139"/>
      <c r="DE71" s="139"/>
      <c r="DF71" s="139"/>
      <c r="DG71" s="139"/>
      <c r="DH71" s="139"/>
      <c r="DI71" s="139"/>
      <c r="DJ71" s="139"/>
      <c r="DK71" s="139"/>
      <c r="DL71" s="139"/>
      <c r="DM71" s="139"/>
      <c r="DN71" s="139"/>
      <c r="DO71" s="139"/>
      <c r="DP71" s="139"/>
      <c r="DQ71" s="139"/>
      <c r="DR71" s="139"/>
      <c r="DS71" s="139"/>
      <c r="DT71" s="139"/>
      <c r="DU71" s="139"/>
      <c r="DV71" s="139"/>
      <c r="DW71" s="139"/>
      <c r="DX71" s="139"/>
      <c r="DY71" s="139"/>
      <c r="DZ71" s="139"/>
      <c r="EA71" s="139"/>
      <c r="EB71" s="139"/>
      <c r="EC71" s="139"/>
      <c r="ED71" s="139"/>
      <c r="EE71" s="139"/>
      <c r="EF71" s="139"/>
      <c r="EG71" s="139"/>
      <c r="EH71" s="139"/>
      <c r="EI71" s="139"/>
      <c r="EJ71" s="139"/>
      <c r="EK71" s="139"/>
      <c r="EL71" s="139"/>
      <c r="EM71" s="139"/>
      <c r="EN71" s="139"/>
      <c r="EO71" s="139"/>
      <c r="EP71" s="139"/>
      <c r="EQ71" s="139"/>
      <c r="ER71" s="139"/>
      <c r="ES71" s="139"/>
      <c r="ET71" s="139"/>
      <c r="EU71" s="139"/>
      <c r="EV71" s="139"/>
      <c r="EW71" s="139"/>
      <c r="EX71" s="139"/>
      <c r="EY71" s="139"/>
      <c r="EZ71" s="139"/>
      <c r="FA71" s="139"/>
      <c r="FB71" s="139"/>
      <c r="FC71" s="139"/>
      <c r="FD71" s="139"/>
      <c r="FE71" s="139"/>
      <c r="FF71" s="139"/>
      <c r="FG71" s="139"/>
      <c r="FH71" s="139"/>
      <c r="FI71" s="139"/>
      <c r="FJ71" s="139"/>
      <c r="FK71" s="139"/>
      <c r="FL71" s="139"/>
      <c r="FM71" s="139"/>
      <c r="FN71" s="139"/>
      <c r="FO71" s="139"/>
      <c r="FP71" s="139"/>
      <c r="FQ71" s="139"/>
      <c r="FR71" s="139"/>
      <c r="FS71" s="139"/>
      <c r="FT71" s="139"/>
      <c r="FU71" s="139"/>
      <c r="FV71" s="139"/>
      <c r="FW71" s="139"/>
      <c r="FX71" s="139"/>
      <c r="FY71" s="139"/>
      <c r="FZ71" s="139"/>
      <c r="GA71" s="139"/>
      <c r="GB71" s="139"/>
      <c r="GC71" s="139"/>
      <c r="GD71" s="139"/>
      <c r="GE71" s="139"/>
      <c r="GF71" s="139"/>
      <c r="GG71" s="139"/>
      <c r="GH71" s="139"/>
      <c r="GI71" s="139"/>
      <c r="GJ71" s="139"/>
      <c r="GK71" s="139"/>
      <c r="GL71" s="139"/>
      <c r="GM71" s="139"/>
      <c r="GN71" s="139"/>
      <c r="GO71" s="139"/>
      <c r="GP71" s="139"/>
      <c r="GQ71" s="139"/>
      <c r="GR71" s="139"/>
      <c r="GS71" s="139"/>
      <c r="GT71" s="139"/>
      <c r="GU71" s="139"/>
      <c r="GV71" s="139"/>
      <c r="GW71" s="139"/>
      <c r="GX71" s="139"/>
      <c r="GY71" s="139"/>
      <c r="GZ71" s="139"/>
      <c r="HA71" s="139"/>
      <c r="HB71" s="139"/>
      <c r="HC71" s="139"/>
      <c r="HD71" s="139"/>
      <c r="HE71" s="139"/>
      <c r="HF71" s="139"/>
      <c r="HG71" s="139"/>
      <c r="HH71" s="139"/>
      <c r="HI71" s="139"/>
      <c r="HJ71" s="139"/>
      <c r="HK71" s="139"/>
      <c r="HL71" s="139"/>
      <c r="HM71" s="139"/>
      <c r="HN71" s="139"/>
      <c r="HO71" s="139"/>
      <c r="HP71" s="139"/>
      <c r="HQ71" s="139"/>
      <c r="HR71" s="139"/>
      <c r="HS71" s="139"/>
      <c r="HT71" s="139"/>
      <c r="HU71" s="139"/>
      <c r="HV71" s="139"/>
      <c r="HW71" s="139"/>
      <c r="HX71" s="139"/>
      <c r="HY71" s="139"/>
      <c r="HZ71" s="139"/>
      <c r="IA71" s="139"/>
      <c r="IB71" s="139"/>
      <c r="IC71" s="139"/>
      <c r="ID71" s="139"/>
      <c r="IE71" s="139"/>
      <c r="IF71" s="139"/>
      <c r="IG71" s="139"/>
      <c r="IH71" s="139"/>
      <c r="II71" s="139"/>
      <c r="IJ71" s="139"/>
      <c r="IK71" s="139"/>
      <c r="IL71" s="139"/>
      <c r="IM71" s="139"/>
      <c r="IN71" s="139"/>
      <c r="IO71" s="139"/>
      <c r="IP71" s="139"/>
      <c r="IQ71" s="139"/>
      <c r="IR71" s="139"/>
      <c r="IS71" s="139"/>
      <c r="IT71" s="139"/>
      <c r="IU71" s="139"/>
      <c r="IV71" s="139"/>
    </row>
    <row r="72" spans="1:256" x14ac:dyDescent="0.25">
      <c r="A72" s="118" t="str">
        <f t="shared" si="0"/>
        <v>18ALM PRFA</v>
      </c>
      <c r="B72" s="136"/>
      <c r="C72" s="137"/>
      <c r="D72" s="121" t="s">
        <v>971</v>
      </c>
      <c r="E72" s="121" t="s">
        <v>834</v>
      </c>
      <c r="F72" s="130" t="s">
        <v>835</v>
      </c>
      <c r="G72" s="130" t="s">
        <v>835</v>
      </c>
      <c r="H72" s="131">
        <v>5.0020000000000002E-2</v>
      </c>
      <c r="I72" s="130" t="s">
        <v>716</v>
      </c>
      <c r="J72" s="123" t="s">
        <v>705</v>
      </c>
      <c r="K72" s="123" t="s">
        <v>979</v>
      </c>
      <c r="L72" s="122" t="s">
        <v>980</v>
      </c>
      <c r="M72" s="123" t="s">
        <v>136</v>
      </c>
      <c r="N72" s="118" t="s">
        <v>716</v>
      </c>
      <c r="O72" s="123" t="s">
        <v>831</v>
      </c>
      <c r="P72" s="123" t="s">
        <v>711</v>
      </c>
      <c r="Q72" s="130" t="s">
        <v>981</v>
      </c>
      <c r="R72" s="130" t="s">
        <v>982</v>
      </c>
      <c r="S72" s="123" t="s">
        <v>714</v>
      </c>
      <c r="T72" s="123" t="s">
        <v>954</v>
      </c>
      <c r="U72" s="138"/>
      <c r="V72" s="139"/>
      <c r="W72" s="139"/>
      <c r="X72" s="139"/>
      <c r="Y72" s="139"/>
      <c r="Z72" s="139"/>
      <c r="AA72" s="139"/>
      <c r="AB72" s="139"/>
      <c r="AC72" s="139"/>
      <c r="AD72" s="139"/>
      <c r="AE72" s="139"/>
      <c r="AF72" s="139"/>
      <c r="AG72" s="139"/>
      <c r="AH72" s="139"/>
      <c r="AI72" s="139"/>
      <c r="AJ72" s="139"/>
      <c r="AK72" s="139"/>
      <c r="AL72" s="139"/>
      <c r="AM72" s="139"/>
      <c r="AN72" s="139"/>
      <c r="AO72" s="139"/>
      <c r="AP72" s="139"/>
      <c r="AQ72" s="139"/>
      <c r="AR72" s="139"/>
      <c r="AS72" s="139"/>
      <c r="AT72" s="139"/>
      <c r="AU72" s="139"/>
      <c r="AV72" s="139"/>
      <c r="AW72" s="139"/>
      <c r="AX72" s="139"/>
      <c r="AY72" s="139"/>
      <c r="AZ72" s="139"/>
      <c r="BA72" s="139"/>
      <c r="BB72" s="139"/>
      <c r="BC72" s="139"/>
      <c r="BD72" s="139"/>
      <c r="BE72" s="139"/>
      <c r="BF72" s="139"/>
      <c r="BG72" s="139"/>
      <c r="BH72" s="139"/>
      <c r="BI72" s="139"/>
      <c r="BJ72" s="139"/>
      <c r="BK72" s="139"/>
      <c r="BL72" s="139"/>
      <c r="BM72" s="139"/>
      <c r="BN72" s="139"/>
      <c r="BO72" s="139"/>
      <c r="BP72" s="139"/>
      <c r="BQ72" s="139"/>
      <c r="BR72" s="139"/>
      <c r="BS72" s="139"/>
      <c r="BT72" s="139"/>
      <c r="BU72" s="139"/>
      <c r="BV72" s="139"/>
      <c r="BW72" s="139"/>
      <c r="BX72" s="139"/>
      <c r="BY72" s="139"/>
      <c r="BZ72" s="139"/>
      <c r="CA72" s="139"/>
      <c r="CB72" s="139"/>
      <c r="CC72" s="139"/>
      <c r="CD72" s="139"/>
      <c r="CE72" s="139"/>
      <c r="CF72" s="139"/>
      <c r="CG72" s="139"/>
      <c r="CH72" s="139"/>
      <c r="CI72" s="139"/>
      <c r="CJ72" s="139"/>
      <c r="CK72" s="139"/>
      <c r="CL72" s="139"/>
      <c r="CM72" s="139"/>
      <c r="CN72" s="139"/>
      <c r="CO72" s="139"/>
      <c r="CP72" s="139"/>
      <c r="CQ72" s="139"/>
      <c r="CR72" s="139"/>
      <c r="CS72" s="139"/>
      <c r="CT72" s="139"/>
      <c r="CU72" s="139"/>
      <c r="CV72" s="139"/>
      <c r="CW72" s="139"/>
      <c r="CX72" s="139"/>
      <c r="CY72" s="139"/>
      <c r="CZ72" s="139"/>
      <c r="DA72" s="139"/>
      <c r="DB72" s="139"/>
      <c r="DC72" s="139"/>
      <c r="DD72" s="139"/>
      <c r="DE72" s="139"/>
      <c r="DF72" s="139"/>
      <c r="DG72" s="139"/>
      <c r="DH72" s="139"/>
      <c r="DI72" s="139"/>
      <c r="DJ72" s="139"/>
      <c r="DK72" s="139"/>
      <c r="DL72" s="139"/>
      <c r="DM72" s="139"/>
      <c r="DN72" s="139"/>
      <c r="DO72" s="139"/>
      <c r="DP72" s="139"/>
      <c r="DQ72" s="139"/>
      <c r="DR72" s="139"/>
      <c r="DS72" s="139"/>
      <c r="DT72" s="139"/>
      <c r="DU72" s="139"/>
      <c r="DV72" s="139"/>
      <c r="DW72" s="139"/>
      <c r="DX72" s="139"/>
      <c r="DY72" s="139"/>
      <c r="DZ72" s="139"/>
      <c r="EA72" s="139"/>
      <c r="EB72" s="139"/>
      <c r="EC72" s="139"/>
      <c r="ED72" s="139"/>
      <c r="EE72" s="139"/>
      <c r="EF72" s="139"/>
      <c r="EG72" s="139"/>
      <c r="EH72" s="139"/>
      <c r="EI72" s="139"/>
      <c r="EJ72" s="139"/>
      <c r="EK72" s="139"/>
      <c r="EL72" s="139"/>
      <c r="EM72" s="139"/>
      <c r="EN72" s="139"/>
      <c r="EO72" s="139"/>
      <c r="EP72" s="139"/>
      <c r="EQ72" s="139"/>
      <c r="ER72" s="139"/>
      <c r="ES72" s="139"/>
      <c r="ET72" s="139"/>
      <c r="EU72" s="139"/>
      <c r="EV72" s="139"/>
      <c r="EW72" s="139"/>
      <c r="EX72" s="139"/>
      <c r="EY72" s="139"/>
      <c r="EZ72" s="139"/>
      <c r="FA72" s="139"/>
      <c r="FB72" s="139"/>
      <c r="FC72" s="139"/>
      <c r="FD72" s="139"/>
      <c r="FE72" s="139"/>
      <c r="FF72" s="139"/>
      <c r="FG72" s="139"/>
      <c r="FH72" s="139"/>
      <c r="FI72" s="139"/>
      <c r="FJ72" s="139"/>
      <c r="FK72" s="139"/>
      <c r="FL72" s="139"/>
      <c r="FM72" s="139"/>
      <c r="FN72" s="139"/>
      <c r="FO72" s="139"/>
      <c r="FP72" s="139"/>
      <c r="FQ72" s="139"/>
      <c r="FR72" s="139"/>
      <c r="FS72" s="139"/>
      <c r="FT72" s="139"/>
      <c r="FU72" s="139"/>
      <c r="FV72" s="139"/>
      <c r="FW72" s="139"/>
      <c r="FX72" s="139"/>
      <c r="FY72" s="139"/>
      <c r="FZ72" s="139"/>
      <c r="GA72" s="139"/>
      <c r="GB72" s="139"/>
      <c r="GC72" s="139"/>
      <c r="GD72" s="139"/>
      <c r="GE72" s="139"/>
      <c r="GF72" s="139"/>
      <c r="GG72" s="139"/>
      <c r="GH72" s="139"/>
      <c r="GI72" s="139"/>
      <c r="GJ72" s="139"/>
      <c r="GK72" s="139"/>
      <c r="GL72" s="139"/>
      <c r="GM72" s="139"/>
      <c r="GN72" s="139"/>
      <c r="GO72" s="139"/>
      <c r="GP72" s="139"/>
      <c r="GQ72" s="139"/>
      <c r="GR72" s="139"/>
      <c r="GS72" s="139"/>
      <c r="GT72" s="139"/>
      <c r="GU72" s="139"/>
      <c r="GV72" s="139"/>
      <c r="GW72" s="139"/>
      <c r="GX72" s="139"/>
      <c r="GY72" s="139"/>
      <c r="GZ72" s="139"/>
      <c r="HA72" s="139"/>
      <c r="HB72" s="139"/>
      <c r="HC72" s="139"/>
      <c r="HD72" s="139"/>
      <c r="HE72" s="139"/>
      <c r="HF72" s="139"/>
      <c r="HG72" s="139"/>
      <c r="HH72" s="139"/>
      <c r="HI72" s="139"/>
      <c r="HJ72" s="139"/>
      <c r="HK72" s="139"/>
      <c r="HL72" s="139"/>
      <c r="HM72" s="139"/>
      <c r="HN72" s="139"/>
      <c r="HO72" s="139"/>
      <c r="HP72" s="139"/>
      <c r="HQ72" s="139"/>
      <c r="HR72" s="139"/>
      <c r="HS72" s="139"/>
      <c r="HT72" s="139"/>
      <c r="HU72" s="139"/>
      <c r="HV72" s="139"/>
      <c r="HW72" s="139"/>
      <c r="HX72" s="139"/>
      <c r="HY72" s="139"/>
      <c r="HZ72" s="139"/>
      <c r="IA72" s="139"/>
      <c r="IB72" s="139"/>
      <c r="IC72" s="139"/>
      <c r="ID72" s="139"/>
      <c r="IE72" s="139"/>
      <c r="IF72" s="139"/>
      <c r="IG72" s="139"/>
      <c r="IH72" s="139"/>
      <c r="II72" s="139"/>
      <c r="IJ72" s="139"/>
      <c r="IK72" s="139"/>
      <c r="IL72" s="139"/>
      <c r="IM72" s="139"/>
      <c r="IN72" s="139"/>
      <c r="IO72" s="139"/>
      <c r="IP72" s="139"/>
      <c r="IQ72" s="139"/>
      <c r="IR72" s="139"/>
      <c r="IS72" s="139"/>
      <c r="IT72" s="139"/>
      <c r="IU72" s="139"/>
      <c r="IV72" s="139"/>
    </row>
    <row r="73" spans="1:256" x14ac:dyDescent="0.25">
      <c r="A73" s="118" t="str">
        <f t="shared" si="0"/>
        <v>16ALM PRFA</v>
      </c>
      <c r="B73" s="136"/>
      <c r="C73" s="137"/>
      <c r="D73" s="121" t="s">
        <v>971</v>
      </c>
      <c r="E73" s="121" t="s">
        <v>839</v>
      </c>
      <c r="F73" s="130" t="s">
        <v>840</v>
      </c>
      <c r="G73" s="130" t="s">
        <v>840</v>
      </c>
      <c r="H73" s="131">
        <v>6.3020000000000007E-2</v>
      </c>
      <c r="I73" s="130" t="s">
        <v>716</v>
      </c>
      <c r="J73" s="123" t="s">
        <v>705</v>
      </c>
      <c r="K73" s="123" t="s">
        <v>983</v>
      </c>
      <c r="L73" s="122" t="s">
        <v>984</v>
      </c>
      <c r="M73" s="123" t="s">
        <v>136</v>
      </c>
      <c r="N73" s="123" t="s">
        <v>716</v>
      </c>
      <c r="O73" s="123" t="s">
        <v>831</v>
      </c>
      <c r="P73" s="123" t="s">
        <v>711</v>
      </c>
      <c r="Q73" s="130" t="s">
        <v>981</v>
      </c>
      <c r="R73" s="130" t="s">
        <v>985</v>
      </c>
      <c r="S73" s="123" t="s">
        <v>714</v>
      </c>
      <c r="T73" s="123" t="s">
        <v>954</v>
      </c>
      <c r="U73" s="138"/>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39"/>
      <c r="BA73" s="139"/>
      <c r="BB73" s="139"/>
      <c r="BC73" s="139"/>
      <c r="BD73" s="139"/>
      <c r="BE73" s="139"/>
      <c r="BF73" s="139"/>
      <c r="BG73" s="139"/>
      <c r="BH73" s="139"/>
      <c r="BI73" s="139"/>
      <c r="BJ73" s="139"/>
      <c r="BK73" s="139"/>
      <c r="BL73" s="139"/>
      <c r="BM73" s="139"/>
      <c r="BN73" s="139"/>
      <c r="BO73" s="139"/>
      <c r="BP73" s="139"/>
      <c r="BQ73" s="139"/>
      <c r="BR73" s="139"/>
      <c r="BS73" s="139"/>
      <c r="BT73" s="139"/>
      <c r="BU73" s="139"/>
      <c r="BV73" s="139"/>
      <c r="BW73" s="139"/>
      <c r="BX73" s="139"/>
      <c r="BY73" s="139"/>
      <c r="BZ73" s="139"/>
      <c r="CA73" s="139"/>
      <c r="CB73" s="139"/>
      <c r="CC73" s="139"/>
      <c r="CD73" s="139"/>
      <c r="CE73" s="139"/>
      <c r="CF73" s="139"/>
      <c r="CG73" s="139"/>
      <c r="CH73" s="139"/>
      <c r="CI73" s="139"/>
      <c r="CJ73" s="139"/>
      <c r="CK73" s="139"/>
      <c r="CL73" s="139"/>
      <c r="CM73" s="139"/>
      <c r="CN73" s="139"/>
      <c r="CO73" s="139"/>
      <c r="CP73" s="139"/>
      <c r="CQ73" s="139"/>
      <c r="CR73" s="139"/>
      <c r="CS73" s="139"/>
      <c r="CT73" s="139"/>
      <c r="CU73" s="139"/>
      <c r="CV73" s="139"/>
      <c r="CW73" s="139"/>
      <c r="CX73" s="139"/>
      <c r="CY73" s="139"/>
      <c r="CZ73" s="139"/>
      <c r="DA73" s="139"/>
      <c r="DB73" s="139"/>
      <c r="DC73" s="139"/>
      <c r="DD73" s="139"/>
      <c r="DE73" s="139"/>
      <c r="DF73" s="139"/>
      <c r="DG73" s="139"/>
      <c r="DH73" s="139"/>
      <c r="DI73" s="139"/>
      <c r="DJ73" s="139"/>
      <c r="DK73" s="139"/>
      <c r="DL73" s="139"/>
      <c r="DM73" s="139"/>
      <c r="DN73" s="139"/>
      <c r="DO73" s="139"/>
      <c r="DP73" s="139"/>
      <c r="DQ73" s="139"/>
      <c r="DR73" s="139"/>
      <c r="DS73" s="139"/>
      <c r="DT73" s="139"/>
      <c r="DU73" s="139"/>
      <c r="DV73" s="139"/>
      <c r="DW73" s="139"/>
      <c r="DX73" s="139"/>
      <c r="DY73" s="139"/>
      <c r="DZ73" s="139"/>
      <c r="EA73" s="139"/>
      <c r="EB73" s="139"/>
      <c r="EC73" s="139"/>
      <c r="ED73" s="139"/>
      <c r="EE73" s="139"/>
      <c r="EF73" s="139"/>
      <c r="EG73" s="139"/>
      <c r="EH73" s="139"/>
      <c r="EI73" s="139"/>
      <c r="EJ73" s="139"/>
      <c r="EK73" s="139"/>
      <c r="EL73" s="139"/>
      <c r="EM73" s="139"/>
      <c r="EN73" s="139"/>
      <c r="EO73" s="139"/>
      <c r="EP73" s="139"/>
      <c r="EQ73" s="139"/>
      <c r="ER73" s="139"/>
      <c r="ES73" s="139"/>
      <c r="ET73" s="139"/>
      <c r="EU73" s="139"/>
      <c r="EV73" s="139"/>
      <c r="EW73" s="139"/>
      <c r="EX73" s="139"/>
      <c r="EY73" s="139"/>
      <c r="EZ73" s="139"/>
      <c r="FA73" s="139"/>
      <c r="FB73" s="139"/>
      <c r="FC73" s="139"/>
      <c r="FD73" s="139"/>
      <c r="FE73" s="139"/>
      <c r="FF73" s="139"/>
      <c r="FG73" s="139"/>
      <c r="FH73" s="139"/>
      <c r="FI73" s="139"/>
      <c r="FJ73" s="139"/>
      <c r="FK73" s="139"/>
      <c r="FL73" s="139"/>
      <c r="FM73" s="139"/>
      <c r="FN73" s="139"/>
      <c r="FO73" s="139"/>
      <c r="FP73" s="139"/>
      <c r="FQ73" s="139"/>
      <c r="FR73" s="139"/>
      <c r="FS73" s="139"/>
      <c r="FT73" s="139"/>
      <c r="FU73" s="139"/>
      <c r="FV73" s="139"/>
      <c r="FW73" s="139"/>
      <c r="FX73" s="139"/>
      <c r="FY73" s="139"/>
      <c r="FZ73" s="139"/>
      <c r="GA73" s="139"/>
      <c r="GB73" s="139"/>
      <c r="GC73" s="139"/>
      <c r="GD73" s="139"/>
      <c r="GE73" s="139"/>
      <c r="GF73" s="139"/>
      <c r="GG73" s="139"/>
      <c r="GH73" s="139"/>
      <c r="GI73" s="139"/>
      <c r="GJ73" s="139"/>
      <c r="GK73" s="139"/>
      <c r="GL73" s="139"/>
      <c r="GM73" s="139"/>
      <c r="GN73" s="139"/>
      <c r="GO73" s="139"/>
      <c r="GP73" s="139"/>
      <c r="GQ73" s="139"/>
      <c r="GR73" s="139"/>
      <c r="GS73" s="139"/>
      <c r="GT73" s="139"/>
      <c r="GU73" s="139"/>
      <c r="GV73" s="139"/>
      <c r="GW73" s="139"/>
      <c r="GX73" s="139"/>
      <c r="GY73" s="139"/>
      <c r="GZ73" s="139"/>
      <c r="HA73" s="139"/>
      <c r="HB73" s="139"/>
      <c r="HC73" s="139"/>
      <c r="HD73" s="139"/>
      <c r="HE73" s="139"/>
      <c r="HF73" s="139"/>
      <c r="HG73" s="139"/>
      <c r="HH73" s="139"/>
      <c r="HI73" s="139"/>
      <c r="HJ73" s="139"/>
      <c r="HK73" s="139"/>
      <c r="HL73" s="139"/>
      <c r="HM73" s="139"/>
      <c r="HN73" s="139"/>
      <c r="HO73" s="139"/>
      <c r="HP73" s="139"/>
      <c r="HQ73" s="139"/>
      <c r="HR73" s="139"/>
      <c r="HS73" s="139"/>
      <c r="HT73" s="139"/>
      <c r="HU73" s="139"/>
      <c r="HV73" s="139"/>
      <c r="HW73" s="139"/>
      <c r="HX73" s="139"/>
      <c r="HY73" s="139"/>
      <c r="HZ73" s="139"/>
      <c r="IA73" s="139"/>
      <c r="IB73" s="139"/>
      <c r="IC73" s="139"/>
      <c r="ID73" s="139"/>
      <c r="IE73" s="139"/>
      <c r="IF73" s="139"/>
      <c r="IG73" s="139"/>
      <c r="IH73" s="139"/>
      <c r="II73" s="139"/>
      <c r="IJ73" s="139"/>
      <c r="IK73" s="139"/>
      <c r="IL73" s="139"/>
      <c r="IM73" s="139"/>
      <c r="IN73" s="139"/>
      <c r="IO73" s="139"/>
      <c r="IP73" s="139"/>
      <c r="IQ73" s="139"/>
      <c r="IR73" s="139"/>
      <c r="IS73" s="139"/>
      <c r="IT73" s="139"/>
      <c r="IU73" s="139"/>
      <c r="IV73" s="139"/>
    </row>
    <row r="74" spans="1:256" x14ac:dyDescent="0.25">
      <c r="A74" s="118" t="str">
        <f t="shared" ref="A74:A121" si="1">CONCATENATE(E74,Q74)</f>
        <v>14ALM PRFA</v>
      </c>
      <c r="B74" s="136"/>
      <c r="C74" s="137"/>
      <c r="D74" s="121" t="s">
        <v>971</v>
      </c>
      <c r="E74" s="121" t="s">
        <v>819</v>
      </c>
      <c r="F74" s="130" t="s">
        <v>844</v>
      </c>
      <c r="G74" s="130" t="s">
        <v>844</v>
      </c>
      <c r="H74" s="131">
        <v>8.0030000000000004E-2</v>
      </c>
      <c r="I74" s="130" t="s">
        <v>716</v>
      </c>
      <c r="J74" s="123" t="s">
        <v>705</v>
      </c>
      <c r="K74" s="123" t="s">
        <v>986</v>
      </c>
      <c r="L74" s="122" t="s">
        <v>987</v>
      </c>
      <c r="M74" s="123" t="s">
        <v>136</v>
      </c>
      <c r="N74" s="123" t="s">
        <v>716</v>
      </c>
      <c r="O74" s="123" t="s">
        <v>831</v>
      </c>
      <c r="P74" s="123" t="s">
        <v>711</v>
      </c>
      <c r="Q74" s="130" t="s">
        <v>981</v>
      </c>
      <c r="R74" s="130" t="s">
        <v>988</v>
      </c>
      <c r="S74" s="123" t="s">
        <v>714</v>
      </c>
      <c r="T74" s="123" t="s">
        <v>954</v>
      </c>
      <c r="U74" s="138"/>
      <c r="V74" s="139"/>
      <c r="W74" s="139"/>
      <c r="X74" s="139"/>
      <c r="Y74" s="139"/>
      <c r="Z74" s="139"/>
      <c r="AA74" s="139"/>
      <c r="AB74" s="139"/>
      <c r="AC74" s="139"/>
      <c r="AD74" s="139"/>
      <c r="AE74" s="139"/>
      <c r="AF74" s="139"/>
      <c r="AG74" s="139"/>
      <c r="AH74" s="139"/>
      <c r="AI74" s="139"/>
      <c r="AJ74" s="139"/>
      <c r="AK74" s="139"/>
      <c r="AL74" s="139"/>
      <c r="AM74" s="139"/>
      <c r="AN74" s="139"/>
      <c r="AO74" s="139"/>
      <c r="AP74" s="139"/>
      <c r="AQ74" s="139"/>
      <c r="AR74" s="139"/>
      <c r="AS74" s="139"/>
      <c r="AT74" s="139"/>
      <c r="AU74" s="139"/>
      <c r="AV74" s="139"/>
      <c r="AW74" s="139"/>
      <c r="AX74" s="139"/>
      <c r="AY74" s="139"/>
      <c r="AZ74" s="139"/>
      <c r="BA74" s="139"/>
      <c r="BB74" s="139"/>
      <c r="BC74" s="139"/>
      <c r="BD74" s="139"/>
      <c r="BE74" s="139"/>
      <c r="BF74" s="139"/>
      <c r="BG74" s="139"/>
      <c r="BH74" s="139"/>
      <c r="BI74" s="139"/>
      <c r="BJ74" s="139"/>
      <c r="BK74" s="139"/>
      <c r="BL74" s="139"/>
      <c r="BM74" s="139"/>
      <c r="BN74" s="139"/>
      <c r="BO74" s="139"/>
      <c r="BP74" s="139"/>
      <c r="BQ74" s="139"/>
      <c r="BR74" s="139"/>
      <c r="BS74" s="139"/>
      <c r="BT74" s="139"/>
      <c r="BU74" s="139"/>
      <c r="BV74" s="139"/>
      <c r="BW74" s="139"/>
      <c r="BX74" s="139"/>
      <c r="BY74" s="139"/>
      <c r="BZ74" s="139"/>
      <c r="CA74" s="139"/>
      <c r="CB74" s="139"/>
      <c r="CC74" s="139"/>
      <c r="CD74" s="139"/>
      <c r="CE74" s="139"/>
      <c r="CF74" s="139"/>
      <c r="CG74" s="139"/>
      <c r="CH74" s="139"/>
      <c r="CI74" s="139"/>
      <c r="CJ74" s="139"/>
      <c r="CK74" s="139"/>
      <c r="CL74" s="139"/>
      <c r="CM74" s="139"/>
      <c r="CN74" s="139"/>
      <c r="CO74" s="139"/>
      <c r="CP74" s="139"/>
      <c r="CQ74" s="139"/>
      <c r="CR74" s="139"/>
      <c r="CS74" s="139"/>
      <c r="CT74" s="139"/>
      <c r="CU74" s="139"/>
      <c r="CV74" s="139"/>
      <c r="CW74" s="139"/>
      <c r="CX74" s="139"/>
      <c r="CY74" s="139"/>
      <c r="CZ74" s="139"/>
      <c r="DA74" s="139"/>
      <c r="DB74" s="139"/>
      <c r="DC74" s="139"/>
      <c r="DD74" s="139"/>
      <c r="DE74" s="139"/>
      <c r="DF74" s="139"/>
      <c r="DG74" s="139"/>
      <c r="DH74" s="139"/>
      <c r="DI74" s="139"/>
      <c r="DJ74" s="139"/>
      <c r="DK74" s="139"/>
      <c r="DL74" s="139"/>
      <c r="DM74" s="139"/>
      <c r="DN74" s="139"/>
      <c r="DO74" s="139"/>
      <c r="DP74" s="139"/>
      <c r="DQ74" s="139"/>
      <c r="DR74" s="139"/>
      <c r="DS74" s="139"/>
      <c r="DT74" s="139"/>
      <c r="DU74" s="139"/>
      <c r="DV74" s="139"/>
      <c r="DW74" s="139"/>
      <c r="DX74" s="139"/>
      <c r="DY74" s="139"/>
      <c r="DZ74" s="139"/>
      <c r="EA74" s="139"/>
      <c r="EB74" s="139"/>
      <c r="EC74" s="139"/>
      <c r="ED74" s="139"/>
      <c r="EE74" s="139"/>
      <c r="EF74" s="139"/>
      <c r="EG74" s="139"/>
      <c r="EH74" s="139"/>
      <c r="EI74" s="139"/>
      <c r="EJ74" s="139"/>
      <c r="EK74" s="139"/>
      <c r="EL74" s="139"/>
      <c r="EM74" s="139"/>
      <c r="EN74" s="139"/>
      <c r="EO74" s="139"/>
      <c r="EP74" s="139"/>
      <c r="EQ74" s="139"/>
      <c r="ER74" s="139"/>
      <c r="ES74" s="139"/>
      <c r="ET74" s="139"/>
      <c r="EU74" s="139"/>
      <c r="EV74" s="139"/>
      <c r="EW74" s="139"/>
      <c r="EX74" s="139"/>
      <c r="EY74" s="139"/>
      <c r="EZ74" s="139"/>
      <c r="FA74" s="139"/>
      <c r="FB74" s="139"/>
      <c r="FC74" s="139"/>
      <c r="FD74" s="139"/>
      <c r="FE74" s="139"/>
      <c r="FF74" s="139"/>
      <c r="FG74" s="139"/>
      <c r="FH74" s="139"/>
      <c r="FI74" s="139"/>
      <c r="FJ74" s="139"/>
      <c r="FK74" s="139"/>
      <c r="FL74" s="139"/>
      <c r="FM74" s="139"/>
      <c r="FN74" s="139"/>
      <c r="FO74" s="139"/>
      <c r="FP74" s="139"/>
      <c r="FQ74" s="139"/>
      <c r="FR74" s="139"/>
      <c r="FS74" s="139"/>
      <c r="FT74" s="139"/>
      <c r="FU74" s="139"/>
      <c r="FV74" s="139"/>
      <c r="FW74" s="139"/>
      <c r="FX74" s="139"/>
      <c r="FY74" s="139"/>
      <c r="FZ74" s="139"/>
      <c r="GA74" s="139"/>
      <c r="GB74" s="139"/>
      <c r="GC74" s="139"/>
      <c r="GD74" s="139"/>
      <c r="GE74" s="139"/>
      <c r="GF74" s="139"/>
      <c r="GG74" s="139"/>
      <c r="GH74" s="139"/>
      <c r="GI74" s="139"/>
      <c r="GJ74" s="139"/>
      <c r="GK74" s="139"/>
      <c r="GL74" s="139"/>
      <c r="GM74" s="139"/>
      <c r="GN74" s="139"/>
      <c r="GO74" s="139"/>
      <c r="GP74" s="139"/>
      <c r="GQ74" s="139"/>
      <c r="GR74" s="139"/>
      <c r="GS74" s="139"/>
      <c r="GT74" s="139"/>
      <c r="GU74" s="139"/>
      <c r="GV74" s="139"/>
      <c r="GW74" s="139"/>
      <c r="GX74" s="139"/>
      <c r="GY74" s="139"/>
      <c r="GZ74" s="139"/>
      <c r="HA74" s="139"/>
      <c r="HB74" s="139"/>
      <c r="HC74" s="139"/>
      <c r="HD74" s="139"/>
      <c r="HE74" s="139"/>
      <c r="HF74" s="139"/>
      <c r="HG74" s="139"/>
      <c r="HH74" s="139"/>
      <c r="HI74" s="139"/>
      <c r="HJ74" s="139"/>
      <c r="HK74" s="139"/>
      <c r="HL74" s="139"/>
      <c r="HM74" s="139"/>
      <c r="HN74" s="139"/>
      <c r="HO74" s="139"/>
      <c r="HP74" s="139"/>
      <c r="HQ74" s="139"/>
      <c r="HR74" s="139"/>
      <c r="HS74" s="139"/>
      <c r="HT74" s="139"/>
      <c r="HU74" s="139"/>
      <c r="HV74" s="139"/>
      <c r="HW74" s="139"/>
      <c r="HX74" s="139"/>
      <c r="HY74" s="139"/>
      <c r="HZ74" s="139"/>
      <c r="IA74" s="139"/>
      <c r="IB74" s="139"/>
      <c r="IC74" s="139"/>
      <c r="ID74" s="139"/>
      <c r="IE74" s="139"/>
      <c r="IF74" s="139"/>
      <c r="IG74" s="139"/>
      <c r="IH74" s="139"/>
      <c r="II74" s="139"/>
      <c r="IJ74" s="139"/>
      <c r="IK74" s="139"/>
      <c r="IL74" s="139"/>
      <c r="IM74" s="139"/>
      <c r="IN74" s="139"/>
      <c r="IO74" s="139"/>
      <c r="IP74" s="139"/>
      <c r="IQ74" s="139"/>
      <c r="IR74" s="139"/>
      <c r="IS74" s="139"/>
      <c r="IT74" s="139"/>
      <c r="IU74" s="139"/>
      <c r="IV74" s="139"/>
    </row>
    <row r="75" spans="1:256" x14ac:dyDescent="0.25">
      <c r="A75" s="118" t="str">
        <f t="shared" si="1"/>
        <v>14ALM PRFB</v>
      </c>
      <c r="B75" s="136"/>
      <c r="C75" s="137"/>
      <c r="D75" s="121" t="s">
        <v>971</v>
      </c>
      <c r="E75" s="121" t="s">
        <v>819</v>
      </c>
      <c r="F75" s="130" t="s">
        <v>844</v>
      </c>
      <c r="G75" s="130" t="s">
        <v>844</v>
      </c>
      <c r="H75" s="131">
        <v>8.004E-2</v>
      </c>
      <c r="I75" s="130" t="s">
        <v>716</v>
      </c>
      <c r="J75" s="123" t="s">
        <v>705</v>
      </c>
      <c r="K75" s="123" t="s">
        <v>989</v>
      </c>
      <c r="L75" s="122" t="s">
        <v>990</v>
      </c>
      <c r="M75" s="123" t="s">
        <v>136</v>
      </c>
      <c r="N75" s="123" t="s">
        <v>716</v>
      </c>
      <c r="O75" s="123" t="s">
        <v>831</v>
      </c>
      <c r="P75" s="123" t="s">
        <v>711</v>
      </c>
      <c r="Q75" s="130" t="s">
        <v>991</v>
      </c>
      <c r="R75" s="130" t="s">
        <v>992</v>
      </c>
      <c r="S75" s="123" t="s">
        <v>969</v>
      </c>
      <c r="T75" s="123" t="s">
        <v>970</v>
      </c>
      <c r="U75" s="138"/>
      <c r="V75" s="139"/>
      <c r="W75" s="139"/>
      <c r="X75" s="139"/>
      <c r="Y75" s="139"/>
      <c r="Z75" s="139"/>
      <c r="AA75" s="139"/>
      <c r="AB75" s="139"/>
      <c r="AC75" s="139"/>
      <c r="AD75" s="139"/>
      <c r="AE75" s="139"/>
      <c r="AF75" s="139"/>
      <c r="AG75" s="139"/>
      <c r="AH75" s="139"/>
      <c r="AI75" s="139"/>
      <c r="AJ75" s="139"/>
      <c r="AK75" s="139"/>
      <c r="AL75" s="139"/>
      <c r="AM75" s="139"/>
      <c r="AN75" s="139"/>
      <c r="AO75" s="139"/>
      <c r="AP75" s="139"/>
      <c r="AQ75" s="139"/>
      <c r="AR75" s="139"/>
      <c r="AS75" s="139"/>
      <c r="AT75" s="139"/>
      <c r="AU75" s="139"/>
      <c r="AV75" s="139"/>
      <c r="AW75" s="139"/>
      <c r="AX75" s="139"/>
      <c r="AY75" s="139"/>
      <c r="AZ75" s="139"/>
      <c r="BA75" s="139"/>
      <c r="BB75" s="139"/>
      <c r="BC75" s="139"/>
      <c r="BD75" s="139"/>
      <c r="BE75" s="139"/>
      <c r="BF75" s="139"/>
      <c r="BG75" s="139"/>
      <c r="BH75" s="139"/>
      <c r="BI75" s="139"/>
      <c r="BJ75" s="139"/>
      <c r="BK75" s="139"/>
      <c r="BL75" s="139"/>
      <c r="BM75" s="139"/>
      <c r="BN75" s="139"/>
      <c r="BO75" s="139"/>
      <c r="BP75" s="139"/>
      <c r="BQ75" s="139"/>
      <c r="BR75" s="139"/>
      <c r="BS75" s="139"/>
      <c r="BT75" s="139"/>
      <c r="BU75" s="139"/>
      <c r="BV75" s="139"/>
      <c r="BW75" s="139"/>
      <c r="BX75" s="139"/>
      <c r="BY75" s="139"/>
      <c r="BZ75" s="139"/>
      <c r="CA75" s="139"/>
      <c r="CB75" s="139"/>
      <c r="CC75" s="139"/>
      <c r="CD75" s="139"/>
      <c r="CE75" s="139"/>
      <c r="CF75" s="139"/>
      <c r="CG75" s="139"/>
      <c r="CH75" s="139"/>
      <c r="CI75" s="139"/>
      <c r="CJ75" s="139"/>
      <c r="CK75" s="139"/>
      <c r="CL75" s="139"/>
      <c r="CM75" s="139"/>
      <c r="CN75" s="139"/>
      <c r="CO75" s="139"/>
      <c r="CP75" s="139"/>
      <c r="CQ75" s="139"/>
      <c r="CR75" s="139"/>
      <c r="CS75" s="139"/>
      <c r="CT75" s="139"/>
      <c r="CU75" s="139"/>
      <c r="CV75" s="139"/>
      <c r="CW75" s="139"/>
      <c r="CX75" s="139"/>
      <c r="CY75" s="139"/>
      <c r="CZ75" s="139"/>
      <c r="DA75" s="139"/>
      <c r="DB75" s="139"/>
      <c r="DC75" s="139"/>
      <c r="DD75" s="139"/>
      <c r="DE75" s="139"/>
      <c r="DF75" s="139"/>
      <c r="DG75" s="139"/>
      <c r="DH75" s="139"/>
      <c r="DI75" s="139"/>
      <c r="DJ75" s="139"/>
      <c r="DK75" s="139"/>
      <c r="DL75" s="139"/>
      <c r="DM75" s="139"/>
      <c r="DN75" s="139"/>
      <c r="DO75" s="139"/>
      <c r="DP75" s="139"/>
      <c r="DQ75" s="139"/>
      <c r="DR75" s="139"/>
      <c r="DS75" s="139"/>
      <c r="DT75" s="139"/>
      <c r="DU75" s="139"/>
      <c r="DV75" s="139"/>
      <c r="DW75" s="139"/>
      <c r="DX75" s="139"/>
      <c r="DY75" s="139"/>
      <c r="DZ75" s="139"/>
      <c r="EA75" s="139"/>
      <c r="EB75" s="139"/>
      <c r="EC75" s="139"/>
      <c r="ED75" s="139"/>
      <c r="EE75" s="139"/>
      <c r="EF75" s="139"/>
      <c r="EG75" s="139"/>
      <c r="EH75" s="139"/>
      <c r="EI75" s="139"/>
      <c r="EJ75" s="139"/>
      <c r="EK75" s="139"/>
      <c r="EL75" s="139"/>
      <c r="EM75" s="139"/>
      <c r="EN75" s="139"/>
      <c r="EO75" s="139"/>
      <c r="EP75" s="139"/>
      <c r="EQ75" s="139"/>
      <c r="ER75" s="139"/>
      <c r="ES75" s="139"/>
      <c r="ET75" s="139"/>
      <c r="EU75" s="139"/>
      <c r="EV75" s="139"/>
      <c r="EW75" s="139"/>
      <c r="EX75" s="139"/>
      <c r="EY75" s="139"/>
      <c r="EZ75" s="139"/>
      <c r="FA75" s="139"/>
      <c r="FB75" s="139"/>
      <c r="FC75" s="139"/>
      <c r="FD75" s="139"/>
      <c r="FE75" s="139"/>
      <c r="FF75" s="139"/>
      <c r="FG75" s="139"/>
      <c r="FH75" s="139"/>
      <c r="FI75" s="139"/>
      <c r="FJ75" s="139"/>
      <c r="FK75" s="139"/>
      <c r="FL75" s="139"/>
      <c r="FM75" s="139"/>
      <c r="FN75" s="139"/>
      <c r="FO75" s="139"/>
      <c r="FP75" s="139"/>
      <c r="FQ75" s="139"/>
      <c r="FR75" s="139"/>
      <c r="FS75" s="139"/>
      <c r="FT75" s="139"/>
      <c r="FU75" s="139"/>
      <c r="FV75" s="139"/>
      <c r="FW75" s="139"/>
      <c r="FX75" s="139"/>
      <c r="FY75" s="139"/>
      <c r="FZ75" s="139"/>
      <c r="GA75" s="139"/>
      <c r="GB75" s="139"/>
      <c r="GC75" s="139"/>
      <c r="GD75" s="139"/>
      <c r="GE75" s="139"/>
      <c r="GF75" s="139"/>
      <c r="GG75" s="139"/>
      <c r="GH75" s="139"/>
      <c r="GI75" s="139"/>
      <c r="GJ75" s="139"/>
      <c r="GK75" s="139"/>
      <c r="GL75" s="139"/>
      <c r="GM75" s="139"/>
      <c r="GN75" s="139"/>
      <c r="GO75" s="139"/>
      <c r="GP75" s="139"/>
      <c r="GQ75" s="139"/>
      <c r="GR75" s="139"/>
      <c r="GS75" s="139"/>
      <c r="GT75" s="139"/>
      <c r="GU75" s="139"/>
      <c r="GV75" s="139"/>
      <c r="GW75" s="139"/>
      <c r="GX75" s="139"/>
      <c r="GY75" s="139"/>
      <c r="GZ75" s="139"/>
      <c r="HA75" s="139"/>
      <c r="HB75" s="139"/>
      <c r="HC75" s="139"/>
      <c r="HD75" s="139"/>
      <c r="HE75" s="139"/>
      <c r="HF75" s="139"/>
      <c r="HG75" s="139"/>
      <c r="HH75" s="139"/>
      <c r="HI75" s="139"/>
      <c r="HJ75" s="139"/>
      <c r="HK75" s="139"/>
      <c r="HL75" s="139"/>
      <c r="HM75" s="139"/>
      <c r="HN75" s="139"/>
      <c r="HO75" s="139"/>
      <c r="HP75" s="139"/>
      <c r="HQ75" s="139"/>
      <c r="HR75" s="139"/>
      <c r="HS75" s="139"/>
      <c r="HT75" s="139"/>
      <c r="HU75" s="139"/>
      <c r="HV75" s="139"/>
      <c r="HW75" s="139"/>
      <c r="HX75" s="139"/>
      <c r="HY75" s="139"/>
      <c r="HZ75" s="139"/>
      <c r="IA75" s="139"/>
      <c r="IB75" s="139"/>
      <c r="IC75" s="139"/>
      <c r="ID75" s="139"/>
      <c r="IE75" s="139"/>
      <c r="IF75" s="139"/>
      <c r="IG75" s="139"/>
      <c r="IH75" s="139"/>
      <c r="II75" s="139"/>
      <c r="IJ75" s="139"/>
      <c r="IK75" s="139"/>
      <c r="IL75" s="139"/>
      <c r="IM75" s="139"/>
      <c r="IN75" s="139"/>
      <c r="IO75" s="139"/>
      <c r="IP75" s="139"/>
      <c r="IQ75" s="139"/>
      <c r="IR75" s="139"/>
      <c r="IS75" s="139"/>
      <c r="IT75" s="139"/>
      <c r="IU75" s="139"/>
      <c r="IV75" s="139"/>
    </row>
    <row r="76" spans="1:256" x14ac:dyDescent="0.25">
      <c r="A76" s="118" t="str">
        <f t="shared" si="1"/>
        <v>16SST304PA</v>
      </c>
      <c r="B76" s="136"/>
      <c r="C76" s="137"/>
      <c r="D76" s="121" t="s">
        <v>993</v>
      </c>
      <c r="E76" s="121" t="s">
        <v>839</v>
      </c>
      <c r="F76" s="130" t="s">
        <v>873</v>
      </c>
      <c r="G76" s="130" t="s">
        <v>873</v>
      </c>
      <c r="H76" s="131">
        <v>6.0040000000000003E-2</v>
      </c>
      <c r="I76" s="130" t="s">
        <v>716</v>
      </c>
      <c r="J76" s="123" t="s">
        <v>705</v>
      </c>
      <c r="K76" s="123" t="s">
        <v>994</v>
      </c>
      <c r="L76" s="122" t="s">
        <v>995</v>
      </c>
      <c r="M76" s="123" t="s">
        <v>860</v>
      </c>
      <c r="N76" s="118" t="s">
        <v>861</v>
      </c>
      <c r="O76" s="123" t="s">
        <v>722</v>
      </c>
      <c r="P76" s="123" t="s">
        <v>711</v>
      </c>
      <c r="Q76" s="130" t="s">
        <v>996</v>
      </c>
      <c r="R76" s="130" t="s">
        <v>997</v>
      </c>
      <c r="S76" s="123" t="s">
        <v>714</v>
      </c>
      <c r="T76" s="123" t="s">
        <v>954</v>
      </c>
      <c r="U76" s="138"/>
      <c r="V76" s="139"/>
      <c r="W76" s="139"/>
      <c r="X76" s="139"/>
      <c r="Y76" s="139"/>
      <c r="Z76" s="139"/>
      <c r="AA76" s="139"/>
      <c r="AB76" s="139"/>
      <c r="AC76" s="139"/>
      <c r="AD76" s="139"/>
      <c r="AE76" s="139"/>
      <c r="AF76" s="139"/>
      <c r="AG76" s="139"/>
      <c r="AH76" s="139"/>
      <c r="AI76" s="139"/>
      <c r="AJ76" s="139"/>
      <c r="AK76" s="139"/>
      <c r="AL76" s="139"/>
      <c r="AM76" s="139"/>
      <c r="AN76" s="139"/>
      <c r="AO76" s="139"/>
      <c r="AP76" s="139"/>
      <c r="AQ76" s="139"/>
      <c r="AR76" s="139"/>
      <c r="AS76" s="139"/>
      <c r="AT76" s="139"/>
      <c r="AU76" s="139"/>
      <c r="AV76" s="139"/>
      <c r="AW76" s="139"/>
      <c r="AX76" s="139"/>
      <c r="AY76" s="139"/>
      <c r="AZ76" s="139"/>
      <c r="BA76" s="139"/>
      <c r="BB76" s="139"/>
      <c r="BC76" s="139"/>
      <c r="BD76" s="139"/>
      <c r="BE76" s="139"/>
      <c r="BF76" s="139"/>
      <c r="BG76" s="139"/>
      <c r="BH76" s="139"/>
      <c r="BI76" s="139"/>
      <c r="BJ76" s="139"/>
      <c r="BK76" s="139"/>
      <c r="BL76" s="139"/>
      <c r="BM76" s="139"/>
      <c r="BN76" s="139"/>
      <c r="BO76" s="139"/>
      <c r="BP76" s="139"/>
      <c r="BQ76" s="139"/>
      <c r="BR76" s="139"/>
      <c r="BS76" s="139"/>
      <c r="BT76" s="139"/>
      <c r="BU76" s="139"/>
      <c r="BV76" s="139"/>
      <c r="BW76" s="139"/>
      <c r="BX76" s="139"/>
      <c r="BY76" s="139"/>
      <c r="BZ76" s="139"/>
      <c r="CA76" s="139"/>
      <c r="CB76" s="139"/>
      <c r="CC76" s="139"/>
      <c r="CD76" s="139"/>
      <c r="CE76" s="139"/>
      <c r="CF76" s="139"/>
      <c r="CG76" s="139"/>
      <c r="CH76" s="139"/>
      <c r="CI76" s="139"/>
      <c r="CJ76" s="139"/>
      <c r="CK76" s="139"/>
      <c r="CL76" s="139"/>
      <c r="CM76" s="139"/>
      <c r="CN76" s="139"/>
      <c r="CO76" s="139"/>
      <c r="CP76" s="139"/>
      <c r="CQ76" s="139"/>
      <c r="CR76" s="139"/>
      <c r="CS76" s="139"/>
      <c r="CT76" s="139"/>
      <c r="CU76" s="139"/>
      <c r="CV76" s="139"/>
      <c r="CW76" s="139"/>
      <c r="CX76" s="139"/>
      <c r="CY76" s="139"/>
      <c r="CZ76" s="139"/>
      <c r="DA76" s="139"/>
      <c r="DB76" s="139"/>
      <c r="DC76" s="139"/>
      <c r="DD76" s="139"/>
      <c r="DE76" s="139"/>
      <c r="DF76" s="139"/>
      <c r="DG76" s="139"/>
      <c r="DH76" s="139"/>
      <c r="DI76" s="139"/>
      <c r="DJ76" s="139"/>
      <c r="DK76" s="139"/>
      <c r="DL76" s="139"/>
      <c r="DM76" s="139"/>
      <c r="DN76" s="139"/>
      <c r="DO76" s="139"/>
      <c r="DP76" s="139"/>
      <c r="DQ76" s="139"/>
      <c r="DR76" s="139"/>
      <c r="DS76" s="139"/>
      <c r="DT76" s="139"/>
      <c r="DU76" s="139"/>
      <c r="DV76" s="139"/>
      <c r="DW76" s="139"/>
      <c r="DX76" s="139"/>
      <c r="DY76" s="139"/>
      <c r="DZ76" s="139"/>
      <c r="EA76" s="139"/>
      <c r="EB76" s="139"/>
      <c r="EC76" s="139"/>
      <c r="ED76" s="139"/>
      <c r="EE76" s="139"/>
      <c r="EF76" s="139"/>
      <c r="EG76" s="139"/>
      <c r="EH76" s="139"/>
      <c r="EI76" s="139"/>
      <c r="EJ76" s="139"/>
      <c r="EK76" s="139"/>
      <c r="EL76" s="139"/>
      <c r="EM76" s="139"/>
      <c r="EN76" s="139"/>
      <c r="EO76" s="139"/>
      <c r="EP76" s="139"/>
      <c r="EQ76" s="139"/>
      <c r="ER76" s="139"/>
      <c r="ES76" s="139"/>
      <c r="ET76" s="139"/>
      <c r="EU76" s="139"/>
      <c r="EV76" s="139"/>
      <c r="EW76" s="139"/>
      <c r="EX76" s="139"/>
      <c r="EY76" s="139"/>
      <c r="EZ76" s="139"/>
      <c r="FA76" s="139"/>
      <c r="FB76" s="139"/>
      <c r="FC76" s="139"/>
      <c r="FD76" s="139"/>
      <c r="FE76" s="139"/>
      <c r="FF76" s="139"/>
      <c r="FG76" s="139"/>
      <c r="FH76" s="139"/>
      <c r="FI76" s="139"/>
      <c r="FJ76" s="139"/>
      <c r="FK76" s="139"/>
      <c r="FL76" s="139"/>
      <c r="FM76" s="139"/>
      <c r="FN76" s="139"/>
      <c r="FO76" s="139"/>
      <c r="FP76" s="139"/>
      <c r="FQ76" s="139"/>
      <c r="FR76" s="139"/>
      <c r="FS76" s="139"/>
      <c r="FT76" s="139"/>
      <c r="FU76" s="139"/>
      <c r="FV76" s="139"/>
      <c r="FW76" s="139"/>
      <c r="FX76" s="139"/>
      <c r="FY76" s="139"/>
      <c r="FZ76" s="139"/>
      <c r="GA76" s="139"/>
      <c r="GB76" s="139"/>
      <c r="GC76" s="139"/>
      <c r="GD76" s="139"/>
      <c r="GE76" s="139"/>
      <c r="GF76" s="139"/>
      <c r="GG76" s="139"/>
      <c r="GH76" s="139"/>
      <c r="GI76" s="139"/>
      <c r="GJ76" s="139"/>
      <c r="GK76" s="139"/>
      <c r="GL76" s="139"/>
      <c r="GM76" s="139"/>
      <c r="GN76" s="139"/>
      <c r="GO76" s="139"/>
      <c r="GP76" s="139"/>
      <c r="GQ76" s="139"/>
      <c r="GR76" s="139"/>
      <c r="GS76" s="139"/>
      <c r="GT76" s="139"/>
      <c r="GU76" s="139"/>
      <c r="GV76" s="139"/>
      <c r="GW76" s="139"/>
      <c r="GX76" s="139"/>
      <c r="GY76" s="139"/>
      <c r="GZ76" s="139"/>
      <c r="HA76" s="139"/>
      <c r="HB76" s="139"/>
      <c r="HC76" s="139"/>
      <c r="HD76" s="139"/>
      <c r="HE76" s="139"/>
      <c r="HF76" s="139"/>
      <c r="HG76" s="139"/>
      <c r="HH76" s="139"/>
      <c r="HI76" s="139"/>
      <c r="HJ76" s="139"/>
      <c r="HK76" s="139"/>
      <c r="HL76" s="139"/>
      <c r="HM76" s="139"/>
      <c r="HN76" s="139"/>
      <c r="HO76" s="139"/>
      <c r="HP76" s="139"/>
      <c r="HQ76" s="139"/>
      <c r="HR76" s="139"/>
      <c r="HS76" s="139"/>
      <c r="HT76" s="139"/>
      <c r="HU76" s="139"/>
      <c r="HV76" s="139"/>
      <c r="HW76" s="139"/>
      <c r="HX76" s="139"/>
      <c r="HY76" s="139"/>
      <c r="HZ76" s="139"/>
      <c r="IA76" s="139"/>
      <c r="IB76" s="139"/>
      <c r="IC76" s="139"/>
      <c r="ID76" s="139"/>
      <c r="IE76" s="139"/>
      <c r="IF76" s="139"/>
      <c r="IG76" s="139"/>
      <c r="IH76" s="139"/>
      <c r="II76" s="139"/>
      <c r="IJ76" s="139"/>
      <c r="IK76" s="139"/>
      <c r="IL76" s="139"/>
      <c r="IM76" s="139"/>
      <c r="IN76" s="139"/>
      <c r="IO76" s="139"/>
      <c r="IP76" s="139"/>
      <c r="IQ76" s="139"/>
      <c r="IR76" s="139"/>
      <c r="IS76" s="139"/>
      <c r="IT76" s="139"/>
      <c r="IU76" s="139"/>
      <c r="IV76" s="139"/>
    </row>
    <row r="77" spans="1:256" x14ac:dyDescent="0.25">
      <c r="A77" s="118" t="str">
        <f t="shared" si="1"/>
        <v>18SST304PA</v>
      </c>
      <c r="B77" s="136"/>
      <c r="C77" s="170"/>
      <c r="D77" s="121" t="s">
        <v>993</v>
      </c>
      <c r="E77" s="121" t="s">
        <v>834</v>
      </c>
      <c r="F77" s="130" t="s">
        <v>876</v>
      </c>
      <c r="G77" s="130" t="s">
        <v>876</v>
      </c>
      <c r="H77" s="131">
        <v>4.8030000000000003E-2</v>
      </c>
      <c r="I77" s="130" t="s">
        <v>716</v>
      </c>
      <c r="J77" s="123" t="s">
        <v>705</v>
      </c>
      <c r="K77" s="123" t="s">
        <v>998</v>
      </c>
      <c r="L77" s="122" t="s">
        <v>999</v>
      </c>
      <c r="M77" s="123" t="s">
        <v>860</v>
      </c>
      <c r="N77" s="118" t="s">
        <v>861</v>
      </c>
      <c r="O77" s="123" t="s">
        <v>722</v>
      </c>
      <c r="P77" s="123" t="s">
        <v>711</v>
      </c>
      <c r="Q77" s="130" t="s">
        <v>996</v>
      </c>
      <c r="R77" s="130" t="s">
        <v>1000</v>
      </c>
      <c r="S77" s="123" t="s">
        <v>714</v>
      </c>
      <c r="T77" s="123" t="s">
        <v>954</v>
      </c>
      <c r="U77" s="138"/>
      <c r="V77" s="139"/>
      <c r="W77" s="139"/>
      <c r="X77" s="139"/>
      <c r="Y77" s="139"/>
      <c r="Z77" s="139"/>
      <c r="AA77" s="139"/>
      <c r="AB77" s="139"/>
      <c r="AC77" s="139"/>
      <c r="AD77" s="139"/>
      <c r="AE77" s="139"/>
      <c r="AF77" s="139"/>
      <c r="AG77" s="139"/>
      <c r="AH77" s="139"/>
      <c r="AI77" s="139"/>
      <c r="AJ77" s="139"/>
      <c r="AK77" s="139"/>
      <c r="AL77" s="139"/>
      <c r="AM77" s="139"/>
      <c r="AN77" s="139"/>
      <c r="AO77" s="139"/>
      <c r="AP77" s="139"/>
      <c r="AQ77" s="139"/>
      <c r="AR77" s="139"/>
      <c r="AS77" s="139"/>
      <c r="AT77" s="139"/>
      <c r="AU77" s="139"/>
      <c r="AV77" s="139"/>
      <c r="AW77" s="139"/>
      <c r="AX77" s="139"/>
      <c r="AY77" s="139"/>
      <c r="AZ77" s="139"/>
      <c r="BA77" s="139"/>
      <c r="BB77" s="139"/>
      <c r="BC77" s="139"/>
      <c r="BD77" s="139"/>
      <c r="BE77" s="139"/>
      <c r="BF77" s="139"/>
      <c r="BG77" s="139"/>
      <c r="BH77" s="139"/>
      <c r="BI77" s="139"/>
      <c r="BJ77" s="139"/>
      <c r="BK77" s="139"/>
      <c r="BL77" s="139"/>
      <c r="BM77" s="139"/>
      <c r="BN77" s="139"/>
      <c r="BO77" s="139"/>
      <c r="BP77" s="139"/>
      <c r="BQ77" s="139"/>
      <c r="BR77" s="139"/>
      <c r="BS77" s="139"/>
      <c r="BT77" s="139"/>
      <c r="BU77" s="139"/>
      <c r="BV77" s="139"/>
      <c r="BW77" s="139"/>
      <c r="BX77" s="139"/>
      <c r="BY77" s="139"/>
      <c r="BZ77" s="139"/>
      <c r="CA77" s="139"/>
      <c r="CB77" s="139"/>
      <c r="CC77" s="139"/>
      <c r="CD77" s="139"/>
      <c r="CE77" s="139"/>
      <c r="CF77" s="139"/>
      <c r="CG77" s="139"/>
      <c r="CH77" s="139"/>
      <c r="CI77" s="139"/>
      <c r="CJ77" s="139"/>
      <c r="CK77" s="139"/>
      <c r="CL77" s="139"/>
      <c r="CM77" s="139"/>
      <c r="CN77" s="139"/>
      <c r="CO77" s="139"/>
      <c r="CP77" s="139"/>
      <c r="CQ77" s="139"/>
      <c r="CR77" s="139"/>
      <c r="CS77" s="139"/>
      <c r="CT77" s="139"/>
      <c r="CU77" s="139"/>
      <c r="CV77" s="139"/>
      <c r="CW77" s="139"/>
      <c r="CX77" s="139"/>
      <c r="CY77" s="139"/>
      <c r="CZ77" s="139"/>
      <c r="DA77" s="139"/>
      <c r="DB77" s="139"/>
      <c r="DC77" s="139"/>
      <c r="DD77" s="139"/>
      <c r="DE77" s="139"/>
      <c r="DF77" s="139"/>
      <c r="DG77" s="139"/>
      <c r="DH77" s="139"/>
      <c r="DI77" s="139"/>
      <c r="DJ77" s="139"/>
      <c r="DK77" s="139"/>
      <c r="DL77" s="139"/>
      <c r="DM77" s="139"/>
      <c r="DN77" s="139"/>
      <c r="DO77" s="139"/>
      <c r="DP77" s="139"/>
      <c r="DQ77" s="139"/>
      <c r="DR77" s="139"/>
      <c r="DS77" s="139"/>
      <c r="DT77" s="139"/>
      <c r="DU77" s="139"/>
      <c r="DV77" s="139"/>
      <c r="DW77" s="139"/>
      <c r="DX77" s="139"/>
      <c r="DY77" s="139"/>
      <c r="DZ77" s="139"/>
      <c r="EA77" s="139"/>
      <c r="EB77" s="139"/>
      <c r="EC77" s="139"/>
      <c r="ED77" s="139"/>
      <c r="EE77" s="139"/>
      <c r="EF77" s="139"/>
      <c r="EG77" s="139"/>
      <c r="EH77" s="139"/>
      <c r="EI77" s="139"/>
      <c r="EJ77" s="139"/>
      <c r="EK77" s="139"/>
      <c r="EL77" s="139"/>
      <c r="EM77" s="139"/>
      <c r="EN77" s="139"/>
      <c r="EO77" s="139"/>
      <c r="EP77" s="139"/>
      <c r="EQ77" s="139"/>
      <c r="ER77" s="139"/>
      <c r="ES77" s="139"/>
      <c r="ET77" s="139"/>
      <c r="EU77" s="139"/>
      <c r="EV77" s="139"/>
      <c r="EW77" s="139"/>
      <c r="EX77" s="139"/>
      <c r="EY77" s="139"/>
      <c r="EZ77" s="139"/>
      <c r="FA77" s="139"/>
      <c r="FB77" s="139"/>
      <c r="FC77" s="139"/>
      <c r="FD77" s="139"/>
      <c r="FE77" s="139"/>
      <c r="FF77" s="139"/>
      <c r="FG77" s="139"/>
      <c r="FH77" s="139"/>
      <c r="FI77" s="139"/>
      <c r="FJ77" s="139"/>
      <c r="FK77" s="139"/>
      <c r="FL77" s="139"/>
      <c r="FM77" s="139"/>
      <c r="FN77" s="139"/>
      <c r="FO77" s="139"/>
      <c r="FP77" s="139"/>
      <c r="FQ77" s="139"/>
      <c r="FR77" s="139"/>
      <c r="FS77" s="139"/>
      <c r="FT77" s="139"/>
      <c r="FU77" s="139"/>
      <c r="FV77" s="139"/>
      <c r="FW77" s="139"/>
      <c r="FX77" s="139"/>
      <c r="FY77" s="139"/>
      <c r="FZ77" s="139"/>
      <c r="GA77" s="139"/>
      <c r="GB77" s="139"/>
      <c r="GC77" s="139"/>
      <c r="GD77" s="139"/>
      <c r="GE77" s="139"/>
      <c r="GF77" s="139"/>
      <c r="GG77" s="139"/>
      <c r="GH77" s="139"/>
      <c r="GI77" s="139"/>
      <c r="GJ77" s="139"/>
      <c r="GK77" s="139"/>
      <c r="GL77" s="139"/>
      <c r="GM77" s="139"/>
      <c r="GN77" s="139"/>
      <c r="GO77" s="139"/>
      <c r="GP77" s="139"/>
      <c r="GQ77" s="139"/>
      <c r="GR77" s="139"/>
      <c r="GS77" s="139"/>
      <c r="GT77" s="139"/>
      <c r="GU77" s="139"/>
      <c r="GV77" s="139"/>
      <c r="GW77" s="139"/>
      <c r="GX77" s="139"/>
      <c r="GY77" s="139"/>
      <c r="GZ77" s="139"/>
      <c r="HA77" s="139"/>
      <c r="HB77" s="139"/>
      <c r="HC77" s="139"/>
      <c r="HD77" s="139"/>
      <c r="HE77" s="139"/>
      <c r="HF77" s="139"/>
      <c r="HG77" s="139"/>
      <c r="HH77" s="139"/>
      <c r="HI77" s="139"/>
      <c r="HJ77" s="139"/>
      <c r="HK77" s="139"/>
      <c r="HL77" s="139"/>
      <c r="HM77" s="139"/>
      <c r="HN77" s="139"/>
      <c r="HO77" s="139"/>
      <c r="HP77" s="139"/>
      <c r="HQ77" s="139"/>
      <c r="HR77" s="139"/>
      <c r="HS77" s="139"/>
      <c r="HT77" s="139"/>
      <c r="HU77" s="139"/>
      <c r="HV77" s="139"/>
      <c r="HW77" s="139"/>
      <c r="HX77" s="139"/>
      <c r="HY77" s="139"/>
      <c r="HZ77" s="139"/>
      <c r="IA77" s="139"/>
      <c r="IB77" s="139"/>
      <c r="IC77" s="139"/>
      <c r="ID77" s="139"/>
      <c r="IE77" s="139"/>
      <c r="IF77" s="139"/>
      <c r="IG77" s="139"/>
      <c r="IH77" s="139"/>
      <c r="II77" s="139"/>
      <c r="IJ77" s="139"/>
      <c r="IK77" s="139"/>
      <c r="IL77" s="139"/>
      <c r="IM77" s="139"/>
      <c r="IN77" s="139"/>
      <c r="IO77" s="139"/>
      <c r="IP77" s="139"/>
      <c r="IQ77" s="139"/>
      <c r="IR77" s="139"/>
      <c r="IS77" s="139"/>
      <c r="IT77" s="139"/>
      <c r="IU77" s="139"/>
      <c r="IV77" s="139"/>
    </row>
    <row r="78" spans="1:256" x14ac:dyDescent="0.25">
      <c r="A78" s="118" t="str">
        <f t="shared" si="1"/>
        <v>20SST304PA</v>
      </c>
      <c r="B78" s="136"/>
      <c r="C78" s="170"/>
      <c r="D78" s="121" t="s">
        <v>993</v>
      </c>
      <c r="E78" s="121" t="s">
        <v>826</v>
      </c>
      <c r="F78" s="130" t="s">
        <v>879</v>
      </c>
      <c r="G78" s="130" t="s">
        <v>879</v>
      </c>
      <c r="H78" s="131">
        <v>3.5029999999999999E-2</v>
      </c>
      <c r="I78" s="130" t="s">
        <v>716</v>
      </c>
      <c r="J78" s="130" t="s">
        <v>705</v>
      </c>
      <c r="K78" s="130" t="s">
        <v>1001</v>
      </c>
      <c r="L78" s="121" t="s">
        <v>1002</v>
      </c>
      <c r="M78" s="130" t="s">
        <v>860</v>
      </c>
      <c r="N78" s="118" t="s">
        <v>861</v>
      </c>
      <c r="O78" s="130" t="s">
        <v>722</v>
      </c>
      <c r="P78" s="130" t="s">
        <v>711</v>
      </c>
      <c r="Q78" s="130" t="s">
        <v>996</v>
      </c>
      <c r="R78" s="130" t="s">
        <v>1003</v>
      </c>
      <c r="S78" s="130" t="s">
        <v>714</v>
      </c>
      <c r="T78" s="130" t="s">
        <v>954</v>
      </c>
      <c r="U78" s="138"/>
      <c r="V78" s="139"/>
      <c r="W78" s="139"/>
      <c r="X78" s="139"/>
      <c r="Y78" s="139"/>
      <c r="Z78" s="139"/>
      <c r="AA78" s="139"/>
      <c r="AB78" s="139"/>
      <c r="AC78" s="139"/>
      <c r="AD78" s="139"/>
      <c r="AE78" s="139"/>
      <c r="AF78" s="139"/>
      <c r="AG78" s="139"/>
      <c r="AH78" s="139"/>
      <c r="AI78" s="139"/>
      <c r="AJ78" s="139"/>
      <c r="AK78" s="139"/>
      <c r="AL78" s="139"/>
      <c r="AM78" s="139"/>
      <c r="AN78" s="139"/>
      <c r="AO78" s="139"/>
      <c r="AP78" s="139"/>
      <c r="AQ78" s="139"/>
      <c r="AR78" s="139"/>
      <c r="AS78" s="139"/>
      <c r="AT78" s="139"/>
      <c r="AU78" s="139"/>
      <c r="AV78" s="139"/>
      <c r="AW78" s="139"/>
      <c r="AX78" s="139"/>
      <c r="AY78" s="139"/>
      <c r="AZ78" s="139"/>
      <c r="BA78" s="139"/>
      <c r="BB78" s="139"/>
      <c r="BC78" s="139"/>
      <c r="BD78" s="139"/>
      <c r="BE78" s="139"/>
      <c r="BF78" s="139"/>
      <c r="BG78" s="139"/>
      <c r="BH78" s="139"/>
      <c r="BI78" s="139"/>
      <c r="BJ78" s="139"/>
      <c r="BK78" s="139"/>
      <c r="BL78" s="139"/>
      <c r="BM78" s="139"/>
      <c r="BN78" s="139"/>
      <c r="BO78" s="139"/>
      <c r="BP78" s="139"/>
      <c r="BQ78" s="139"/>
      <c r="BR78" s="139"/>
      <c r="BS78" s="139"/>
      <c r="BT78" s="139"/>
      <c r="BU78" s="139"/>
      <c r="BV78" s="139"/>
      <c r="BW78" s="139"/>
      <c r="BX78" s="139"/>
      <c r="BY78" s="139"/>
      <c r="BZ78" s="139"/>
      <c r="CA78" s="139"/>
      <c r="CB78" s="139"/>
      <c r="CC78" s="139"/>
      <c r="CD78" s="139"/>
      <c r="CE78" s="139"/>
      <c r="CF78" s="139"/>
      <c r="CG78" s="139"/>
      <c r="CH78" s="139"/>
      <c r="CI78" s="139"/>
      <c r="CJ78" s="139"/>
      <c r="CK78" s="139"/>
      <c r="CL78" s="139"/>
      <c r="CM78" s="139"/>
      <c r="CN78" s="139"/>
      <c r="CO78" s="139"/>
      <c r="CP78" s="139"/>
      <c r="CQ78" s="139"/>
      <c r="CR78" s="139"/>
      <c r="CS78" s="139"/>
      <c r="CT78" s="139"/>
      <c r="CU78" s="139"/>
      <c r="CV78" s="139"/>
      <c r="CW78" s="139"/>
      <c r="CX78" s="139"/>
      <c r="CY78" s="139"/>
      <c r="CZ78" s="139"/>
      <c r="DA78" s="139"/>
      <c r="DB78" s="139"/>
      <c r="DC78" s="139"/>
      <c r="DD78" s="139"/>
      <c r="DE78" s="139"/>
      <c r="DF78" s="139"/>
      <c r="DG78" s="139"/>
      <c r="DH78" s="139"/>
      <c r="DI78" s="139"/>
      <c r="DJ78" s="139"/>
      <c r="DK78" s="139"/>
      <c r="DL78" s="139"/>
      <c r="DM78" s="139"/>
      <c r="DN78" s="139"/>
      <c r="DO78" s="139"/>
      <c r="DP78" s="139"/>
      <c r="DQ78" s="139"/>
      <c r="DR78" s="139"/>
      <c r="DS78" s="139"/>
      <c r="DT78" s="139"/>
      <c r="DU78" s="139"/>
      <c r="DV78" s="139"/>
      <c r="DW78" s="139"/>
      <c r="DX78" s="139"/>
      <c r="DY78" s="139"/>
      <c r="DZ78" s="139"/>
      <c r="EA78" s="139"/>
      <c r="EB78" s="139"/>
      <c r="EC78" s="139"/>
      <c r="ED78" s="139"/>
      <c r="EE78" s="139"/>
      <c r="EF78" s="139"/>
      <c r="EG78" s="139"/>
      <c r="EH78" s="139"/>
      <c r="EI78" s="139"/>
      <c r="EJ78" s="139"/>
      <c r="EK78" s="139"/>
      <c r="EL78" s="139"/>
      <c r="EM78" s="139"/>
      <c r="EN78" s="139"/>
      <c r="EO78" s="139"/>
      <c r="EP78" s="139"/>
      <c r="EQ78" s="139"/>
      <c r="ER78" s="139"/>
      <c r="ES78" s="139"/>
      <c r="ET78" s="139"/>
      <c r="EU78" s="139"/>
      <c r="EV78" s="139"/>
      <c r="EW78" s="139"/>
      <c r="EX78" s="139"/>
      <c r="EY78" s="139"/>
      <c r="EZ78" s="139"/>
      <c r="FA78" s="139"/>
      <c r="FB78" s="139"/>
      <c r="FC78" s="139"/>
      <c r="FD78" s="139"/>
      <c r="FE78" s="139"/>
      <c r="FF78" s="139"/>
      <c r="FG78" s="139"/>
      <c r="FH78" s="139"/>
      <c r="FI78" s="139"/>
      <c r="FJ78" s="139"/>
      <c r="FK78" s="139"/>
      <c r="FL78" s="139"/>
      <c r="FM78" s="139"/>
      <c r="FN78" s="139"/>
      <c r="FO78" s="139"/>
      <c r="FP78" s="139"/>
      <c r="FQ78" s="139"/>
      <c r="FR78" s="139"/>
      <c r="FS78" s="139"/>
      <c r="FT78" s="139"/>
      <c r="FU78" s="139"/>
      <c r="FV78" s="139"/>
      <c r="FW78" s="139"/>
      <c r="FX78" s="139"/>
      <c r="FY78" s="139"/>
      <c r="FZ78" s="139"/>
      <c r="GA78" s="139"/>
      <c r="GB78" s="139"/>
      <c r="GC78" s="139"/>
      <c r="GD78" s="139"/>
      <c r="GE78" s="139"/>
      <c r="GF78" s="139"/>
      <c r="GG78" s="139"/>
      <c r="GH78" s="139"/>
      <c r="GI78" s="139"/>
      <c r="GJ78" s="139"/>
      <c r="GK78" s="139"/>
      <c r="GL78" s="139"/>
      <c r="GM78" s="139"/>
      <c r="GN78" s="139"/>
      <c r="GO78" s="139"/>
      <c r="GP78" s="139"/>
      <c r="GQ78" s="139"/>
      <c r="GR78" s="139"/>
      <c r="GS78" s="139"/>
      <c r="GT78" s="139"/>
      <c r="GU78" s="139"/>
      <c r="GV78" s="139"/>
      <c r="GW78" s="139"/>
      <c r="GX78" s="139"/>
      <c r="GY78" s="139"/>
      <c r="GZ78" s="139"/>
      <c r="HA78" s="139"/>
      <c r="HB78" s="139"/>
      <c r="HC78" s="139"/>
      <c r="HD78" s="139"/>
      <c r="HE78" s="139"/>
      <c r="HF78" s="139"/>
      <c r="HG78" s="139"/>
      <c r="HH78" s="139"/>
      <c r="HI78" s="139"/>
      <c r="HJ78" s="139"/>
      <c r="HK78" s="139"/>
      <c r="HL78" s="139"/>
      <c r="HM78" s="139"/>
      <c r="HN78" s="139"/>
      <c r="HO78" s="139"/>
      <c r="HP78" s="139"/>
      <c r="HQ78" s="139"/>
      <c r="HR78" s="139"/>
      <c r="HS78" s="139"/>
      <c r="HT78" s="139"/>
      <c r="HU78" s="139"/>
      <c r="HV78" s="139"/>
      <c r="HW78" s="139"/>
      <c r="HX78" s="139"/>
      <c r="HY78" s="139"/>
      <c r="HZ78" s="139"/>
      <c r="IA78" s="139"/>
      <c r="IB78" s="139"/>
      <c r="IC78" s="139"/>
      <c r="ID78" s="139"/>
      <c r="IE78" s="139"/>
      <c r="IF78" s="139"/>
      <c r="IG78" s="139"/>
      <c r="IH78" s="139"/>
      <c r="II78" s="139"/>
      <c r="IJ78" s="139"/>
      <c r="IK78" s="139"/>
      <c r="IL78" s="139"/>
      <c r="IM78" s="139"/>
      <c r="IN78" s="139"/>
      <c r="IO78" s="139"/>
      <c r="IP78" s="139"/>
      <c r="IQ78" s="139"/>
      <c r="IR78" s="139"/>
      <c r="IS78" s="139"/>
      <c r="IT78" s="139"/>
      <c r="IU78" s="139"/>
      <c r="IV78" s="139"/>
    </row>
    <row r="79" spans="1:256" x14ac:dyDescent="0.25">
      <c r="A79" s="118" t="str">
        <f t="shared" si="1"/>
        <v>16SST304PC</v>
      </c>
      <c r="B79" s="136"/>
      <c r="C79" s="170"/>
      <c r="D79" s="121" t="s">
        <v>993</v>
      </c>
      <c r="E79" s="122" t="s">
        <v>839</v>
      </c>
      <c r="F79" s="123" t="s">
        <v>873</v>
      </c>
      <c r="G79" s="123" t="s">
        <v>873</v>
      </c>
      <c r="H79" s="124">
        <v>6.0049999999999999E-2</v>
      </c>
      <c r="I79" s="123" t="s">
        <v>716</v>
      </c>
      <c r="J79" s="123" t="s">
        <v>705</v>
      </c>
      <c r="K79" s="123" t="s">
        <v>1004</v>
      </c>
      <c r="L79" s="122" t="s">
        <v>1005</v>
      </c>
      <c r="M79" s="123" t="s">
        <v>860</v>
      </c>
      <c r="N79" s="118" t="s">
        <v>861</v>
      </c>
      <c r="O79" s="130" t="s">
        <v>722</v>
      </c>
      <c r="P79" s="123" t="s">
        <v>711</v>
      </c>
      <c r="Q79" s="130" t="s">
        <v>1006</v>
      </c>
      <c r="R79" s="123" t="s">
        <v>1007</v>
      </c>
      <c r="S79" s="123" t="s">
        <v>954</v>
      </c>
      <c r="T79" s="123" t="s">
        <v>1008</v>
      </c>
      <c r="U79" s="138"/>
      <c r="V79" s="139"/>
      <c r="W79" s="139"/>
      <c r="X79" s="139"/>
      <c r="Y79" s="139"/>
      <c r="Z79" s="139"/>
      <c r="AA79" s="139"/>
      <c r="AB79" s="139"/>
      <c r="AC79" s="139"/>
      <c r="AD79" s="139"/>
      <c r="AE79" s="139"/>
      <c r="AF79" s="139"/>
      <c r="AG79" s="139"/>
      <c r="AH79" s="139"/>
      <c r="AI79" s="139"/>
      <c r="AJ79" s="139"/>
      <c r="AK79" s="139"/>
      <c r="AL79" s="139"/>
      <c r="AM79" s="139"/>
      <c r="AN79" s="139"/>
      <c r="AO79" s="139"/>
      <c r="AP79" s="139"/>
      <c r="AQ79" s="139"/>
      <c r="AR79" s="139"/>
      <c r="AS79" s="139"/>
      <c r="AT79" s="139"/>
      <c r="AU79" s="139"/>
      <c r="AV79" s="139"/>
      <c r="AW79" s="139"/>
      <c r="AX79" s="139"/>
      <c r="AY79" s="139"/>
      <c r="AZ79" s="139"/>
      <c r="BA79" s="139"/>
      <c r="BB79" s="139"/>
      <c r="BC79" s="139"/>
      <c r="BD79" s="139"/>
      <c r="BE79" s="139"/>
      <c r="BF79" s="139"/>
      <c r="BG79" s="139"/>
      <c r="BH79" s="139"/>
      <c r="BI79" s="139"/>
      <c r="BJ79" s="139"/>
      <c r="BK79" s="139"/>
      <c r="BL79" s="139"/>
      <c r="BM79" s="139"/>
      <c r="BN79" s="139"/>
      <c r="BO79" s="139"/>
      <c r="BP79" s="139"/>
      <c r="BQ79" s="139"/>
      <c r="BR79" s="139"/>
      <c r="BS79" s="139"/>
      <c r="BT79" s="139"/>
      <c r="BU79" s="139"/>
      <c r="BV79" s="139"/>
      <c r="BW79" s="139"/>
      <c r="BX79" s="139"/>
      <c r="BY79" s="139"/>
      <c r="BZ79" s="139"/>
      <c r="CA79" s="139"/>
      <c r="CB79" s="139"/>
      <c r="CC79" s="139"/>
      <c r="CD79" s="139"/>
      <c r="CE79" s="139"/>
      <c r="CF79" s="139"/>
      <c r="CG79" s="139"/>
      <c r="CH79" s="139"/>
      <c r="CI79" s="139"/>
      <c r="CJ79" s="139"/>
      <c r="CK79" s="139"/>
      <c r="CL79" s="139"/>
      <c r="CM79" s="139"/>
      <c r="CN79" s="139"/>
      <c r="CO79" s="139"/>
      <c r="CP79" s="139"/>
      <c r="CQ79" s="139"/>
      <c r="CR79" s="139"/>
      <c r="CS79" s="139"/>
      <c r="CT79" s="139"/>
      <c r="CU79" s="139"/>
      <c r="CV79" s="139"/>
      <c r="CW79" s="139"/>
      <c r="CX79" s="139"/>
      <c r="CY79" s="139"/>
      <c r="CZ79" s="139"/>
      <c r="DA79" s="139"/>
      <c r="DB79" s="139"/>
      <c r="DC79" s="139"/>
      <c r="DD79" s="139"/>
      <c r="DE79" s="139"/>
      <c r="DF79" s="139"/>
      <c r="DG79" s="139"/>
      <c r="DH79" s="139"/>
      <c r="DI79" s="139"/>
      <c r="DJ79" s="139"/>
      <c r="DK79" s="139"/>
      <c r="DL79" s="139"/>
      <c r="DM79" s="139"/>
      <c r="DN79" s="139"/>
      <c r="DO79" s="139"/>
      <c r="DP79" s="139"/>
      <c r="DQ79" s="139"/>
      <c r="DR79" s="139"/>
      <c r="DS79" s="139"/>
      <c r="DT79" s="139"/>
      <c r="DU79" s="139"/>
      <c r="DV79" s="139"/>
      <c r="DW79" s="139"/>
      <c r="DX79" s="139"/>
      <c r="DY79" s="139"/>
      <c r="DZ79" s="139"/>
      <c r="EA79" s="139"/>
      <c r="EB79" s="139"/>
      <c r="EC79" s="139"/>
      <c r="ED79" s="139"/>
      <c r="EE79" s="139"/>
      <c r="EF79" s="139"/>
      <c r="EG79" s="139"/>
      <c r="EH79" s="139"/>
      <c r="EI79" s="139"/>
      <c r="EJ79" s="139"/>
      <c r="EK79" s="139"/>
      <c r="EL79" s="139"/>
      <c r="EM79" s="139"/>
      <c r="EN79" s="139"/>
      <c r="EO79" s="139"/>
      <c r="EP79" s="139"/>
      <c r="EQ79" s="139"/>
      <c r="ER79" s="139"/>
      <c r="ES79" s="139"/>
      <c r="ET79" s="139"/>
      <c r="EU79" s="139"/>
      <c r="EV79" s="139"/>
      <c r="EW79" s="139"/>
      <c r="EX79" s="139"/>
      <c r="EY79" s="139"/>
      <c r="EZ79" s="139"/>
      <c r="FA79" s="139"/>
      <c r="FB79" s="139"/>
      <c r="FC79" s="139"/>
      <c r="FD79" s="139"/>
      <c r="FE79" s="139"/>
      <c r="FF79" s="139"/>
      <c r="FG79" s="139"/>
      <c r="FH79" s="139"/>
      <c r="FI79" s="139"/>
      <c r="FJ79" s="139"/>
      <c r="FK79" s="139"/>
      <c r="FL79" s="139"/>
      <c r="FM79" s="139"/>
      <c r="FN79" s="139"/>
      <c r="FO79" s="139"/>
      <c r="FP79" s="139"/>
      <c r="FQ79" s="139"/>
      <c r="FR79" s="139"/>
      <c r="FS79" s="139"/>
      <c r="FT79" s="139"/>
      <c r="FU79" s="139"/>
      <c r="FV79" s="139"/>
      <c r="FW79" s="139"/>
      <c r="FX79" s="139"/>
      <c r="FY79" s="139"/>
      <c r="FZ79" s="139"/>
      <c r="GA79" s="139"/>
      <c r="GB79" s="139"/>
      <c r="GC79" s="139"/>
      <c r="GD79" s="139"/>
      <c r="GE79" s="139"/>
      <c r="GF79" s="139"/>
      <c r="GG79" s="139"/>
      <c r="GH79" s="139"/>
      <c r="GI79" s="139"/>
      <c r="GJ79" s="139"/>
      <c r="GK79" s="139"/>
      <c r="GL79" s="139"/>
      <c r="GM79" s="139"/>
      <c r="GN79" s="139"/>
      <c r="GO79" s="139"/>
      <c r="GP79" s="139"/>
      <c r="GQ79" s="139"/>
      <c r="GR79" s="139"/>
      <c r="GS79" s="139"/>
      <c r="GT79" s="139"/>
      <c r="GU79" s="139"/>
      <c r="GV79" s="139"/>
      <c r="GW79" s="139"/>
      <c r="GX79" s="139"/>
      <c r="GY79" s="139"/>
      <c r="GZ79" s="139"/>
      <c r="HA79" s="139"/>
      <c r="HB79" s="139"/>
      <c r="HC79" s="139"/>
      <c r="HD79" s="139"/>
      <c r="HE79" s="139"/>
      <c r="HF79" s="139"/>
      <c r="HG79" s="139"/>
      <c r="HH79" s="139"/>
      <c r="HI79" s="139"/>
      <c r="HJ79" s="139"/>
      <c r="HK79" s="139"/>
      <c r="HL79" s="139"/>
      <c r="HM79" s="139"/>
      <c r="HN79" s="139"/>
      <c r="HO79" s="139"/>
      <c r="HP79" s="139"/>
      <c r="HQ79" s="139"/>
      <c r="HR79" s="139"/>
      <c r="HS79" s="139"/>
      <c r="HT79" s="139"/>
      <c r="HU79" s="139"/>
      <c r="HV79" s="139"/>
      <c r="HW79" s="139"/>
      <c r="HX79" s="139"/>
      <c r="HY79" s="139"/>
      <c r="HZ79" s="139"/>
      <c r="IA79" s="139"/>
      <c r="IB79" s="139"/>
      <c r="IC79" s="139"/>
      <c r="ID79" s="139"/>
      <c r="IE79" s="139"/>
      <c r="IF79" s="139"/>
      <c r="IG79" s="139"/>
      <c r="IH79" s="139"/>
      <c r="II79" s="139"/>
      <c r="IJ79" s="139"/>
      <c r="IK79" s="139"/>
      <c r="IL79" s="139"/>
      <c r="IM79" s="139"/>
      <c r="IN79" s="139"/>
      <c r="IO79" s="139"/>
      <c r="IP79" s="139"/>
      <c r="IQ79" s="139"/>
      <c r="IR79" s="139"/>
      <c r="IS79" s="139"/>
      <c r="IT79" s="139"/>
      <c r="IU79" s="139"/>
      <c r="IV79" s="139"/>
    </row>
    <row r="80" spans="1:256" ht="13.8" thickBot="1" x14ac:dyDescent="0.3">
      <c r="A80" s="141" t="str">
        <f t="shared" si="1"/>
        <v>18SST304PB</v>
      </c>
      <c r="B80" s="136"/>
      <c r="C80" s="170"/>
      <c r="D80" s="143" t="s">
        <v>993</v>
      </c>
      <c r="E80" s="143" t="s">
        <v>834</v>
      </c>
      <c r="F80" s="144" t="s">
        <v>876</v>
      </c>
      <c r="G80" s="144" t="s">
        <v>876</v>
      </c>
      <c r="H80" s="145">
        <v>4.8039999999999999E-2</v>
      </c>
      <c r="I80" s="144" t="s">
        <v>716</v>
      </c>
      <c r="J80" s="144" t="s">
        <v>705</v>
      </c>
      <c r="K80" s="144" t="s">
        <v>1009</v>
      </c>
      <c r="L80" s="143" t="s">
        <v>1010</v>
      </c>
      <c r="M80" s="144" t="s">
        <v>860</v>
      </c>
      <c r="N80" s="141" t="s">
        <v>861</v>
      </c>
      <c r="O80" s="144" t="s">
        <v>722</v>
      </c>
      <c r="P80" s="144" t="s">
        <v>711</v>
      </c>
      <c r="Q80" s="144" t="s">
        <v>1011</v>
      </c>
      <c r="R80" s="144" t="s">
        <v>1012</v>
      </c>
      <c r="S80" s="144" t="s">
        <v>969</v>
      </c>
      <c r="T80" s="144" t="s">
        <v>970</v>
      </c>
      <c r="U80" s="138"/>
      <c r="V80" s="139"/>
      <c r="W80" s="139"/>
      <c r="X80" s="139"/>
      <c r="Y80" s="139"/>
      <c r="Z80" s="139"/>
      <c r="AA80" s="139"/>
      <c r="AB80" s="139"/>
      <c r="AC80" s="139"/>
      <c r="AD80" s="139"/>
      <c r="AE80" s="139"/>
      <c r="AF80" s="139"/>
      <c r="AG80" s="139"/>
      <c r="AH80" s="139"/>
      <c r="AI80" s="139"/>
      <c r="AJ80" s="139"/>
      <c r="AK80" s="139"/>
      <c r="AL80" s="139"/>
      <c r="AM80" s="139"/>
      <c r="AN80" s="139"/>
      <c r="AO80" s="139"/>
      <c r="AP80" s="139"/>
      <c r="AQ80" s="139"/>
      <c r="AR80" s="139"/>
      <c r="AS80" s="139"/>
      <c r="AT80" s="139"/>
      <c r="AU80" s="139"/>
      <c r="AV80" s="139"/>
      <c r="AW80" s="139"/>
      <c r="AX80" s="139"/>
      <c r="AY80" s="139"/>
      <c r="AZ80" s="139"/>
      <c r="BA80" s="139"/>
      <c r="BB80" s="139"/>
      <c r="BC80" s="139"/>
      <c r="BD80" s="139"/>
      <c r="BE80" s="139"/>
      <c r="BF80" s="139"/>
      <c r="BG80" s="139"/>
      <c r="BH80" s="139"/>
      <c r="BI80" s="139"/>
      <c r="BJ80" s="139"/>
      <c r="BK80" s="139"/>
      <c r="BL80" s="139"/>
      <c r="BM80" s="139"/>
      <c r="BN80" s="139"/>
      <c r="BO80" s="139"/>
      <c r="BP80" s="139"/>
      <c r="BQ80" s="139"/>
      <c r="BR80" s="139"/>
      <c r="BS80" s="139"/>
      <c r="BT80" s="139"/>
      <c r="BU80" s="139"/>
      <c r="BV80" s="139"/>
      <c r="BW80" s="139"/>
      <c r="BX80" s="139"/>
      <c r="BY80" s="139"/>
      <c r="BZ80" s="139"/>
      <c r="CA80" s="139"/>
      <c r="CB80" s="139"/>
      <c r="CC80" s="139"/>
      <c r="CD80" s="139"/>
      <c r="CE80" s="139"/>
      <c r="CF80" s="139"/>
      <c r="CG80" s="139"/>
      <c r="CH80" s="139"/>
      <c r="CI80" s="139"/>
      <c r="CJ80" s="139"/>
      <c r="CK80" s="139"/>
      <c r="CL80" s="139"/>
      <c r="CM80" s="139"/>
      <c r="CN80" s="139"/>
      <c r="CO80" s="139"/>
      <c r="CP80" s="139"/>
      <c r="CQ80" s="139"/>
      <c r="CR80" s="139"/>
      <c r="CS80" s="139"/>
      <c r="CT80" s="139"/>
      <c r="CU80" s="139"/>
      <c r="CV80" s="139"/>
      <c r="CW80" s="139"/>
      <c r="CX80" s="139"/>
      <c r="CY80" s="139"/>
      <c r="CZ80" s="139"/>
      <c r="DA80" s="139"/>
      <c r="DB80" s="139"/>
      <c r="DC80" s="139"/>
      <c r="DD80" s="139"/>
      <c r="DE80" s="139"/>
      <c r="DF80" s="139"/>
      <c r="DG80" s="139"/>
      <c r="DH80" s="139"/>
      <c r="DI80" s="139"/>
      <c r="DJ80" s="139"/>
      <c r="DK80" s="139"/>
      <c r="DL80" s="139"/>
      <c r="DM80" s="139"/>
      <c r="DN80" s="139"/>
      <c r="DO80" s="139"/>
      <c r="DP80" s="139"/>
      <c r="DQ80" s="139"/>
      <c r="DR80" s="139"/>
      <c r="DS80" s="139"/>
      <c r="DT80" s="139"/>
      <c r="DU80" s="139"/>
      <c r="DV80" s="139"/>
      <c r="DW80" s="139"/>
      <c r="DX80" s="139"/>
      <c r="DY80" s="139"/>
      <c r="DZ80" s="139"/>
      <c r="EA80" s="139"/>
      <c r="EB80" s="139"/>
      <c r="EC80" s="139"/>
      <c r="ED80" s="139"/>
      <c r="EE80" s="139"/>
      <c r="EF80" s="139"/>
      <c r="EG80" s="139"/>
      <c r="EH80" s="139"/>
      <c r="EI80" s="139"/>
      <c r="EJ80" s="139"/>
      <c r="EK80" s="139"/>
      <c r="EL80" s="139"/>
      <c r="EM80" s="139"/>
      <c r="EN80" s="139"/>
      <c r="EO80" s="139"/>
      <c r="EP80" s="139"/>
      <c r="EQ80" s="139"/>
      <c r="ER80" s="139"/>
      <c r="ES80" s="139"/>
      <c r="ET80" s="139"/>
      <c r="EU80" s="139"/>
      <c r="EV80" s="139"/>
      <c r="EW80" s="139"/>
      <c r="EX80" s="139"/>
      <c r="EY80" s="139"/>
      <c r="EZ80" s="139"/>
      <c r="FA80" s="139"/>
      <c r="FB80" s="139"/>
      <c r="FC80" s="139"/>
      <c r="FD80" s="139"/>
      <c r="FE80" s="139"/>
      <c r="FF80" s="139"/>
      <c r="FG80" s="139"/>
      <c r="FH80" s="139"/>
      <c r="FI80" s="139"/>
      <c r="FJ80" s="139"/>
      <c r="FK80" s="139"/>
      <c r="FL80" s="139"/>
      <c r="FM80" s="139"/>
      <c r="FN80" s="139"/>
      <c r="FO80" s="139"/>
      <c r="FP80" s="139"/>
      <c r="FQ80" s="139"/>
      <c r="FR80" s="139"/>
      <c r="FS80" s="139"/>
      <c r="FT80" s="139"/>
      <c r="FU80" s="139"/>
      <c r="FV80" s="139"/>
      <c r="FW80" s="139"/>
      <c r="FX80" s="139"/>
      <c r="FY80" s="139"/>
      <c r="FZ80" s="139"/>
      <c r="GA80" s="139"/>
      <c r="GB80" s="139"/>
      <c r="GC80" s="139"/>
      <c r="GD80" s="139"/>
      <c r="GE80" s="139"/>
      <c r="GF80" s="139"/>
      <c r="GG80" s="139"/>
      <c r="GH80" s="139"/>
      <c r="GI80" s="139"/>
      <c r="GJ80" s="139"/>
      <c r="GK80" s="139"/>
      <c r="GL80" s="139"/>
      <c r="GM80" s="139"/>
      <c r="GN80" s="139"/>
      <c r="GO80" s="139"/>
      <c r="GP80" s="139"/>
      <c r="GQ80" s="139"/>
      <c r="GR80" s="139"/>
      <c r="GS80" s="139"/>
      <c r="GT80" s="139"/>
      <c r="GU80" s="139"/>
      <c r="GV80" s="139"/>
      <c r="GW80" s="139"/>
      <c r="GX80" s="139"/>
      <c r="GY80" s="139"/>
      <c r="GZ80" s="139"/>
      <c r="HA80" s="139"/>
      <c r="HB80" s="139"/>
      <c r="HC80" s="139"/>
      <c r="HD80" s="139"/>
      <c r="HE80" s="139"/>
      <c r="HF80" s="139"/>
      <c r="HG80" s="139"/>
      <c r="HH80" s="139"/>
      <c r="HI80" s="139"/>
      <c r="HJ80" s="139"/>
      <c r="HK80" s="139"/>
      <c r="HL80" s="139"/>
      <c r="HM80" s="139"/>
      <c r="HN80" s="139"/>
      <c r="HO80" s="139"/>
      <c r="HP80" s="139"/>
      <c r="HQ80" s="139"/>
      <c r="HR80" s="139"/>
      <c r="HS80" s="139"/>
      <c r="HT80" s="139"/>
      <c r="HU80" s="139"/>
      <c r="HV80" s="139"/>
      <c r="HW80" s="139"/>
      <c r="HX80" s="139"/>
      <c r="HY80" s="139"/>
      <c r="HZ80" s="139"/>
      <c r="IA80" s="139"/>
      <c r="IB80" s="139"/>
      <c r="IC80" s="139"/>
      <c r="ID80" s="139"/>
      <c r="IE80" s="139"/>
      <c r="IF80" s="139"/>
      <c r="IG80" s="139"/>
      <c r="IH80" s="139"/>
      <c r="II80" s="139"/>
      <c r="IJ80" s="139"/>
      <c r="IK80" s="139"/>
      <c r="IL80" s="139"/>
      <c r="IM80" s="139"/>
      <c r="IN80" s="139"/>
      <c r="IO80" s="139"/>
      <c r="IP80" s="139"/>
      <c r="IQ80" s="139"/>
      <c r="IR80" s="139"/>
      <c r="IS80" s="139"/>
      <c r="IT80" s="139"/>
      <c r="IU80" s="139"/>
      <c r="IV80" s="139"/>
    </row>
    <row r="81" spans="1:256" ht="17.25" customHeight="1" thickTop="1" thickBot="1" x14ac:dyDescent="0.3">
      <c r="A81" s="148" t="str">
        <f t="shared" si="1"/>
        <v/>
      </c>
      <c r="B81" s="136"/>
      <c r="C81" s="149"/>
      <c r="D81" s="150"/>
      <c r="E81" s="150"/>
      <c r="F81" s="150"/>
      <c r="G81" s="150"/>
      <c r="H81" s="150"/>
      <c r="I81" s="150"/>
      <c r="J81" s="150"/>
      <c r="K81" s="150"/>
      <c r="L81" s="150"/>
      <c r="M81" s="151"/>
      <c r="N81" s="151"/>
      <c r="O81" s="151"/>
      <c r="P81" s="151"/>
      <c r="Q81" s="151"/>
      <c r="R81" s="151"/>
      <c r="S81" s="151"/>
      <c r="T81" s="171"/>
      <c r="U81" s="138"/>
      <c r="V81" s="139"/>
      <c r="W81" s="139"/>
      <c r="X81" s="139"/>
      <c r="Y81" s="139"/>
      <c r="Z81" s="139"/>
      <c r="AA81" s="139"/>
      <c r="AB81" s="139"/>
      <c r="AC81" s="139"/>
      <c r="AD81" s="139"/>
      <c r="AE81" s="139"/>
      <c r="AF81" s="139"/>
      <c r="AG81" s="139"/>
      <c r="AH81" s="139"/>
      <c r="AI81" s="139"/>
      <c r="AJ81" s="139"/>
      <c r="AK81" s="139"/>
      <c r="AL81" s="139"/>
      <c r="AM81" s="139"/>
      <c r="AN81" s="139"/>
      <c r="AO81" s="139"/>
      <c r="AP81" s="139"/>
      <c r="AQ81" s="139"/>
      <c r="AR81" s="139"/>
      <c r="AS81" s="139"/>
      <c r="AT81" s="139"/>
      <c r="AU81" s="139"/>
      <c r="AV81" s="139"/>
      <c r="AW81" s="139"/>
      <c r="AX81" s="139"/>
      <c r="AY81" s="139"/>
      <c r="AZ81" s="139"/>
      <c r="BA81" s="139"/>
      <c r="BB81" s="139"/>
      <c r="BC81" s="139"/>
      <c r="BD81" s="139"/>
      <c r="BE81" s="139"/>
      <c r="BF81" s="139"/>
      <c r="BG81" s="139"/>
      <c r="BH81" s="139"/>
      <c r="BI81" s="139"/>
      <c r="BJ81" s="139"/>
      <c r="BK81" s="139"/>
      <c r="BL81" s="139"/>
      <c r="BM81" s="139"/>
      <c r="BN81" s="139"/>
      <c r="BO81" s="139"/>
      <c r="BP81" s="139"/>
      <c r="BQ81" s="139"/>
      <c r="BR81" s="139"/>
      <c r="BS81" s="139"/>
      <c r="BT81" s="139"/>
      <c r="BU81" s="139"/>
      <c r="BV81" s="139"/>
      <c r="BW81" s="139"/>
      <c r="BX81" s="139"/>
      <c r="BY81" s="139"/>
      <c r="BZ81" s="139"/>
      <c r="CA81" s="139"/>
      <c r="CB81" s="139"/>
      <c r="CC81" s="139"/>
      <c r="CD81" s="139"/>
      <c r="CE81" s="139"/>
      <c r="CF81" s="139"/>
      <c r="CG81" s="139"/>
      <c r="CH81" s="139"/>
      <c r="CI81" s="139"/>
      <c r="CJ81" s="139"/>
      <c r="CK81" s="139"/>
      <c r="CL81" s="139"/>
      <c r="CM81" s="139"/>
      <c r="CN81" s="139"/>
      <c r="CO81" s="139"/>
      <c r="CP81" s="139"/>
      <c r="CQ81" s="139"/>
      <c r="CR81" s="139"/>
      <c r="CS81" s="139"/>
      <c r="CT81" s="139"/>
      <c r="CU81" s="139"/>
      <c r="CV81" s="139"/>
      <c r="CW81" s="139"/>
      <c r="CX81" s="139"/>
      <c r="CY81" s="139"/>
      <c r="CZ81" s="139"/>
      <c r="DA81" s="139"/>
      <c r="DB81" s="139"/>
      <c r="DC81" s="139"/>
      <c r="DD81" s="139"/>
      <c r="DE81" s="139"/>
      <c r="DF81" s="139"/>
      <c r="DG81" s="139"/>
      <c r="DH81" s="139"/>
      <c r="DI81" s="139"/>
      <c r="DJ81" s="139"/>
      <c r="DK81" s="139"/>
      <c r="DL81" s="139"/>
      <c r="DM81" s="139"/>
      <c r="DN81" s="139"/>
      <c r="DO81" s="139"/>
      <c r="DP81" s="139"/>
      <c r="DQ81" s="139"/>
      <c r="DR81" s="139"/>
      <c r="DS81" s="139"/>
      <c r="DT81" s="139"/>
      <c r="DU81" s="139"/>
      <c r="DV81" s="139"/>
      <c r="DW81" s="139"/>
      <c r="DX81" s="139"/>
      <c r="DY81" s="139"/>
      <c r="DZ81" s="139"/>
      <c r="EA81" s="139"/>
      <c r="EB81" s="139"/>
      <c r="EC81" s="139"/>
      <c r="ED81" s="139"/>
      <c r="EE81" s="139"/>
      <c r="EF81" s="139"/>
      <c r="EG81" s="139"/>
      <c r="EH81" s="139"/>
      <c r="EI81" s="139"/>
      <c r="EJ81" s="139"/>
      <c r="EK81" s="139"/>
      <c r="EL81" s="139"/>
      <c r="EM81" s="139"/>
      <c r="EN81" s="139"/>
      <c r="EO81" s="139"/>
      <c r="EP81" s="139"/>
      <c r="EQ81" s="139"/>
      <c r="ER81" s="139"/>
      <c r="ES81" s="139"/>
      <c r="ET81" s="139"/>
      <c r="EU81" s="139"/>
      <c r="EV81" s="139"/>
      <c r="EW81" s="139"/>
      <c r="EX81" s="139"/>
      <c r="EY81" s="139"/>
      <c r="EZ81" s="139"/>
      <c r="FA81" s="139"/>
      <c r="FB81" s="139"/>
      <c r="FC81" s="139"/>
      <c r="FD81" s="139"/>
      <c r="FE81" s="139"/>
      <c r="FF81" s="139"/>
      <c r="FG81" s="139"/>
      <c r="FH81" s="139"/>
      <c r="FI81" s="139"/>
      <c r="FJ81" s="139"/>
      <c r="FK81" s="139"/>
      <c r="FL81" s="139"/>
      <c r="FM81" s="139"/>
      <c r="FN81" s="139"/>
      <c r="FO81" s="139"/>
      <c r="FP81" s="139"/>
      <c r="FQ81" s="139"/>
      <c r="FR81" s="139"/>
      <c r="FS81" s="139"/>
      <c r="FT81" s="139"/>
      <c r="FU81" s="139"/>
      <c r="FV81" s="139"/>
      <c r="FW81" s="139"/>
      <c r="FX81" s="139"/>
      <c r="FY81" s="139"/>
      <c r="FZ81" s="139"/>
      <c r="GA81" s="139"/>
      <c r="GB81" s="139"/>
      <c r="GC81" s="139"/>
      <c r="GD81" s="139"/>
      <c r="GE81" s="139"/>
      <c r="GF81" s="139"/>
      <c r="GG81" s="139"/>
      <c r="GH81" s="139"/>
      <c r="GI81" s="139"/>
      <c r="GJ81" s="139"/>
      <c r="GK81" s="139"/>
      <c r="GL81" s="139"/>
      <c r="GM81" s="139"/>
      <c r="GN81" s="139"/>
      <c r="GO81" s="139"/>
      <c r="GP81" s="139"/>
      <c r="GQ81" s="139"/>
      <c r="GR81" s="139"/>
      <c r="GS81" s="139"/>
      <c r="GT81" s="139"/>
      <c r="GU81" s="139"/>
      <c r="GV81" s="139"/>
      <c r="GW81" s="139"/>
      <c r="GX81" s="139"/>
      <c r="GY81" s="139"/>
      <c r="GZ81" s="139"/>
      <c r="HA81" s="139"/>
      <c r="HB81" s="139"/>
      <c r="HC81" s="139"/>
      <c r="HD81" s="139"/>
      <c r="HE81" s="139"/>
      <c r="HF81" s="139"/>
      <c r="HG81" s="139"/>
      <c r="HH81" s="139"/>
      <c r="HI81" s="139"/>
      <c r="HJ81" s="139"/>
      <c r="HK81" s="139"/>
      <c r="HL81" s="139"/>
      <c r="HM81" s="139"/>
      <c r="HN81" s="139"/>
      <c r="HO81" s="139"/>
      <c r="HP81" s="139"/>
      <c r="HQ81" s="139"/>
      <c r="HR81" s="139"/>
      <c r="HS81" s="139"/>
      <c r="HT81" s="139"/>
      <c r="HU81" s="139"/>
      <c r="HV81" s="139"/>
      <c r="HW81" s="139"/>
      <c r="HX81" s="139"/>
      <c r="HY81" s="139"/>
      <c r="HZ81" s="139"/>
      <c r="IA81" s="139"/>
      <c r="IB81" s="139"/>
      <c r="IC81" s="139"/>
      <c r="ID81" s="139"/>
      <c r="IE81" s="139"/>
      <c r="IF81" s="139"/>
      <c r="IG81" s="139"/>
      <c r="IH81" s="139"/>
      <c r="II81" s="139"/>
      <c r="IJ81" s="139"/>
      <c r="IK81" s="139"/>
      <c r="IL81" s="139"/>
      <c r="IM81" s="139"/>
      <c r="IN81" s="139"/>
      <c r="IO81" s="139"/>
      <c r="IP81" s="139"/>
      <c r="IQ81" s="139"/>
      <c r="IR81" s="139"/>
      <c r="IS81" s="139"/>
      <c r="IT81" s="139"/>
      <c r="IU81" s="139"/>
      <c r="IV81" s="139"/>
    </row>
    <row r="82" spans="1:256" ht="17.25" customHeight="1" thickTop="1" thickBot="1" x14ac:dyDescent="0.3">
      <c r="A82" s="148" t="str">
        <f t="shared" si="1"/>
        <v/>
      </c>
      <c r="B82" s="136"/>
      <c r="C82" s="172" t="s">
        <v>1013</v>
      </c>
      <c r="D82" s="139"/>
      <c r="E82" s="139"/>
      <c r="F82" s="139"/>
      <c r="G82" s="139"/>
      <c r="H82" s="139"/>
      <c r="I82" s="139"/>
      <c r="J82" s="139"/>
      <c r="K82" s="139"/>
      <c r="L82" s="139"/>
      <c r="M82" s="153"/>
      <c r="N82" s="153"/>
      <c r="O82" s="153"/>
      <c r="P82" s="153"/>
      <c r="Q82" s="153"/>
      <c r="R82" s="153"/>
      <c r="S82" s="153"/>
      <c r="T82" s="153"/>
      <c r="U82" s="138"/>
      <c r="V82" s="139"/>
      <c r="W82" s="139"/>
      <c r="X82" s="139"/>
      <c r="Y82" s="139"/>
      <c r="Z82" s="139"/>
      <c r="AA82" s="139"/>
      <c r="AB82" s="139"/>
      <c r="AC82" s="139"/>
      <c r="AD82" s="139"/>
      <c r="AE82" s="139"/>
      <c r="AF82" s="139"/>
      <c r="AG82" s="139"/>
      <c r="AH82" s="139"/>
      <c r="AI82" s="139"/>
      <c r="AJ82" s="139"/>
      <c r="AK82" s="139"/>
      <c r="AL82" s="139"/>
      <c r="AM82" s="139"/>
      <c r="AN82" s="139"/>
      <c r="AO82" s="139"/>
      <c r="AP82" s="139"/>
      <c r="AQ82" s="139"/>
      <c r="AR82" s="139"/>
      <c r="AS82" s="139"/>
      <c r="AT82" s="139"/>
      <c r="AU82" s="139"/>
      <c r="AV82" s="139"/>
      <c r="AW82" s="139"/>
      <c r="AX82" s="139"/>
      <c r="AY82" s="139"/>
      <c r="AZ82" s="139"/>
      <c r="BA82" s="139"/>
      <c r="BB82" s="139"/>
      <c r="BC82" s="139"/>
      <c r="BD82" s="139"/>
      <c r="BE82" s="139"/>
      <c r="BF82" s="139"/>
      <c r="BG82" s="139"/>
      <c r="BH82" s="139"/>
      <c r="BI82" s="139"/>
      <c r="BJ82" s="139"/>
      <c r="BK82" s="139"/>
      <c r="BL82" s="139"/>
      <c r="BM82" s="139"/>
      <c r="BN82" s="139"/>
      <c r="BO82" s="139"/>
      <c r="BP82" s="139"/>
      <c r="BQ82" s="139"/>
      <c r="BR82" s="139"/>
      <c r="BS82" s="139"/>
      <c r="BT82" s="139"/>
      <c r="BU82" s="139"/>
      <c r="BV82" s="139"/>
      <c r="BW82" s="139"/>
      <c r="BX82" s="139"/>
      <c r="BY82" s="139"/>
      <c r="BZ82" s="139"/>
      <c r="CA82" s="139"/>
      <c r="CB82" s="139"/>
      <c r="CC82" s="139"/>
      <c r="CD82" s="139"/>
      <c r="CE82" s="139"/>
      <c r="CF82" s="139"/>
      <c r="CG82" s="139"/>
      <c r="CH82" s="139"/>
      <c r="CI82" s="139"/>
      <c r="CJ82" s="139"/>
      <c r="CK82" s="139"/>
      <c r="CL82" s="139"/>
      <c r="CM82" s="139"/>
      <c r="CN82" s="139"/>
      <c r="CO82" s="139"/>
      <c r="CP82" s="139"/>
      <c r="CQ82" s="139"/>
      <c r="CR82" s="139"/>
      <c r="CS82" s="139"/>
      <c r="CT82" s="139"/>
      <c r="CU82" s="139"/>
      <c r="CV82" s="139"/>
      <c r="CW82" s="139"/>
      <c r="CX82" s="139"/>
      <c r="CY82" s="139"/>
      <c r="CZ82" s="139"/>
      <c r="DA82" s="139"/>
      <c r="DB82" s="139"/>
      <c r="DC82" s="139"/>
      <c r="DD82" s="139"/>
      <c r="DE82" s="139"/>
      <c r="DF82" s="139"/>
      <c r="DG82" s="139"/>
      <c r="DH82" s="139"/>
      <c r="DI82" s="139"/>
      <c r="DJ82" s="139"/>
      <c r="DK82" s="139"/>
      <c r="DL82" s="139"/>
      <c r="DM82" s="139"/>
      <c r="DN82" s="139"/>
      <c r="DO82" s="139"/>
      <c r="DP82" s="139"/>
      <c r="DQ82" s="139"/>
      <c r="DR82" s="139"/>
      <c r="DS82" s="139"/>
      <c r="DT82" s="139"/>
      <c r="DU82" s="139"/>
      <c r="DV82" s="139"/>
      <c r="DW82" s="139"/>
      <c r="DX82" s="139"/>
      <c r="DY82" s="139"/>
      <c r="DZ82" s="139"/>
      <c r="EA82" s="139"/>
      <c r="EB82" s="139"/>
      <c r="EC82" s="139"/>
      <c r="ED82" s="139"/>
      <c r="EE82" s="139"/>
      <c r="EF82" s="139"/>
      <c r="EG82" s="139"/>
      <c r="EH82" s="139"/>
      <c r="EI82" s="139"/>
      <c r="EJ82" s="139"/>
      <c r="EK82" s="139"/>
      <c r="EL82" s="139"/>
      <c r="EM82" s="139"/>
      <c r="EN82" s="139"/>
      <c r="EO82" s="139"/>
      <c r="EP82" s="139"/>
      <c r="EQ82" s="139"/>
      <c r="ER82" s="139"/>
      <c r="ES82" s="139"/>
      <c r="ET82" s="139"/>
      <c r="EU82" s="139"/>
      <c r="EV82" s="139"/>
      <c r="EW82" s="139"/>
      <c r="EX82" s="139"/>
      <c r="EY82" s="139"/>
      <c r="EZ82" s="139"/>
      <c r="FA82" s="139"/>
      <c r="FB82" s="139"/>
      <c r="FC82" s="139"/>
      <c r="FD82" s="139"/>
      <c r="FE82" s="139"/>
      <c r="FF82" s="139"/>
      <c r="FG82" s="139"/>
      <c r="FH82" s="139"/>
      <c r="FI82" s="139"/>
      <c r="FJ82" s="139"/>
      <c r="FK82" s="139"/>
      <c r="FL82" s="139"/>
      <c r="FM82" s="139"/>
      <c r="FN82" s="139"/>
      <c r="FO82" s="139"/>
      <c r="FP82" s="139"/>
      <c r="FQ82" s="139"/>
      <c r="FR82" s="139"/>
      <c r="FS82" s="139"/>
      <c r="FT82" s="139"/>
      <c r="FU82" s="139"/>
      <c r="FV82" s="139"/>
      <c r="FW82" s="139"/>
      <c r="FX82" s="139"/>
      <c r="FY82" s="139"/>
      <c r="FZ82" s="139"/>
      <c r="GA82" s="139"/>
      <c r="GB82" s="139"/>
      <c r="GC82" s="139"/>
      <c r="GD82" s="139"/>
      <c r="GE82" s="139"/>
      <c r="GF82" s="139"/>
      <c r="GG82" s="139"/>
      <c r="GH82" s="139"/>
      <c r="GI82" s="139"/>
      <c r="GJ82" s="139"/>
      <c r="GK82" s="139"/>
      <c r="GL82" s="139"/>
      <c r="GM82" s="139"/>
      <c r="GN82" s="139"/>
      <c r="GO82" s="139"/>
      <c r="GP82" s="139"/>
      <c r="GQ82" s="139"/>
      <c r="GR82" s="139"/>
      <c r="GS82" s="139"/>
      <c r="GT82" s="139"/>
      <c r="GU82" s="139"/>
      <c r="GV82" s="139"/>
      <c r="GW82" s="139"/>
      <c r="GX82" s="139"/>
      <c r="GY82" s="139"/>
      <c r="GZ82" s="139"/>
      <c r="HA82" s="139"/>
      <c r="HB82" s="139"/>
      <c r="HC82" s="139"/>
      <c r="HD82" s="139"/>
      <c r="HE82" s="139"/>
      <c r="HF82" s="139"/>
      <c r="HG82" s="139"/>
      <c r="HH82" s="139"/>
      <c r="HI82" s="139"/>
      <c r="HJ82" s="139"/>
      <c r="HK82" s="139"/>
      <c r="HL82" s="139"/>
      <c r="HM82" s="139"/>
      <c r="HN82" s="139"/>
      <c r="HO82" s="139"/>
      <c r="HP82" s="139"/>
      <c r="HQ82" s="139"/>
      <c r="HR82" s="139"/>
      <c r="HS82" s="139"/>
      <c r="HT82" s="139"/>
      <c r="HU82" s="139"/>
      <c r="HV82" s="139"/>
      <c r="HW82" s="139"/>
      <c r="HX82" s="139"/>
      <c r="HY82" s="139"/>
      <c r="HZ82" s="139"/>
      <c r="IA82" s="139"/>
      <c r="IB82" s="139"/>
      <c r="IC82" s="139"/>
      <c r="ID82" s="139"/>
      <c r="IE82" s="139"/>
      <c r="IF82" s="139"/>
      <c r="IG82" s="139"/>
      <c r="IH82" s="139"/>
      <c r="II82" s="139"/>
      <c r="IJ82" s="139"/>
      <c r="IK82" s="139"/>
      <c r="IL82" s="139"/>
      <c r="IM82" s="139"/>
      <c r="IN82" s="139"/>
      <c r="IO82" s="139"/>
      <c r="IP82" s="139"/>
      <c r="IQ82" s="139"/>
      <c r="IR82" s="139"/>
      <c r="IS82" s="139"/>
      <c r="IT82" s="139"/>
      <c r="IU82" s="139"/>
      <c r="IV82" s="139"/>
    </row>
    <row r="83" spans="1:256" ht="13.8" thickTop="1" x14ac:dyDescent="0.25">
      <c r="A83" s="154" t="str">
        <f t="shared" si="1"/>
        <v>9GALV EXPA</v>
      </c>
      <c r="B83" s="136"/>
      <c r="C83" s="170"/>
      <c r="D83" s="155" t="s">
        <v>1014</v>
      </c>
      <c r="E83" s="155" t="s">
        <v>1015</v>
      </c>
      <c r="F83" s="156" t="s">
        <v>1016</v>
      </c>
      <c r="G83" s="156" t="s">
        <v>1016</v>
      </c>
      <c r="H83" s="157">
        <v>0.14602000000000001</v>
      </c>
      <c r="I83" s="156" t="s">
        <v>704</v>
      </c>
      <c r="J83" s="156" t="s">
        <v>716</v>
      </c>
      <c r="K83" s="156" t="s">
        <v>1017</v>
      </c>
      <c r="L83" s="155" t="s">
        <v>1018</v>
      </c>
      <c r="M83" s="156" t="s">
        <v>708</v>
      </c>
      <c r="N83" s="154" t="s">
        <v>1019</v>
      </c>
      <c r="O83" s="156" t="s">
        <v>1020</v>
      </c>
      <c r="P83" s="156" t="s">
        <v>711</v>
      </c>
      <c r="Q83" s="156" t="s">
        <v>1021</v>
      </c>
      <c r="R83" s="154" t="s">
        <v>1022</v>
      </c>
      <c r="S83" s="156" t="s">
        <v>1023</v>
      </c>
      <c r="T83" s="156" t="s">
        <v>1024</v>
      </c>
      <c r="U83" s="138"/>
      <c r="V83" s="139"/>
      <c r="W83" s="139"/>
      <c r="X83" s="139"/>
      <c r="Y83" s="139"/>
      <c r="Z83" s="139"/>
      <c r="AA83" s="139"/>
      <c r="AB83" s="139"/>
      <c r="AC83" s="139"/>
      <c r="AD83" s="139"/>
      <c r="AE83" s="139"/>
      <c r="AF83" s="139"/>
      <c r="AG83" s="139"/>
      <c r="AH83" s="139"/>
      <c r="AI83" s="139"/>
      <c r="AJ83" s="139"/>
      <c r="AK83" s="139"/>
      <c r="AL83" s="139"/>
      <c r="AM83" s="139"/>
      <c r="AN83" s="139"/>
      <c r="AO83" s="139"/>
      <c r="AP83" s="139"/>
      <c r="AQ83" s="139"/>
      <c r="AR83" s="139"/>
      <c r="AS83" s="139"/>
      <c r="AT83" s="139"/>
      <c r="AU83" s="139"/>
      <c r="AV83" s="139"/>
      <c r="AW83" s="139"/>
      <c r="AX83" s="139"/>
      <c r="AY83" s="139"/>
      <c r="AZ83" s="139"/>
      <c r="BA83" s="139"/>
      <c r="BB83" s="139"/>
      <c r="BC83" s="139"/>
      <c r="BD83" s="139"/>
      <c r="BE83" s="139"/>
      <c r="BF83" s="139"/>
      <c r="BG83" s="139"/>
      <c r="BH83" s="139"/>
      <c r="BI83" s="139"/>
      <c r="BJ83" s="139"/>
      <c r="BK83" s="139"/>
      <c r="BL83" s="139"/>
      <c r="BM83" s="139"/>
      <c r="BN83" s="139"/>
      <c r="BO83" s="139"/>
      <c r="BP83" s="139"/>
      <c r="BQ83" s="139"/>
      <c r="BR83" s="139"/>
      <c r="BS83" s="139"/>
      <c r="BT83" s="139"/>
      <c r="BU83" s="139"/>
      <c r="BV83" s="139"/>
      <c r="BW83" s="139"/>
      <c r="BX83" s="139"/>
      <c r="BY83" s="139"/>
      <c r="BZ83" s="139"/>
      <c r="CA83" s="139"/>
      <c r="CB83" s="139"/>
      <c r="CC83" s="139"/>
      <c r="CD83" s="139"/>
      <c r="CE83" s="139"/>
      <c r="CF83" s="139"/>
      <c r="CG83" s="139"/>
      <c r="CH83" s="139"/>
      <c r="CI83" s="139"/>
      <c r="CJ83" s="139"/>
      <c r="CK83" s="139"/>
      <c r="CL83" s="139"/>
      <c r="CM83" s="139"/>
      <c r="CN83" s="139"/>
      <c r="CO83" s="139"/>
      <c r="CP83" s="139"/>
      <c r="CQ83" s="139"/>
      <c r="CR83" s="139"/>
      <c r="CS83" s="139"/>
      <c r="CT83" s="139"/>
      <c r="CU83" s="139"/>
      <c r="CV83" s="139"/>
      <c r="CW83" s="139"/>
      <c r="CX83" s="139"/>
      <c r="CY83" s="139"/>
      <c r="CZ83" s="139"/>
      <c r="DA83" s="139"/>
      <c r="DB83" s="139"/>
      <c r="DC83" s="139"/>
      <c r="DD83" s="139"/>
      <c r="DE83" s="139"/>
      <c r="DF83" s="139"/>
      <c r="DG83" s="139"/>
      <c r="DH83" s="139"/>
      <c r="DI83" s="139"/>
      <c r="DJ83" s="139"/>
      <c r="DK83" s="139"/>
      <c r="DL83" s="139"/>
      <c r="DM83" s="139"/>
      <c r="DN83" s="139"/>
      <c r="DO83" s="139"/>
      <c r="DP83" s="139"/>
      <c r="DQ83" s="139"/>
      <c r="DR83" s="139"/>
      <c r="DS83" s="139"/>
      <c r="DT83" s="139"/>
      <c r="DU83" s="139"/>
      <c r="DV83" s="139"/>
      <c r="DW83" s="139"/>
      <c r="DX83" s="139"/>
      <c r="DY83" s="139"/>
      <c r="DZ83" s="139"/>
      <c r="EA83" s="139"/>
      <c r="EB83" s="139"/>
      <c r="EC83" s="139"/>
      <c r="ED83" s="139"/>
      <c r="EE83" s="139"/>
      <c r="EF83" s="139"/>
      <c r="EG83" s="139"/>
      <c r="EH83" s="139"/>
      <c r="EI83" s="139"/>
      <c r="EJ83" s="139"/>
      <c r="EK83" s="139"/>
      <c r="EL83" s="139"/>
      <c r="EM83" s="139"/>
      <c r="EN83" s="139"/>
      <c r="EO83" s="139"/>
      <c r="EP83" s="139"/>
      <c r="EQ83" s="139"/>
      <c r="ER83" s="139"/>
      <c r="ES83" s="139"/>
      <c r="ET83" s="139"/>
      <c r="EU83" s="139"/>
      <c r="EV83" s="139"/>
      <c r="EW83" s="139"/>
      <c r="EX83" s="139"/>
      <c r="EY83" s="139"/>
      <c r="EZ83" s="139"/>
      <c r="FA83" s="139"/>
      <c r="FB83" s="139"/>
      <c r="FC83" s="139"/>
      <c r="FD83" s="139"/>
      <c r="FE83" s="139"/>
      <c r="FF83" s="139"/>
      <c r="FG83" s="139"/>
      <c r="FH83" s="139"/>
      <c r="FI83" s="139"/>
      <c r="FJ83" s="139"/>
      <c r="FK83" s="139"/>
      <c r="FL83" s="139"/>
      <c r="FM83" s="139"/>
      <c r="FN83" s="139"/>
      <c r="FO83" s="139"/>
      <c r="FP83" s="139"/>
      <c r="FQ83" s="139"/>
      <c r="FR83" s="139"/>
      <c r="FS83" s="139"/>
      <c r="FT83" s="139"/>
      <c r="FU83" s="139"/>
      <c r="FV83" s="139"/>
      <c r="FW83" s="139"/>
      <c r="FX83" s="139"/>
      <c r="FY83" s="139"/>
      <c r="FZ83" s="139"/>
      <c r="GA83" s="139"/>
      <c r="GB83" s="139"/>
      <c r="GC83" s="139"/>
      <c r="GD83" s="139"/>
      <c r="GE83" s="139"/>
      <c r="GF83" s="139"/>
      <c r="GG83" s="139"/>
      <c r="GH83" s="139"/>
      <c r="GI83" s="139"/>
      <c r="GJ83" s="139"/>
      <c r="GK83" s="139"/>
      <c r="GL83" s="139"/>
      <c r="GM83" s="139"/>
      <c r="GN83" s="139"/>
      <c r="GO83" s="139"/>
      <c r="GP83" s="139"/>
      <c r="GQ83" s="139"/>
      <c r="GR83" s="139"/>
      <c r="GS83" s="139"/>
      <c r="GT83" s="139"/>
      <c r="GU83" s="139"/>
      <c r="GV83" s="139"/>
      <c r="GW83" s="139"/>
      <c r="GX83" s="139"/>
      <c r="GY83" s="139"/>
      <c r="GZ83" s="139"/>
      <c r="HA83" s="139"/>
      <c r="HB83" s="139"/>
      <c r="HC83" s="139"/>
      <c r="HD83" s="139"/>
      <c r="HE83" s="139"/>
      <c r="HF83" s="139"/>
      <c r="HG83" s="139"/>
      <c r="HH83" s="139"/>
      <c r="HI83" s="139"/>
      <c r="HJ83" s="139"/>
      <c r="HK83" s="139"/>
      <c r="HL83" s="139"/>
      <c r="HM83" s="139"/>
      <c r="HN83" s="139"/>
      <c r="HO83" s="139"/>
      <c r="HP83" s="139"/>
      <c r="HQ83" s="139"/>
      <c r="HR83" s="139"/>
      <c r="HS83" s="139"/>
      <c r="HT83" s="139"/>
      <c r="HU83" s="139"/>
      <c r="HV83" s="139"/>
      <c r="HW83" s="139"/>
      <c r="HX83" s="139"/>
      <c r="HY83" s="139"/>
      <c r="HZ83" s="139"/>
      <c r="IA83" s="139"/>
      <c r="IB83" s="139"/>
      <c r="IC83" s="139"/>
      <c r="ID83" s="139"/>
      <c r="IE83" s="139"/>
      <c r="IF83" s="139"/>
      <c r="IG83" s="139"/>
      <c r="IH83" s="139"/>
      <c r="II83" s="139"/>
      <c r="IJ83" s="139"/>
      <c r="IK83" s="139"/>
      <c r="IL83" s="139"/>
      <c r="IM83" s="139"/>
      <c r="IN83" s="139"/>
      <c r="IO83" s="139"/>
      <c r="IP83" s="139"/>
      <c r="IQ83" s="139"/>
      <c r="IR83" s="139"/>
      <c r="IS83" s="139"/>
      <c r="IT83" s="139"/>
      <c r="IU83" s="139"/>
      <c r="IV83" s="139"/>
    </row>
    <row r="84" spans="1:256" x14ac:dyDescent="0.25">
      <c r="A84" s="118" t="str">
        <f t="shared" si="1"/>
        <v>9GALV EXPB</v>
      </c>
      <c r="B84" s="136"/>
      <c r="C84" s="170"/>
      <c r="D84" s="121" t="s">
        <v>1014</v>
      </c>
      <c r="E84" s="121" t="s">
        <v>1015</v>
      </c>
      <c r="F84" s="130" t="s">
        <v>1016</v>
      </c>
      <c r="G84" s="130" t="s">
        <v>1016</v>
      </c>
      <c r="H84" s="124">
        <v>0.14601</v>
      </c>
      <c r="I84" s="130" t="s">
        <v>704</v>
      </c>
      <c r="J84" s="130" t="s">
        <v>716</v>
      </c>
      <c r="K84" s="130" t="s">
        <v>1025</v>
      </c>
      <c r="L84" s="121" t="s">
        <v>1026</v>
      </c>
      <c r="M84" s="130" t="s">
        <v>708</v>
      </c>
      <c r="N84" s="132" t="s">
        <v>1019</v>
      </c>
      <c r="O84" s="130" t="s">
        <v>1020</v>
      </c>
      <c r="P84" s="130" t="s">
        <v>711</v>
      </c>
      <c r="Q84" s="130" t="s">
        <v>1027</v>
      </c>
      <c r="R84" s="132" t="s">
        <v>1028</v>
      </c>
      <c r="S84" s="130" t="s">
        <v>1029</v>
      </c>
      <c r="T84" s="130" t="s">
        <v>1024</v>
      </c>
      <c r="U84" s="138"/>
      <c r="V84" s="139"/>
      <c r="W84" s="139"/>
      <c r="X84" s="139"/>
      <c r="Y84" s="139"/>
      <c r="Z84" s="139"/>
      <c r="AA84" s="139"/>
      <c r="AB84" s="139"/>
      <c r="AC84" s="139"/>
      <c r="AD84" s="139"/>
      <c r="AE84" s="139"/>
      <c r="AF84" s="139"/>
      <c r="AG84" s="139"/>
      <c r="AH84" s="139"/>
      <c r="AI84" s="139"/>
      <c r="AJ84" s="139"/>
      <c r="AK84" s="139"/>
      <c r="AL84" s="139"/>
      <c r="AM84" s="139"/>
      <c r="AN84" s="139"/>
      <c r="AO84" s="139"/>
      <c r="AP84" s="139"/>
      <c r="AQ84" s="139"/>
      <c r="AR84" s="139"/>
      <c r="AS84" s="139"/>
      <c r="AT84" s="139"/>
      <c r="AU84" s="139"/>
      <c r="AV84" s="139"/>
      <c r="AW84" s="139"/>
      <c r="AX84" s="139"/>
      <c r="AY84" s="139"/>
      <c r="AZ84" s="139"/>
      <c r="BA84" s="139"/>
      <c r="BB84" s="139"/>
      <c r="BC84" s="139"/>
      <c r="BD84" s="139"/>
      <c r="BE84" s="139"/>
      <c r="BF84" s="139"/>
      <c r="BG84" s="139"/>
      <c r="BH84" s="139"/>
      <c r="BI84" s="139"/>
      <c r="BJ84" s="139"/>
      <c r="BK84" s="139"/>
      <c r="BL84" s="139"/>
      <c r="BM84" s="139"/>
      <c r="BN84" s="139"/>
      <c r="BO84" s="139"/>
      <c r="BP84" s="139"/>
      <c r="BQ84" s="139"/>
      <c r="BR84" s="139"/>
      <c r="BS84" s="139"/>
      <c r="BT84" s="139"/>
      <c r="BU84" s="139"/>
      <c r="BV84" s="139"/>
      <c r="BW84" s="139"/>
      <c r="BX84" s="139"/>
      <c r="BY84" s="139"/>
      <c r="BZ84" s="139"/>
      <c r="CA84" s="139"/>
      <c r="CB84" s="139"/>
      <c r="CC84" s="139"/>
      <c r="CD84" s="139"/>
      <c r="CE84" s="139"/>
      <c r="CF84" s="139"/>
      <c r="CG84" s="139"/>
      <c r="CH84" s="139"/>
      <c r="CI84" s="139"/>
      <c r="CJ84" s="139"/>
      <c r="CK84" s="139"/>
      <c r="CL84" s="139"/>
      <c r="CM84" s="139"/>
      <c r="CN84" s="139"/>
      <c r="CO84" s="139"/>
      <c r="CP84" s="139"/>
      <c r="CQ84" s="139"/>
      <c r="CR84" s="139"/>
      <c r="CS84" s="139"/>
      <c r="CT84" s="139"/>
      <c r="CU84" s="139"/>
      <c r="CV84" s="139"/>
      <c r="CW84" s="139"/>
      <c r="CX84" s="139"/>
      <c r="CY84" s="139"/>
      <c r="CZ84" s="139"/>
      <c r="DA84" s="139"/>
      <c r="DB84" s="139"/>
      <c r="DC84" s="139"/>
      <c r="DD84" s="139"/>
      <c r="DE84" s="139"/>
      <c r="DF84" s="139"/>
      <c r="DG84" s="139"/>
      <c r="DH84" s="139"/>
      <c r="DI84" s="139"/>
      <c r="DJ84" s="139"/>
      <c r="DK84" s="139"/>
      <c r="DL84" s="139"/>
      <c r="DM84" s="139"/>
      <c r="DN84" s="139"/>
      <c r="DO84" s="139"/>
      <c r="DP84" s="139"/>
      <c r="DQ84" s="139"/>
      <c r="DR84" s="139"/>
      <c r="DS84" s="139"/>
      <c r="DT84" s="139"/>
      <c r="DU84" s="139"/>
      <c r="DV84" s="139"/>
      <c r="DW84" s="139"/>
      <c r="DX84" s="139"/>
      <c r="DY84" s="139"/>
      <c r="DZ84" s="139"/>
      <c r="EA84" s="139"/>
      <c r="EB84" s="139"/>
      <c r="EC84" s="139"/>
      <c r="ED84" s="139"/>
      <c r="EE84" s="139"/>
      <c r="EF84" s="139"/>
      <c r="EG84" s="139"/>
      <c r="EH84" s="139"/>
      <c r="EI84" s="139"/>
      <c r="EJ84" s="139"/>
      <c r="EK84" s="139"/>
      <c r="EL84" s="139"/>
      <c r="EM84" s="139"/>
      <c r="EN84" s="139"/>
      <c r="EO84" s="139"/>
      <c r="EP84" s="139"/>
      <c r="EQ84" s="139"/>
      <c r="ER84" s="139"/>
      <c r="ES84" s="139"/>
      <c r="ET84" s="139"/>
      <c r="EU84" s="139"/>
      <c r="EV84" s="139"/>
      <c r="EW84" s="139"/>
      <c r="EX84" s="139"/>
      <c r="EY84" s="139"/>
      <c r="EZ84" s="139"/>
      <c r="FA84" s="139"/>
      <c r="FB84" s="139"/>
      <c r="FC84" s="139"/>
      <c r="FD84" s="139"/>
      <c r="FE84" s="139"/>
      <c r="FF84" s="139"/>
      <c r="FG84" s="139"/>
      <c r="FH84" s="139"/>
      <c r="FI84" s="139"/>
      <c r="FJ84" s="139"/>
      <c r="FK84" s="139"/>
      <c r="FL84" s="139"/>
      <c r="FM84" s="139"/>
      <c r="FN84" s="139"/>
      <c r="FO84" s="139"/>
      <c r="FP84" s="139"/>
      <c r="FQ84" s="139"/>
      <c r="FR84" s="139"/>
      <c r="FS84" s="139"/>
      <c r="FT84" s="139"/>
      <c r="FU84" s="139"/>
      <c r="FV84" s="139"/>
      <c r="FW84" s="139"/>
      <c r="FX84" s="139"/>
      <c r="FY84" s="139"/>
      <c r="FZ84" s="139"/>
      <c r="GA84" s="139"/>
      <c r="GB84" s="139"/>
      <c r="GC84" s="139"/>
      <c r="GD84" s="139"/>
      <c r="GE84" s="139"/>
      <c r="GF84" s="139"/>
      <c r="GG84" s="139"/>
      <c r="GH84" s="139"/>
      <c r="GI84" s="139"/>
      <c r="GJ84" s="139"/>
      <c r="GK84" s="139"/>
      <c r="GL84" s="139"/>
      <c r="GM84" s="139"/>
      <c r="GN84" s="139"/>
      <c r="GO84" s="139"/>
      <c r="GP84" s="139"/>
      <c r="GQ84" s="139"/>
      <c r="GR84" s="139"/>
      <c r="GS84" s="139"/>
      <c r="GT84" s="139"/>
      <c r="GU84" s="139"/>
      <c r="GV84" s="139"/>
      <c r="GW84" s="139"/>
      <c r="GX84" s="139"/>
      <c r="GY84" s="139"/>
      <c r="GZ84" s="139"/>
      <c r="HA84" s="139"/>
      <c r="HB84" s="139"/>
      <c r="HC84" s="139"/>
      <c r="HD84" s="139"/>
      <c r="HE84" s="139"/>
      <c r="HF84" s="139"/>
      <c r="HG84" s="139"/>
      <c r="HH84" s="139"/>
      <c r="HI84" s="139"/>
      <c r="HJ84" s="139"/>
      <c r="HK84" s="139"/>
      <c r="HL84" s="139"/>
      <c r="HM84" s="139"/>
      <c r="HN84" s="139"/>
      <c r="HO84" s="139"/>
      <c r="HP84" s="139"/>
      <c r="HQ84" s="139"/>
      <c r="HR84" s="139"/>
      <c r="HS84" s="139"/>
      <c r="HT84" s="139"/>
      <c r="HU84" s="139"/>
      <c r="HV84" s="139"/>
      <c r="HW84" s="139"/>
      <c r="HX84" s="139"/>
      <c r="HY84" s="139"/>
      <c r="HZ84" s="139"/>
      <c r="IA84" s="139"/>
      <c r="IB84" s="139"/>
      <c r="IC84" s="139"/>
      <c r="ID84" s="139"/>
      <c r="IE84" s="139"/>
      <c r="IF84" s="139"/>
      <c r="IG84" s="139"/>
      <c r="IH84" s="139"/>
      <c r="II84" s="139"/>
      <c r="IJ84" s="139"/>
      <c r="IK84" s="139"/>
      <c r="IL84" s="139"/>
      <c r="IM84" s="139"/>
      <c r="IN84" s="139"/>
      <c r="IO84" s="139"/>
      <c r="IP84" s="139"/>
      <c r="IQ84" s="139"/>
      <c r="IR84" s="139"/>
      <c r="IS84" s="139"/>
      <c r="IT84" s="139"/>
      <c r="IU84" s="139"/>
      <c r="IV84" s="139"/>
    </row>
    <row r="85" spans="1:256" x14ac:dyDescent="0.25">
      <c r="A85" s="118" t="str">
        <f t="shared" si="1"/>
        <v>9GALV EXPBY</v>
      </c>
      <c r="B85" s="136"/>
      <c r="C85" s="170"/>
      <c r="D85" s="121" t="s">
        <v>1014</v>
      </c>
      <c r="E85" s="122" t="s">
        <v>1015</v>
      </c>
      <c r="F85" s="123" t="s">
        <v>1016</v>
      </c>
      <c r="G85" s="123" t="s">
        <v>1016</v>
      </c>
      <c r="H85" s="131">
        <v>0.14604</v>
      </c>
      <c r="I85" s="123" t="s">
        <v>716</v>
      </c>
      <c r="J85" s="123" t="s">
        <v>705</v>
      </c>
      <c r="K85" s="123" t="s">
        <v>1030</v>
      </c>
      <c r="L85" s="122" t="s">
        <v>1031</v>
      </c>
      <c r="M85" s="123" t="s">
        <v>708</v>
      </c>
      <c r="N85" s="118" t="s">
        <v>1019</v>
      </c>
      <c r="O85" s="123" t="s">
        <v>1032</v>
      </c>
      <c r="P85" s="123" t="s">
        <v>711</v>
      </c>
      <c r="Q85" s="123" t="s">
        <v>1033</v>
      </c>
      <c r="R85" s="118" t="s">
        <v>1034</v>
      </c>
      <c r="S85" s="123" t="s">
        <v>1029</v>
      </c>
      <c r="T85" s="123" t="s">
        <v>1024</v>
      </c>
      <c r="U85" s="138"/>
      <c r="V85" s="139"/>
      <c r="W85" s="139"/>
      <c r="X85" s="139"/>
      <c r="Y85" s="139"/>
      <c r="Z85" s="139"/>
      <c r="AA85" s="139"/>
      <c r="AB85" s="139"/>
      <c r="AC85" s="139"/>
      <c r="AD85" s="139"/>
      <c r="AE85" s="139"/>
      <c r="AF85" s="139"/>
      <c r="AG85" s="139"/>
      <c r="AH85" s="139"/>
      <c r="AI85" s="139"/>
      <c r="AJ85" s="139"/>
      <c r="AK85" s="139"/>
      <c r="AL85" s="139"/>
      <c r="AM85" s="139"/>
      <c r="AN85" s="139"/>
      <c r="AO85" s="139"/>
      <c r="AP85" s="139"/>
      <c r="AQ85" s="139"/>
      <c r="AR85" s="139"/>
      <c r="AS85" s="139"/>
      <c r="AT85" s="139"/>
      <c r="AU85" s="139"/>
      <c r="AV85" s="139"/>
      <c r="AW85" s="139"/>
      <c r="AX85" s="139"/>
      <c r="AY85" s="139"/>
      <c r="AZ85" s="139"/>
      <c r="BA85" s="139"/>
      <c r="BB85" s="139"/>
      <c r="BC85" s="139"/>
      <c r="BD85" s="139"/>
      <c r="BE85" s="139"/>
      <c r="BF85" s="139"/>
      <c r="BG85" s="139"/>
      <c r="BH85" s="139"/>
      <c r="BI85" s="139"/>
      <c r="BJ85" s="139"/>
      <c r="BK85" s="139"/>
      <c r="BL85" s="139"/>
      <c r="BM85" s="139"/>
      <c r="BN85" s="139"/>
      <c r="BO85" s="139"/>
      <c r="BP85" s="139"/>
      <c r="BQ85" s="139"/>
      <c r="BR85" s="139"/>
      <c r="BS85" s="139"/>
      <c r="BT85" s="139"/>
      <c r="BU85" s="139"/>
      <c r="BV85" s="139"/>
      <c r="BW85" s="139"/>
      <c r="BX85" s="139"/>
      <c r="BY85" s="139"/>
      <c r="BZ85" s="139"/>
      <c r="CA85" s="139"/>
      <c r="CB85" s="139"/>
      <c r="CC85" s="139"/>
      <c r="CD85" s="139"/>
      <c r="CE85" s="139"/>
      <c r="CF85" s="139"/>
      <c r="CG85" s="139"/>
      <c r="CH85" s="139"/>
      <c r="CI85" s="139"/>
      <c r="CJ85" s="139"/>
      <c r="CK85" s="139"/>
      <c r="CL85" s="139"/>
      <c r="CM85" s="139"/>
      <c r="CN85" s="139"/>
      <c r="CO85" s="139"/>
      <c r="CP85" s="139"/>
      <c r="CQ85" s="139"/>
      <c r="CR85" s="139"/>
      <c r="CS85" s="139"/>
      <c r="CT85" s="139"/>
      <c r="CU85" s="139"/>
      <c r="CV85" s="139"/>
      <c r="CW85" s="139"/>
      <c r="CX85" s="139"/>
      <c r="CY85" s="139"/>
      <c r="CZ85" s="139"/>
      <c r="DA85" s="139"/>
      <c r="DB85" s="139"/>
      <c r="DC85" s="139"/>
      <c r="DD85" s="139"/>
      <c r="DE85" s="139"/>
      <c r="DF85" s="139"/>
      <c r="DG85" s="139"/>
      <c r="DH85" s="139"/>
      <c r="DI85" s="139"/>
      <c r="DJ85" s="139"/>
      <c r="DK85" s="139"/>
      <c r="DL85" s="139"/>
      <c r="DM85" s="139"/>
      <c r="DN85" s="139"/>
      <c r="DO85" s="139"/>
      <c r="DP85" s="139"/>
      <c r="DQ85" s="139"/>
      <c r="DR85" s="139"/>
      <c r="DS85" s="139"/>
      <c r="DT85" s="139"/>
      <c r="DU85" s="139"/>
      <c r="DV85" s="139"/>
      <c r="DW85" s="139"/>
      <c r="DX85" s="139"/>
      <c r="DY85" s="139"/>
      <c r="DZ85" s="139"/>
      <c r="EA85" s="139"/>
      <c r="EB85" s="139"/>
      <c r="EC85" s="139"/>
      <c r="ED85" s="139"/>
      <c r="EE85" s="139"/>
      <c r="EF85" s="139"/>
      <c r="EG85" s="139"/>
      <c r="EH85" s="139"/>
      <c r="EI85" s="139"/>
      <c r="EJ85" s="139"/>
      <c r="EK85" s="139"/>
      <c r="EL85" s="139"/>
      <c r="EM85" s="139"/>
      <c r="EN85" s="139"/>
      <c r="EO85" s="139"/>
      <c r="EP85" s="139"/>
      <c r="EQ85" s="139"/>
      <c r="ER85" s="139"/>
      <c r="ES85" s="139"/>
      <c r="ET85" s="139"/>
      <c r="EU85" s="139"/>
      <c r="EV85" s="139"/>
      <c r="EW85" s="139"/>
      <c r="EX85" s="139"/>
      <c r="EY85" s="139"/>
      <c r="EZ85" s="139"/>
      <c r="FA85" s="139"/>
      <c r="FB85" s="139"/>
      <c r="FC85" s="139"/>
      <c r="FD85" s="139"/>
      <c r="FE85" s="139"/>
      <c r="FF85" s="139"/>
      <c r="FG85" s="139"/>
      <c r="FH85" s="139"/>
      <c r="FI85" s="139"/>
      <c r="FJ85" s="139"/>
      <c r="FK85" s="139"/>
      <c r="FL85" s="139"/>
      <c r="FM85" s="139"/>
      <c r="FN85" s="139"/>
      <c r="FO85" s="139"/>
      <c r="FP85" s="139"/>
      <c r="FQ85" s="139"/>
      <c r="FR85" s="139"/>
      <c r="FS85" s="139"/>
      <c r="FT85" s="139"/>
      <c r="FU85" s="139"/>
      <c r="FV85" s="139"/>
      <c r="FW85" s="139"/>
      <c r="FX85" s="139"/>
      <c r="FY85" s="139"/>
      <c r="FZ85" s="139"/>
      <c r="GA85" s="139"/>
      <c r="GB85" s="139"/>
      <c r="GC85" s="139"/>
      <c r="GD85" s="139"/>
      <c r="GE85" s="139"/>
      <c r="GF85" s="139"/>
      <c r="GG85" s="139"/>
      <c r="GH85" s="139"/>
      <c r="GI85" s="139"/>
      <c r="GJ85" s="139"/>
      <c r="GK85" s="139"/>
      <c r="GL85" s="139"/>
      <c r="GM85" s="139"/>
      <c r="GN85" s="139"/>
      <c r="GO85" s="139"/>
      <c r="GP85" s="139"/>
      <c r="GQ85" s="139"/>
      <c r="GR85" s="139"/>
      <c r="GS85" s="139"/>
      <c r="GT85" s="139"/>
      <c r="GU85" s="139"/>
      <c r="GV85" s="139"/>
      <c r="GW85" s="139"/>
      <c r="GX85" s="139"/>
      <c r="GY85" s="139"/>
      <c r="GZ85" s="139"/>
      <c r="HA85" s="139"/>
      <c r="HB85" s="139"/>
      <c r="HC85" s="139"/>
      <c r="HD85" s="139"/>
      <c r="HE85" s="139"/>
      <c r="HF85" s="139"/>
      <c r="HG85" s="139"/>
      <c r="HH85" s="139"/>
      <c r="HI85" s="139"/>
      <c r="HJ85" s="139"/>
      <c r="HK85" s="139"/>
      <c r="HL85" s="139"/>
      <c r="HM85" s="139"/>
      <c r="HN85" s="139"/>
      <c r="HO85" s="139"/>
      <c r="HP85" s="139"/>
      <c r="HQ85" s="139"/>
      <c r="HR85" s="139"/>
      <c r="HS85" s="139"/>
      <c r="HT85" s="139"/>
      <c r="HU85" s="139"/>
      <c r="HV85" s="139"/>
      <c r="HW85" s="139"/>
      <c r="HX85" s="139"/>
      <c r="HY85" s="139"/>
      <c r="HZ85" s="139"/>
      <c r="IA85" s="139"/>
      <c r="IB85" s="139"/>
      <c r="IC85" s="139"/>
      <c r="ID85" s="139"/>
      <c r="IE85" s="139"/>
      <c r="IF85" s="139"/>
      <c r="IG85" s="139"/>
      <c r="IH85" s="139"/>
      <c r="II85" s="139"/>
      <c r="IJ85" s="139"/>
      <c r="IK85" s="139"/>
      <c r="IL85" s="139"/>
      <c r="IM85" s="139"/>
      <c r="IN85" s="139"/>
      <c r="IO85" s="139"/>
      <c r="IP85" s="139"/>
      <c r="IQ85" s="139"/>
      <c r="IR85" s="139"/>
      <c r="IS85" s="139"/>
      <c r="IT85" s="139"/>
      <c r="IU85" s="139"/>
      <c r="IV85" s="139"/>
    </row>
    <row r="86" spans="1:256" x14ac:dyDescent="0.25">
      <c r="A86" s="118" t="str">
        <f t="shared" si="1"/>
        <v>11GALV EXPA</v>
      </c>
      <c r="B86" s="136"/>
      <c r="C86" s="137"/>
      <c r="D86" s="121" t="s">
        <v>1014</v>
      </c>
      <c r="E86" s="122" t="s">
        <v>809</v>
      </c>
      <c r="F86" s="123" t="s">
        <v>1035</v>
      </c>
      <c r="G86" s="123" t="s">
        <v>1035</v>
      </c>
      <c r="H86" s="124">
        <v>0.12001000000000001</v>
      </c>
      <c r="I86" s="123" t="s">
        <v>716</v>
      </c>
      <c r="J86" s="123" t="s">
        <v>705</v>
      </c>
      <c r="K86" s="123" t="s">
        <v>1036</v>
      </c>
      <c r="L86" s="122" t="s">
        <v>1037</v>
      </c>
      <c r="M86" s="123" t="s">
        <v>708</v>
      </c>
      <c r="N86" s="118" t="s">
        <v>1019</v>
      </c>
      <c r="O86" s="123" t="s">
        <v>1020</v>
      </c>
      <c r="P86" s="123" t="s">
        <v>711</v>
      </c>
      <c r="Q86" s="123" t="s">
        <v>1021</v>
      </c>
      <c r="R86" s="118" t="s">
        <v>1038</v>
      </c>
      <c r="S86" s="123" t="s">
        <v>1023</v>
      </c>
      <c r="T86" s="123" t="s">
        <v>1024</v>
      </c>
      <c r="U86" s="138"/>
      <c r="V86" s="139"/>
      <c r="W86" s="139"/>
      <c r="X86" s="139"/>
      <c r="Y86" s="139"/>
      <c r="Z86" s="139"/>
      <c r="AA86" s="139"/>
      <c r="AB86" s="139"/>
      <c r="AC86" s="139"/>
      <c r="AD86" s="139"/>
      <c r="AE86" s="139"/>
      <c r="AF86" s="139"/>
      <c r="AG86" s="139"/>
      <c r="AH86" s="139"/>
      <c r="AI86" s="139"/>
      <c r="AJ86" s="139"/>
      <c r="AK86" s="139"/>
      <c r="AL86" s="139"/>
      <c r="AM86" s="139"/>
      <c r="AN86" s="139"/>
      <c r="AO86" s="139"/>
      <c r="AP86" s="139"/>
      <c r="AQ86" s="139"/>
      <c r="AR86" s="139"/>
      <c r="AS86" s="139"/>
      <c r="AT86" s="139"/>
      <c r="AU86" s="139"/>
      <c r="AV86" s="139"/>
      <c r="AW86" s="139"/>
      <c r="AX86" s="139"/>
      <c r="AY86" s="139"/>
      <c r="AZ86" s="139"/>
      <c r="BA86" s="139"/>
      <c r="BB86" s="139"/>
      <c r="BC86" s="139"/>
      <c r="BD86" s="139"/>
      <c r="BE86" s="139"/>
      <c r="BF86" s="139"/>
      <c r="BG86" s="139"/>
      <c r="BH86" s="139"/>
      <c r="BI86" s="139"/>
      <c r="BJ86" s="139"/>
      <c r="BK86" s="139"/>
      <c r="BL86" s="139"/>
      <c r="BM86" s="139"/>
      <c r="BN86" s="139"/>
      <c r="BO86" s="139"/>
      <c r="BP86" s="139"/>
      <c r="BQ86" s="139"/>
      <c r="BR86" s="139"/>
      <c r="BS86" s="139"/>
      <c r="BT86" s="139"/>
      <c r="BU86" s="139"/>
      <c r="BV86" s="139"/>
      <c r="BW86" s="139"/>
      <c r="BX86" s="139"/>
      <c r="BY86" s="139"/>
      <c r="BZ86" s="139"/>
      <c r="CA86" s="139"/>
      <c r="CB86" s="139"/>
      <c r="CC86" s="139"/>
      <c r="CD86" s="139"/>
      <c r="CE86" s="139"/>
      <c r="CF86" s="139"/>
      <c r="CG86" s="139"/>
      <c r="CH86" s="139"/>
      <c r="CI86" s="139"/>
      <c r="CJ86" s="139"/>
      <c r="CK86" s="139"/>
      <c r="CL86" s="139"/>
      <c r="CM86" s="139"/>
      <c r="CN86" s="139"/>
      <c r="CO86" s="139"/>
      <c r="CP86" s="139"/>
      <c r="CQ86" s="139"/>
      <c r="CR86" s="139"/>
      <c r="CS86" s="139"/>
      <c r="CT86" s="139"/>
      <c r="CU86" s="139"/>
      <c r="CV86" s="139"/>
      <c r="CW86" s="139"/>
      <c r="CX86" s="139"/>
      <c r="CY86" s="139"/>
      <c r="CZ86" s="139"/>
      <c r="DA86" s="139"/>
      <c r="DB86" s="139"/>
      <c r="DC86" s="139"/>
      <c r="DD86" s="139"/>
      <c r="DE86" s="139"/>
      <c r="DF86" s="139"/>
      <c r="DG86" s="139"/>
      <c r="DH86" s="139"/>
      <c r="DI86" s="139"/>
      <c r="DJ86" s="139"/>
      <c r="DK86" s="139"/>
      <c r="DL86" s="139"/>
      <c r="DM86" s="139"/>
      <c r="DN86" s="139"/>
      <c r="DO86" s="139"/>
      <c r="DP86" s="139"/>
      <c r="DQ86" s="139"/>
      <c r="DR86" s="139"/>
      <c r="DS86" s="139"/>
      <c r="DT86" s="139"/>
      <c r="DU86" s="139"/>
      <c r="DV86" s="139"/>
      <c r="DW86" s="139"/>
      <c r="DX86" s="139"/>
      <c r="DY86" s="139"/>
      <c r="DZ86" s="139"/>
      <c r="EA86" s="139"/>
      <c r="EB86" s="139"/>
      <c r="EC86" s="139"/>
      <c r="ED86" s="139"/>
      <c r="EE86" s="139"/>
      <c r="EF86" s="139"/>
      <c r="EG86" s="139"/>
      <c r="EH86" s="139"/>
      <c r="EI86" s="139"/>
      <c r="EJ86" s="139"/>
      <c r="EK86" s="139"/>
      <c r="EL86" s="139"/>
      <c r="EM86" s="139"/>
      <c r="EN86" s="139"/>
      <c r="EO86" s="139"/>
      <c r="EP86" s="139"/>
      <c r="EQ86" s="139"/>
      <c r="ER86" s="139"/>
      <c r="ES86" s="139"/>
      <c r="ET86" s="139"/>
      <c r="EU86" s="139"/>
      <c r="EV86" s="139"/>
      <c r="EW86" s="139"/>
      <c r="EX86" s="139"/>
      <c r="EY86" s="139"/>
      <c r="EZ86" s="139"/>
      <c r="FA86" s="139"/>
      <c r="FB86" s="139"/>
      <c r="FC86" s="139"/>
      <c r="FD86" s="139"/>
      <c r="FE86" s="139"/>
      <c r="FF86" s="139"/>
      <c r="FG86" s="139"/>
      <c r="FH86" s="139"/>
      <c r="FI86" s="139"/>
      <c r="FJ86" s="139"/>
      <c r="FK86" s="139"/>
      <c r="FL86" s="139"/>
      <c r="FM86" s="139"/>
      <c r="FN86" s="139"/>
      <c r="FO86" s="139"/>
      <c r="FP86" s="139"/>
      <c r="FQ86" s="139"/>
      <c r="FR86" s="139"/>
      <c r="FS86" s="139"/>
      <c r="FT86" s="139"/>
      <c r="FU86" s="139"/>
      <c r="FV86" s="139"/>
      <c r="FW86" s="139"/>
      <c r="FX86" s="139"/>
      <c r="FY86" s="139"/>
      <c r="FZ86" s="139"/>
      <c r="GA86" s="139"/>
      <c r="GB86" s="139"/>
      <c r="GC86" s="139"/>
      <c r="GD86" s="139"/>
      <c r="GE86" s="139"/>
      <c r="GF86" s="139"/>
      <c r="GG86" s="139"/>
      <c r="GH86" s="139"/>
      <c r="GI86" s="139"/>
      <c r="GJ86" s="139"/>
      <c r="GK86" s="139"/>
      <c r="GL86" s="139"/>
      <c r="GM86" s="139"/>
      <c r="GN86" s="139"/>
      <c r="GO86" s="139"/>
      <c r="GP86" s="139"/>
      <c r="GQ86" s="139"/>
      <c r="GR86" s="139"/>
      <c r="GS86" s="139"/>
      <c r="GT86" s="139"/>
      <c r="GU86" s="139"/>
      <c r="GV86" s="139"/>
      <c r="GW86" s="139"/>
      <c r="GX86" s="139"/>
      <c r="GY86" s="139"/>
      <c r="GZ86" s="139"/>
      <c r="HA86" s="139"/>
      <c r="HB86" s="139"/>
      <c r="HC86" s="139"/>
      <c r="HD86" s="139"/>
      <c r="HE86" s="139"/>
      <c r="HF86" s="139"/>
      <c r="HG86" s="139"/>
      <c r="HH86" s="139"/>
      <c r="HI86" s="139"/>
      <c r="HJ86" s="139"/>
      <c r="HK86" s="139"/>
      <c r="HL86" s="139"/>
      <c r="HM86" s="139"/>
      <c r="HN86" s="139"/>
      <c r="HO86" s="139"/>
      <c r="HP86" s="139"/>
      <c r="HQ86" s="139"/>
      <c r="HR86" s="139"/>
      <c r="HS86" s="139"/>
      <c r="HT86" s="139"/>
      <c r="HU86" s="139"/>
      <c r="HV86" s="139"/>
      <c r="HW86" s="139"/>
      <c r="HX86" s="139"/>
      <c r="HY86" s="139"/>
      <c r="HZ86" s="139"/>
      <c r="IA86" s="139"/>
      <c r="IB86" s="139"/>
      <c r="IC86" s="139"/>
      <c r="ID86" s="139"/>
      <c r="IE86" s="139"/>
      <c r="IF86" s="139"/>
      <c r="IG86" s="139"/>
      <c r="IH86" s="139"/>
      <c r="II86" s="139"/>
      <c r="IJ86" s="139"/>
      <c r="IK86" s="139"/>
      <c r="IL86" s="139"/>
      <c r="IM86" s="139"/>
      <c r="IN86" s="139"/>
      <c r="IO86" s="139"/>
      <c r="IP86" s="139"/>
      <c r="IQ86" s="139"/>
      <c r="IR86" s="139"/>
      <c r="IS86" s="139"/>
      <c r="IT86" s="139"/>
      <c r="IU86" s="139"/>
      <c r="IV86" s="139"/>
    </row>
    <row r="87" spans="1:256" x14ac:dyDescent="0.25">
      <c r="A87" s="118" t="str">
        <f t="shared" si="1"/>
        <v>16ALM EXP</v>
      </c>
      <c r="B87" s="136"/>
      <c r="C87" s="137"/>
      <c r="D87" s="121" t="s">
        <v>1039</v>
      </c>
      <c r="E87" s="122" t="s">
        <v>839</v>
      </c>
      <c r="F87" s="123" t="s">
        <v>873</v>
      </c>
      <c r="G87" s="123" t="s">
        <v>873</v>
      </c>
      <c r="H87" s="124">
        <v>6.0060000000000002E-2</v>
      </c>
      <c r="I87" s="123" t="s">
        <v>704</v>
      </c>
      <c r="J87" s="123" t="s">
        <v>716</v>
      </c>
      <c r="K87" s="123" t="s">
        <v>1040</v>
      </c>
      <c r="L87" s="122" t="s">
        <v>1041</v>
      </c>
      <c r="M87" s="123" t="s">
        <v>136</v>
      </c>
      <c r="N87" s="118" t="s">
        <v>716</v>
      </c>
      <c r="O87" s="123" t="s">
        <v>823</v>
      </c>
      <c r="P87" s="123" t="s">
        <v>711</v>
      </c>
      <c r="Q87" s="123" t="s">
        <v>1042</v>
      </c>
      <c r="R87" s="118" t="s">
        <v>1043</v>
      </c>
      <c r="S87" s="123" t="s">
        <v>1044</v>
      </c>
      <c r="T87" s="123" t="s">
        <v>1024</v>
      </c>
      <c r="U87" s="138"/>
      <c r="V87" s="139"/>
      <c r="W87" s="139"/>
      <c r="X87" s="139"/>
      <c r="Y87" s="139"/>
      <c r="Z87" s="139"/>
      <c r="AA87" s="139"/>
      <c r="AB87" s="139"/>
      <c r="AC87" s="139"/>
      <c r="AD87" s="139"/>
      <c r="AE87" s="139"/>
      <c r="AF87" s="139"/>
      <c r="AG87" s="139"/>
      <c r="AH87" s="139"/>
      <c r="AI87" s="139"/>
      <c r="AJ87" s="139"/>
      <c r="AK87" s="139"/>
      <c r="AL87" s="139"/>
      <c r="AM87" s="139"/>
      <c r="AN87" s="139"/>
      <c r="AO87" s="139"/>
      <c r="AP87" s="139"/>
      <c r="AQ87" s="139"/>
      <c r="AR87" s="139"/>
      <c r="AS87" s="139"/>
      <c r="AT87" s="139"/>
      <c r="AU87" s="139"/>
      <c r="AV87" s="139"/>
      <c r="AW87" s="139"/>
      <c r="AX87" s="139"/>
      <c r="AY87" s="139"/>
      <c r="AZ87" s="139"/>
      <c r="BA87" s="139"/>
      <c r="BB87" s="139"/>
      <c r="BC87" s="139"/>
      <c r="BD87" s="139"/>
      <c r="BE87" s="139"/>
      <c r="BF87" s="139"/>
      <c r="BG87" s="139"/>
      <c r="BH87" s="139"/>
      <c r="BI87" s="139"/>
      <c r="BJ87" s="139"/>
      <c r="BK87" s="139"/>
      <c r="BL87" s="139"/>
      <c r="BM87" s="139"/>
      <c r="BN87" s="139"/>
      <c r="BO87" s="139"/>
      <c r="BP87" s="139"/>
      <c r="BQ87" s="139"/>
      <c r="BR87" s="139"/>
      <c r="BS87" s="139"/>
      <c r="BT87" s="139"/>
      <c r="BU87" s="139"/>
      <c r="BV87" s="139"/>
      <c r="BW87" s="139"/>
      <c r="BX87" s="139"/>
      <c r="BY87" s="139"/>
      <c r="BZ87" s="139"/>
      <c r="CA87" s="139"/>
      <c r="CB87" s="139"/>
      <c r="CC87" s="139"/>
      <c r="CD87" s="139"/>
      <c r="CE87" s="139"/>
      <c r="CF87" s="139"/>
      <c r="CG87" s="139"/>
      <c r="CH87" s="139"/>
      <c r="CI87" s="139"/>
      <c r="CJ87" s="139"/>
      <c r="CK87" s="139"/>
      <c r="CL87" s="139"/>
      <c r="CM87" s="139"/>
      <c r="CN87" s="139"/>
      <c r="CO87" s="139"/>
      <c r="CP87" s="139"/>
      <c r="CQ87" s="139"/>
      <c r="CR87" s="139"/>
      <c r="CS87" s="139"/>
      <c r="CT87" s="139"/>
      <c r="CU87" s="139"/>
      <c r="CV87" s="139"/>
      <c r="CW87" s="139"/>
      <c r="CX87" s="139"/>
      <c r="CY87" s="139"/>
      <c r="CZ87" s="139"/>
      <c r="DA87" s="139"/>
      <c r="DB87" s="139"/>
      <c r="DC87" s="139"/>
      <c r="DD87" s="139"/>
      <c r="DE87" s="139"/>
      <c r="DF87" s="139"/>
      <c r="DG87" s="139"/>
      <c r="DH87" s="139"/>
      <c r="DI87" s="139"/>
      <c r="DJ87" s="139"/>
      <c r="DK87" s="139"/>
      <c r="DL87" s="139"/>
      <c r="DM87" s="139"/>
      <c r="DN87" s="139"/>
      <c r="DO87" s="139"/>
      <c r="DP87" s="139"/>
      <c r="DQ87" s="139"/>
      <c r="DR87" s="139"/>
      <c r="DS87" s="139"/>
      <c r="DT87" s="139"/>
      <c r="DU87" s="139"/>
      <c r="DV87" s="139"/>
      <c r="DW87" s="139"/>
      <c r="DX87" s="139"/>
      <c r="DY87" s="139"/>
      <c r="DZ87" s="139"/>
      <c r="EA87" s="139"/>
      <c r="EB87" s="139"/>
      <c r="EC87" s="139"/>
      <c r="ED87" s="139"/>
      <c r="EE87" s="139"/>
      <c r="EF87" s="139"/>
      <c r="EG87" s="139"/>
      <c r="EH87" s="139"/>
      <c r="EI87" s="139"/>
      <c r="EJ87" s="139"/>
      <c r="EK87" s="139"/>
      <c r="EL87" s="139"/>
      <c r="EM87" s="139"/>
      <c r="EN87" s="139"/>
      <c r="EO87" s="139"/>
      <c r="EP87" s="139"/>
      <c r="EQ87" s="139"/>
      <c r="ER87" s="139"/>
      <c r="ES87" s="139"/>
      <c r="ET87" s="139"/>
      <c r="EU87" s="139"/>
      <c r="EV87" s="139"/>
      <c r="EW87" s="139"/>
      <c r="EX87" s="139"/>
      <c r="EY87" s="139"/>
      <c r="EZ87" s="139"/>
      <c r="FA87" s="139"/>
      <c r="FB87" s="139"/>
      <c r="FC87" s="139"/>
      <c r="FD87" s="139"/>
      <c r="FE87" s="139"/>
      <c r="FF87" s="139"/>
      <c r="FG87" s="139"/>
      <c r="FH87" s="139"/>
      <c r="FI87" s="139"/>
      <c r="FJ87" s="139"/>
      <c r="FK87" s="139"/>
      <c r="FL87" s="139"/>
      <c r="FM87" s="139"/>
      <c r="FN87" s="139"/>
      <c r="FO87" s="139"/>
      <c r="FP87" s="139"/>
      <c r="FQ87" s="139"/>
      <c r="FR87" s="139"/>
      <c r="FS87" s="139"/>
      <c r="FT87" s="139"/>
      <c r="FU87" s="139"/>
      <c r="FV87" s="139"/>
      <c r="FW87" s="139"/>
      <c r="FX87" s="139"/>
      <c r="FY87" s="139"/>
      <c r="FZ87" s="139"/>
      <c r="GA87" s="139"/>
      <c r="GB87" s="139"/>
      <c r="GC87" s="139"/>
      <c r="GD87" s="139"/>
      <c r="GE87" s="139"/>
      <c r="GF87" s="139"/>
      <c r="GG87" s="139"/>
      <c r="GH87" s="139"/>
      <c r="GI87" s="139"/>
      <c r="GJ87" s="139"/>
      <c r="GK87" s="139"/>
      <c r="GL87" s="139"/>
      <c r="GM87" s="139"/>
      <c r="GN87" s="139"/>
      <c r="GO87" s="139"/>
      <c r="GP87" s="139"/>
      <c r="GQ87" s="139"/>
      <c r="GR87" s="139"/>
      <c r="GS87" s="139"/>
      <c r="GT87" s="139"/>
      <c r="GU87" s="139"/>
      <c r="GV87" s="139"/>
      <c r="GW87" s="139"/>
      <c r="GX87" s="139"/>
      <c r="GY87" s="139"/>
      <c r="GZ87" s="139"/>
      <c r="HA87" s="139"/>
      <c r="HB87" s="139"/>
      <c r="HC87" s="139"/>
      <c r="HD87" s="139"/>
      <c r="HE87" s="139"/>
      <c r="HF87" s="139"/>
      <c r="HG87" s="139"/>
      <c r="HH87" s="139"/>
      <c r="HI87" s="139"/>
      <c r="HJ87" s="139"/>
      <c r="HK87" s="139"/>
      <c r="HL87" s="139"/>
      <c r="HM87" s="139"/>
      <c r="HN87" s="139"/>
      <c r="HO87" s="139"/>
      <c r="HP87" s="139"/>
      <c r="HQ87" s="139"/>
      <c r="HR87" s="139"/>
      <c r="HS87" s="139"/>
      <c r="HT87" s="139"/>
      <c r="HU87" s="139"/>
      <c r="HV87" s="139"/>
      <c r="HW87" s="139"/>
      <c r="HX87" s="139"/>
      <c r="HY87" s="139"/>
      <c r="HZ87" s="139"/>
      <c r="IA87" s="139"/>
      <c r="IB87" s="139"/>
      <c r="IC87" s="139"/>
      <c r="ID87" s="139"/>
      <c r="IE87" s="139"/>
      <c r="IF87" s="139"/>
      <c r="IG87" s="139"/>
      <c r="IH87" s="139"/>
      <c r="II87" s="139"/>
      <c r="IJ87" s="139"/>
      <c r="IK87" s="139"/>
      <c r="IL87" s="139"/>
      <c r="IM87" s="139"/>
      <c r="IN87" s="139"/>
      <c r="IO87" s="139"/>
      <c r="IP87" s="139"/>
      <c r="IQ87" s="139"/>
      <c r="IR87" s="139"/>
      <c r="IS87" s="139"/>
      <c r="IT87" s="139"/>
      <c r="IU87" s="139"/>
      <c r="IV87" s="139"/>
    </row>
    <row r="88" spans="1:256" x14ac:dyDescent="0.25">
      <c r="A88" s="118" t="str">
        <f t="shared" si="1"/>
        <v>9SST304E</v>
      </c>
      <c r="B88" s="136"/>
      <c r="C88" s="137"/>
      <c r="D88" s="121" t="s">
        <v>1045</v>
      </c>
      <c r="E88" s="122" t="s">
        <v>1015</v>
      </c>
      <c r="F88" s="123" t="s">
        <v>1016</v>
      </c>
      <c r="G88" s="123" t="s">
        <v>1016</v>
      </c>
      <c r="H88" s="124">
        <v>0.14602999999999999</v>
      </c>
      <c r="I88" s="123" t="s">
        <v>716</v>
      </c>
      <c r="J88" s="123" t="s">
        <v>705</v>
      </c>
      <c r="K88" s="123" t="s">
        <v>1046</v>
      </c>
      <c r="L88" s="122" t="s">
        <v>1047</v>
      </c>
      <c r="M88" s="123">
        <v>304</v>
      </c>
      <c r="N88" s="118" t="s">
        <v>861</v>
      </c>
      <c r="O88" s="123" t="s">
        <v>1032</v>
      </c>
      <c r="P88" s="123" t="s">
        <v>711</v>
      </c>
      <c r="Q88" s="123" t="s">
        <v>1048</v>
      </c>
      <c r="R88" s="118" t="s">
        <v>1049</v>
      </c>
      <c r="S88" s="123" t="s">
        <v>1029</v>
      </c>
      <c r="T88" s="123" t="s">
        <v>1024</v>
      </c>
      <c r="U88" s="138"/>
      <c r="V88" s="139"/>
      <c r="W88" s="139"/>
      <c r="X88" s="139"/>
      <c r="Y88" s="139"/>
      <c r="Z88" s="139"/>
      <c r="AA88" s="139"/>
      <c r="AB88" s="139"/>
      <c r="AC88" s="139"/>
      <c r="AD88" s="139"/>
      <c r="AE88" s="139"/>
      <c r="AF88" s="139"/>
      <c r="AG88" s="139"/>
      <c r="AH88" s="139"/>
      <c r="AI88" s="139"/>
      <c r="AJ88" s="139"/>
      <c r="AK88" s="139"/>
      <c r="AL88" s="139"/>
      <c r="AM88" s="139"/>
      <c r="AN88" s="139"/>
      <c r="AO88" s="139"/>
      <c r="AP88" s="139"/>
      <c r="AQ88" s="139"/>
      <c r="AR88" s="139"/>
      <c r="AS88" s="139"/>
      <c r="AT88" s="139"/>
      <c r="AU88" s="139"/>
      <c r="AV88" s="139"/>
      <c r="AW88" s="139"/>
      <c r="AX88" s="139"/>
      <c r="AY88" s="139"/>
      <c r="AZ88" s="139"/>
      <c r="BA88" s="139"/>
      <c r="BB88" s="139"/>
      <c r="BC88" s="139"/>
      <c r="BD88" s="139"/>
      <c r="BE88" s="139"/>
      <c r="BF88" s="139"/>
      <c r="BG88" s="139"/>
      <c r="BH88" s="139"/>
      <c r="BI88" s="139"/>
      <c r="BJ88" s="139"/>
      <c r="BK88" s="139"/>
      <c r="BL88" s="139"/>
      <c r="BM88" s="139"/>
      <c r="BN88" s="139"/>
      <c r="BO88" s="139"/>
      <c r="BP88" s="139"/>
      <c r="BQ88" s="139"/>
      <c r="BR88" s="139"/>
      <c r="BS88" s="139"/>
      <c r="BT88" s="139"/>
      <c r="BU88" s="139"/>
      <c r="BV88" s="139"/>
      <c r="BW88" s="139"/>
      <c r="BX88" s="139"/>
      <c r="BY88" s="139"/>
      <c r="BZ88" s="139"/>
      <c r="CA88" s="139"/>
      <c r="CB88" s="139"/>
      <c r="CC88" s="139"/>
      <c r="CD88" s="139"/>
      <c r="CE88" s="139"/>
      <c r="CF88" s="139"/>
      <c r="CG88" s="139"/>
      <c r="CH88" s="139"/>
      <c r="CI88" s="139"/>
      <c r="CJ88" s="139"/>
      <c r="CK88" s="139"/>
      <c r="CL88" s="139"/>
      <c r="CM88" s="139"/>
      <c r="CN88" s="139"/>
      <c r="CO88" s="139"/>
      <c r="CP88" s="139"/>
      <c r="CQ88" s="139"/>
      <c r="CR88" s="139"/>
      <c r="CS88" s="139"/>
      <c r="CT88" s="139"/>
      <c r="CU88" s="139"/>
      <c r="CV88" s="139"/>
      <c r="CW88" s="139"/>
      <c r="CX88" s="139"/>
      <c r="CY88" s="139"/>
      <c r="CZ88" s="139"/>
      <c r="DA88" s="139"/>
      <c r="DB88" s="139"/>
      <c r="DC88" s="139"/>
      <c r="DD88" s="139"/>
      <c r="DE88" s="139"/>
      <c r="DF88" s="139"/>
      <c r="DG88" s="139"/>
      <c r="DH88" s="139"/>
      <c r="DI88" s="139"/>
      <c r="DJ88" s="139"/>
      <c r="DK88" s="139"/>
      <c r="DL88" s="139"/>
      <c r="DM88" s="139"/>
      <c r="DN88" s="139"/>
      <c r="DO88" s="139"/>
      <c r="DP88" s="139"/>
      <c r="DQ88" s="139"/>
      <c r="DR88" s="139"/>
      <c r="DS88" s="139"/>
      <c r="DT88" s="139"/>
      <c r="DU88" s="139"/>
      <c r="DV88" s="139"/>
      <c r="DW88" s="139"/>
      <c r="DX88" s="139"/>
      <c r="DY88" s="139"/>
      <c r="DZ88" s="139"/>
      <c r="EA88" s="139"/>
      <c r="EB88" s="139"/>
      <c r="EC88" s="139"/>
      <c r="ED88" s="139"/>
      <c r="EE88" s="139"/>
      <c r="EF88" s="139"/>
      <c r="EG88" s="139"/>
      <c r="EH88" s="139"/>
      <c r="EI88" s="139"/>
      <c r="EJ88" s="139"/>
      <c r="EK88" s="139"/>
      <c r="EL88" s="139"/>
      <c r="EM88" s="139"/>
      <c r="EN88" s="139"/>
      <c r="EO88" s="139"/>
      <c r="EP88" s="139"/>
      <c r="EQ88" s="139"/>
      <c r="ER88" s="139"/>
      <c r="ES88" s="139"/>
      <c r="ET88" s="139"/>
      <c r="EU88" s="139"/>
      <c r="EV88" s="139"/>
      <c r="EW88" s="139"/>
      <c r="EX88" s="139"/>
      <c r="EY88" s="139"/>
      <c r="EZ88" s="139"/>
      <c r="FA88" s="139"/>
      <c r="FB88" s="139"/>
      <c r="FC88" s="139"/>
      <c r="FD88" s="139"/>
      <c r="FE88" s="139"/>
      <c r="FF88" s="139"/>
      <c r="FG88" s="139"/>
      <c r="FH88" s="139"/>
      <c r="FI88" s="139"/>
      <c r="FJ88" s="139"/>
      <c r="FK88" s="139"/>
      <c r="FL88" s="139"/>
      <c r="FM88" s="139"/>
      <c r="FN88" s="139"/>
      <c r="FO88" s="139"/>
      <c r="FP88" s="139"/>
      <c r="FQ88" s="139"/>
      <c r="FR88" s="139"/>
      <c r="FS88" s="139"/>
      <c r="FT88" s="139"/>
      <c r="FU88" s="139"/>
      <c r="FV88" s="139"/>
      <c r="FW88" s="139"/>
      <c r="FX88" s="139"/>
      <c r="FY88" s="139"/>
      <c r="FZ88" s="139"/>
      <c r="GA88" s="139"/>
      <c r="GB88" s="139"/>
      <c r="GC88" s="139"/>
      <c r="GD88" s="139"/>
      <c r="GE88" s="139"/>
      <c r="GF88" s="139"/>
      <c r="GG88" s="139"/>
      <c r="GH88" s="139"/>
      <c r="GI88" s="139"/>
      <c r="GJ88" s="139"/>
      <c r="GK88" s="139"/>
      <c r="GL88" s="139"/>
      <c r="GM88" s="139"/>
      <c r="GN88" s="139"/>
      <c r="GO88" s="139"/>
      <c r="GP88" s="139"/>
      <c r="GQ88" s="139"/>
      <c r="GR88" s="139"/>
      <c r="GS88" s="139"/>
      <c r="GT88" s="139"/>
      <c r="GU88" s="139"/>
      <c r="GV88" s="139"/>
      <c r="GW88" s="139"/>
      <c r="GX88" s="139"/>
      <c r="GY88" s="139"/>
      <c r="GZ88" s="139"/>
      <c r="HA88" s="139"/>
      <c r="HB88" s="139"/>
      <c r="HC88" s="139"/>
      <c r="HD88" s="139"/>
      <c r="HE88" s="139"/>
      <c r="HF88" s="139"/>
      <c r="HG88" s="139"/>
      <c r="HH88" s="139"/>
      <c r="HI88" s="139"/>
      <c r="HJ88" s="139"/>
      <c r="HK88" s="139"/>
      <c r="HL88" s="139"/>
      <c r="HM88" s="139"/>
      <c r="HN88" s="139"/>
      <c r="HO88" s="139"/>
      <c r="HP88" s="139"/>
      <c r="HQ88" s="139"/>
      <c r="HR88" s="139"/>
      <c r="HS88" s="139"/>
      <c r="HT88" s="139"/>
      <c r="HU88" s="139"/>
      <c r="HV88" s="139"/>
      <c r="HW88" s="139"/>
      <c r="HX88" s="139"/>
      <c r="HY88" s="139"/>
      <c r="HZ88" s="139"/>
      <c r="IA88" s="139"/>
      <c r="IB88" s="139"/>
      <c r="IC88" s="139"/>
      <c r="ID88" s="139"/>
      <c r="IE88" s="139"/>
      <c r="IF88" s="139"/>
      <c r="IG88" s="139"/>
      <c r="IH88" s="139"/>
      <c r="II88" s="139"/>
      <c r="IJ88" s="139"/>
      <c r="IK88" s="139"/>
      <c r="IL88" s="139"/>
      <c r="IM88" s="139"/>
      <c r="IN88" s="139"/>
      <c r="IO88" s="139"/>
      <c r="IP88" s="139"/>
      <c r="IQ88" s="139"/>
      <c r="IR88" s="139"/>
      <c r="IS88" s="139"/>
      <c r="IT88" s="139"/>
      <c r="IU88" s="139"/>
      <c r="IV88" s="139"/>
    </row>
    <row r="89" spans="1:256" x14ac:dyDescent="0.25">
      <c r="A89" s="118" t="str">
        <f t="shared" si="1"/>
        <v>11SST304E</v>
      </c>
      <c r="B89" s="136"/>
      <c r="C89" s="137"/>
      <c r="D89" s="121" t="s">
        <v>1045</v>
      </c>
      <c r="E89" s="122" t="s">
        <v>809</v>
      </c>
      <c r="F89" s="123" t="s">
        <v>1035</v>
      </c>
      <c r="G89" s="123" t="s">
        <v>1035</v>
      </c>
      <c r="H89" s="124">
        <v>0.12002</v>
      </c>
      <c r="I89" s="123" t="s">
        <v>716</v>
      </c>
      <c r="J89" s="123" t="s">
        <v>705</v>
      </c>
      <c r="K89" s="123" t="s">
        <v>1050</v>
      </c>
      <c r="L89" s="122" t="s">
        <v>1051</v>
      </c>
      <c r="M89" s="123" t="s">
        <v>860</v>
      </c>
      <c r="N89" s="118" t="s">
        <v>861</v>
      </c>
      <c r="O89" s="123" t="s">
        <v>722</v>
      </c>
      <c r="P89" s="123" t="s">
        <v>711</v>
      </c>
      <c r="Q89" s="123" t="s">
        <v>1048</v>
      </c>
      <c r="R89" s="123" t="s">
        <v>1052</v>
      </c>
      <c r="S89" s="123" t="s">
        <v>1023</v>
      </c>
      <c r="T89" s="123" t="s">
        <v>1024</v>
      </c>
      <c r="U89" s="138"/>
      <c r="V89" s="139"/>
      <c r="W89" s="139"/>
      <c r="X89" s="139"/>
      <c r="Y89" s="139"/>
      <c r="Z89" s="139"/>
      <c r="AA89" s="139"/>
      <c r="AB89" s="139"/>
      <c r="AC89" s="139"/>
      <c r="AD89" s="139"/>
      <c r="AE89" s="139"/>
      <c r="AF89" s="139"/>
      <c r="AG89" s="139"/>
      <c r="AH89" s="139"/>
      <c r="AI89" s="139"/>
      <c r="AJ89" s="139"/>
      <c r="AK89" s="139"/>
      <c r="AL89" s="139"/>
      <c r="AM89" s="139"/>
      <c r="AN89" s="139"/>
      <c r="AO89" s="139"/>
      <c r="AP89" s="139"/>
      <c r="AQ89" s="139"/>
      <c r="AR89" s="139"/>
      <c r="AS89" s="139"/>
      <c r="AT89" s="139"/>
      <c r="AU89" s="139"/>
      <c r="AV89" s="139"/>
      <c r="AW89" s="139"/>
      <c r="AX89" s="139"/>
      <c r="AY89" s="139"/>
      <c r="AZ89" s="139"/>
      <c r="BA89" s="139"/>
      <c r="BB89" s="139"/>
      <c r="BC89" s="139"/>
      <c r="BD89" s="139"/>
      <c r="BE89" s="139"/>
      <c r="BF89" s="139"/>
      <c r="BG89" s="139"/>
      <c r="BH89" s="139"/>
      <c r="BI89" s="139"/>
      <c r="BJ89" s="139"/>
      <c r="BK89" s="139"/>
      <c r="BL89" s="139"/>
      <c r="BM89" s="139"/>
      <c r="BN89" s="139"/>
      <c r="BO89" s="139"/>
      <c r="BP89" s="139"/>
      <c r="BQ89" s="139"/>
      <c r="BR89" s="139"/>
      <c r="BS89" s="139"/>
      <c r="BT89" s="139"/>
      <c r="BU89" s="139"/>
      <c r="BV89" s="139"/>
      <c r="BW89" s="139"/>
      <c r="BX89" s="139"/>
      <c r="BY89" s="139"/>
      <c r="BZ89" s="139"/>
      <c r="CA89" s="139"/>
      <c r="CB89" s="139"/>
      <c r="CC89" s="139"/>
      <c r="CD89" s="139"/>
      <c r="CE89" s="139"/>
      <c r="CF89" s="139"/>
      <c r="CG89" s="139"/>
      <c r="CH89" s="139"/>
      <c r="CI89" s="139"/>
      <c r="CJ89" s="139"/>
      <c r="CK89" s="139"/>
      <c r="CL89" s="139"/>
      <c r="CM89" s="139"/>
      <c r="CN89" s="139"/>
      <c r="CO89" s="139"/>
      <c r="CP89" s="139"/>
      <c r="CQ89" s="139"/>
      <c r="CR89" s="139"/>
      <c r="CS89" s="139"/>
      <c r="CT89" s="139"/>
      <c r="CU89" s="139"/>
      <c r="CV89" s="139"/>
      <c r="CW89" s="139"/>
      <c r="CX89" s="139"/>
      <c r="CY89" s="139"/>
      <c r="CZ89" s="139"/>
      <c r="DA89" s="139"/>
      <c r="DB89" s="139"/>
      <c r="DC89" s="139"/>
      <c r="DD89" s="139"/>
      <c r="DE89" s="139"/>
      <c r="DF89" s="139"/>
      <c r="DG89" s="139"/>
      <c r="DH89" s="139"/>
      <c r="DI89" s="139"/>
      <c r="DJ89" s="139"/>
      <c r="DK89" s="139"/>
      <c r="DL89" s="139"/>
      <c r="DM89" s="139"/>
      <c r="DN89" s="139"/>
      <c r="DO89" s="139"/>
      <c r="DP89" s="139"/>
      <c r="DQ89" s="139"/>
      <c r="DR89" s="139"/>
      <c r="DS89" s="139"/>
      <c r="DT89" s="139"/>
      <c r="DU89" s="139"/>
      <c r="DV89" s="139"/>
      <c r="DW89" s="139"/>
      <c r="DX89" s="139"/>
      <c r="DY89" s="139"/>
      <c r="DZ89" s="139"/>
      <c r="EA89" s="139"/>
      <c r="EB89" s="139"/>
      <c r="EC89" s="139"/>
      <c r="ED89" s="139"/>
      <c r="EE89" s="139"/>
      <c r="EF89" s="139"/>
      <c r="EG89" s="139"/>
      <c r="EH89" s="139"/>
      <c r="EI89" s="139"/>
      <c r="EJ89" s="139"/>
      <c r="EK89" s="139"/>
      <c r="EL89" s="139"/>
      <c r="EM89" s="139"/>
      <c r="EN89" s="139"/>
      <c r="EO89" s="139"/>
      <c r="EP89" s="139"/>
      <c r="EQ89" s="139"/>
      <c r="ER89" s="139"/>
      <c r="ES89" s="139"/>
      <c r="ET89" s="139"/>
      <c r="EU89" s="139"/>
      <c r="EV89" s="139"/>
      <c r="EW89" s="139"/>
      <c r="EX89" s="139"/>
      <c r="EY89" s="139"/>
      <c r="EZ89" s="139"/>
      <c r="FA89" s="139"/>
      <c r="FB89" s="139"/>
      <c r="FC89" s="139"/>
      <c r="FD89" s="139"/>
      <c r="FE89" s="139"/>
      <c r="FF89" s="139"/>
      <c r="FG89" s="139"/>
      <c r="FH89" s="139"/>
      <c r="FI89" s="139"/>
      <c r="FJ89" s="139"/>
      <c r="FK89" s="139"/>
      <c r="FL89" s="139"/>
      <c r="FM89" s="139"/>
      <c r="FN89" s="139"/>
      <c r="FO89" s="139"/>
      <c r="FP89" s="139"/>
      <c r="FQ89" s="139"/>
      <c r="FR89" s="139"/>
      <c r="FS89" s="139"/>
      <c r="FT89" s="139"/>
      <c r="FU89" s="139"/>
      <c r="FV89" s="139"/>
      <c r="FW89" s="139"/>
      <c r="FX89" s="139"/>
      <c r="FY89" s="139"/>
      <c r="FZ89" s="139"/>
      <c r="GA89" s="139"/>
      <c r="GB89" s="139"/>
      <c r="GC89" s="139"/>
      <c r="GD89" s="139"/>
      <c r="GE89" s="139"/>
      <c r="GF89" s="139"/>
      <c r="GG89" s="139"/>
      <c r="GH89" s="139"/>
      <c r="GI89" s="139"/>
      <c r="GJ89" s="139"/>
      <c r="GK89" s="139"/>
      <c r="GL89" s="139"/>
      <c r="GM89" s="139"/>
      <c r="GN89" s="139"/>
      <c r="GO89" s="139"/>
      <c r="GP89" s="139"/>
      <c r="GQ89" s="139"/>
      <c r="GR89" s="139"/>
      <c r="GS89" s="139"/>
      <c r="GT89" s="139"/>
      <c r="GU89" s="139"/>
      <c r="GV89" s="139"/>
      <c r="GW89" s="139"/>
      <c r="GX89" s="139"/>
      <c r="GY89" s="139"/>
      <c r="GZ89" s="139"/>
      <c r="HA89" s="139"/>
      <c r="HB89" s="139"/>
      <c r="HC89" s="139"/>
      <c r="HD89" s="139"/>
      <c r="HE89" s="139"/>
      <c r="HF89" s="139"/>
      <c r="HG89" s="139"/>
      <c r="HH89" s="139"/>
      <c r="HI89" s="139"/>
      <c r="HJ89" s="139"/>
      <c r="HK89" s="139"/>
      <c r="HL89" s="139"/>
      <c r="HM89" s="139"/>
      <c r="HN89" s="139"/>
      <c r="HO89" s="139"/>
      <c r="HP89" s="139"/>
      <c r="HQ89" s="139"/>
      <c r="HR89" s="139"/>
      <c r="HS89" s="139"/>
      <c r="HT89" s="139"/>
      <c r="HU89" s="139"/>
      <c r="HV89" s="139"/>
      <c r="HW89" s="139"/>
      <c r="HX89" s="139"/>
      <c r="HY89" s="139"/>
      <c r="HZ89" s="139"/>
      <c r="IA89" s="139"/>
      <c r="IB89" s="139"/>
      <c r="IC89" s="139"/>
      <c r="ID89" s="139"/>
      <c r="IE89" s="139"/>
      <c r="IF89" s="139"/>
      <c r="IG89" s="139"/>
      <c r="IH89" s="139"/>
      <c r="II89" s="139"/>
      <c r="IJ89" s="139"/>
      <c r="IK89" s="139"/>
      <c r="IL89" s="139"/>
      <c r="IM89" s="139"/>
      <c r="IN89" s="139"/>
      <c r="IO89" s="139"/>
      <c r="IP89" s="139"/>
      <c r="IQ89" s="139"/>
      <c r="IR89" s="139"/>
      <c r="IS89" s="139"/>
      <c r="IT89" s="139"/>
      <c r="IU89" s="139"/>
      <c r="IV89" s="139"/>
    </row>
    <row r="90" spans="1:256" x14ac:dyDescent="0.25">
      <c r="A90" s="118" t="str">
        <f t="shared" si="1"/>
        <v>20ALM EMB</v>
      </c>
      <c r="B90" s="136"/>
      <c r="C90" s="137"/>
      <c r="D90" s="122" t="s">
        <v>1053</v>
      </c>
      <c r="E90" s="122" t="s">
        <v>826</v>
      </c>
      <c r="F90" s="123" t="s">
        <v>827</v>
      </c>
      <c r="G90" s="123" t="s">
        <v>827</v>
      </c>
      <c r="H90" s="124">
        <v>4.002E-2</v>
      </c>
      <c r="I90" s="123" t="s">
        <v>716</v>
      </c>
      <c r="J90" s="123" t="s">
        <v>705</v>
      </c>
      <c r="K90" s="123" t="s">
        <v>1054</v>
      </c>
      <c r="L90" s="122" t="s">
        <v>1055</v>
      </c>
      <c r="M90" s="123" t="s">
        <v>136</v>
      </c>
      <c r="N90" s="118" t="s">
        <v>1056</v>
      </c>
      <c r="O90" s="123" t="s">
        <v>831</v>
      </c>
      <c r="P90" s="123" t="s">
        <v>711</v>
      </c>
      <c r="Q90" s="123" t="s">
        <v>1057</v>
      </c>
      <c r="R90" s="123" t="s">
        <v>1058</v>
      </c>
      <c r="S90" s="123" t="s">
        <v>1059</v>
      </c>
      <c r="T90" s="123" t="s">
        <v>713</v>
      </c>
      <c r="U90" s="138"/>
      <c r="V90" s="139"/>
      <c r="W90" s="139"/>
      <c r="X90" s="139"/>
      <c r="Y90" s="139"/>
      <c r="Z90" s="139"/>
      <c r="AA90" s="139"/>
      <c r="AB90" s="139"/>
      <c r="AC90" s="139"/>
      <c r="AD90" s="139"/>
      <c r="AE90" s="139"/>
      <c r="AF90" s="139"/>
      <c r="AG90" s="139"/>
      <c r="AH90" s="139"/>
      <c r="AI90" s="139"/>
      <c r="AJ90" s="139"/>
      <c r="AK90" s="139"/>
      <c r="AL90" s="139"/>
      <c r="AM90" s="139"/>
      <c r="AN90" s="139"/>
      <c r="AO90" s="139"/>
      <c r="AP90" s="139"/>
      <c r="AQ90" s="139"/>
      <c r="AR90" s="139"/>
      <c r="AS90" s="139"/>
      <c r="AT90" s="139"/>
      <c r="AU90" s="139"/>
      <c r="AV90" s="139"/>
      <c r="AW90" s="139"/>
      <c r="AX90" s="139"/>
      <c r="AY90" s="139"/>
      <c r="AZ90" s="139"/>
      <c r="BA90" s="139"/>
      <c r="BB90" s="139"/>
      <c r="BC90" s="139"/>
      <c r="BD90" s="139"/>
      <c r="BE90" s="139"/>
      <c r="BF90" s="139"/>
      <c r="BG90" s="139"/>
      <c r="BH90" s="139"/>
      <c r="BI90" s="139"/>
      <c r="BJ90" s="139"/>
      <c r="BK90" s="139"/>
      <c r="BL90" s="139"/>
      <c r="BM90" s="139"/>
      <c r="BN90" s="139"/>
      <c r="BO90" s="139"/>
      <c r="BP90" s="139"/>
      <c r="BQ90" s="139"/>
      <c r="BR90" s="139"/>
      <c r="BS90" s="139"/>
      <c r="BT90" s="139"/>
      <c r="BU90" s="139"/>
      <c r="BV90" s="139"/>
      <c r="BW90" s="139"/>
      <c r="BX90" s="139"/>
      <c r="BY90" s="139"/>
      <c r="BZ90" s="139"/>
      <c r="CA90" s="139"/>
      <c r="CB90" s="139"/>
      <c r="CC90" s="139"/>
      <c r="CD90" s="139"/>
      <c r="CE90" s="139"/>
      <c r="CF90" s="139"/>
      <c r="CG90" s="139"/>
      <c r="CH90" s="139"/>
      <c r="CI90" s="139"/>
      <c r="CJ90" s="139"/>
      <c r="CK90" s="139"/>
      <c r="CL90" s="139"/>
      <c r="CM90" s="139"/>
      <c r="CN90" s="139"/>
      <c r="CO90" s="139"/>
      <c r="CP90" s="139"/>
      <c r="CQ90" s="139"/>
      <c r="CR90" s="139"/>
      <c r="CS90" s="139"/>
      <c r="CT90" s="139"/>
      <c r="CU90" s="139"/>
      <c r="CV90" s="139"/>
      <c r="CW90" s="139"/>
      <c r="CX90" s="139"/>
      <c r="CY90" s="139"/>
      <c r="CZ90" s="139"/>
      <c r="DA90" s="139"/>
      <c r="DB90" s="139"/>
      <c r="DC90" s="139"/>
      <c r="DD90" s="139"/>
      <c r="DE90" s="139"/>
      <c r="DF90" s="139"/>
      <c r="DG90" s="139"/>
      <c r="DH90" s="139"/>
      <c r="DI90" s="139"/>
      <c r="DJ90" s="139"/>
      <c r="DK90" s="139"/>
      <c r="DL90" s="139"/>
      <c r="DM90" s="139"/>
      <c r="DN90" s="139"/>
      <c r="DO90" s="139"/>
      <c r="DP90" s="139"/>
      <c r="DQ90" s="139"/>
      <c r="DR90" s="139"/>
      <c r="DS90" s="139"/>
      <c r="DT90" s="139"/>
      <c r="DU90" s="139"/>
      <c r="DV90" s="139"/>
      <c r="DW90" s="139"/>
      <c r="DX90" s="139"/>
      <c r="DY90" s="139"/>
      <c r="DZ90" s="139"/>
      <c r="EA90" s="139"/>
      <c r="EB90" s="139"/>
      <c r="EC90" s="139"/>
      <c r="ED90" s="139"/>
      <c r="EE90" s="139"/>
      <c r="EF90" s="139"/>
      <c r="EG90" s="139"/>
      <c r="EH90" s="139"/>
      <c r="EI90" s="139"/>
      <c r="EJ90" s="139"/>
      <c r="EK90" s="139"/>
      <c r="EL90" s="139"/>
      <c r="EM90" s="139"/>
      <c r="EN90" s="139"/>
      <c r="EO90" s="139"/>
      <c r="EP90" s="139"/>
      <c r="EQ90" s="139"/>
      <c r="ER90" s="139"/>
      <c r="ES90" s="139"/>
      <c r="ET90" s="139"/>
      <c r="EU90" s="139"/>
      <c r="EV90" s="139"/>
      <c r="EW90" s="139"/>
      <c r="EX90" s="139"/>
      <c r="EY90" s="139"/>
      <c r="EZ90" s="139"/>
      <c r="FA90" s="139"/>
      <c r="FB90" s="139"/>
      <c r="FC90" s="139"/>
      <c r="FD90" s="139"/>
      <c r="FE90" s="139"/>
      <c r="FF90" s="139"/>
      <c r="FG90" s="139"/>
      <c r="FH90" s="139"/>
      <c r="FI90" s="139"/>
      <c r="FJ90" s="139"/>
      <c r="FK90" s="139"/>
      <c r="FL90" s="139"/>
      <c r="FM90" s="139"/>
      <c r="FN90" s="139"/>
      <c r="FO90" s="139"/>
      <c r="FP90" s="139"/>
      <c r="FQ90" s="139"/>
      <c r="FR90" s="139"/>
      <c r="FS90" s="139"/>
      <c r="FT90" s="139"/>
      <c r="FU90" s="139"/>
      <c r="FV90" s="139"/>
      <c r="FW90" s="139"/>
      <c r="FX90" s="139"/>
      <c r="FY90" s="139"/>
      <c r="FZ90" s="139"/>
      <c r="GA90" s="139"/>
      <c r="GB90" s="139"/>
      <c r="GC90" s="139"/>
      <c r="GD90" s="139"/>
      <c r="GE90" s="139"/>
      <c r="GF90" s="139"/>
      <c r="GG90" s="139"/>
      <c r="GH90" s="139"/>
      <c r="GI90" s="139"/>
      <c r="GJ90" s="139"/>
      <c r="GK90" s="139"/>
      <c r="GL90" s="139"/>
      <c r="GM90" s="139"/>
      <c r="GN90" s="139"/>
      <c r="GO90" s="139"/>
      <c r="GP90" s="139"/>
      <c r="GQ90" s="139"/>
      <c r="GR90" s="139"/>
      <c r="GS90" s="139"/>
      <c r="GT90" s="139"/>
      <c r="GU90" s="139"/>
      <c r="GV90" s="139"/>
      <c r="GW90" s="139"/>
      <c r="GX90" s="139"/>
      <c r="GY90" s="139"/>
      <c r="GZ90" s="139"/>
      <c r="HA90" s="139"/>
      <c r="HB90" s="139"/>
      <c r="HC90" s="139"/>
      <c r="HD90" s="139"/>
      <c r="HE90" s="139"/>
      <c r="HF90" s="139"/>
      <c r="HG90" s="139"/>
      <c r="HH90" s="139"/>
      <c r="HI90" s="139"/>
      <c r="HJ90" s="139"/>
      <c r="HK90" s="139"/>
      <c r="HL90" s="139"/>
      <c r="HM90" s="139"/>
      <c r="HN90" s="139"/>
      <c r="HO90" s="139"/>
      <c r="HP90" s="139"/>
      <c r="HQ90" s="139"/>
      <c r="HR90" s="139"/>
      <c r="HS90" s="139"/>
      <c r="HT90" s="139"/>
      <c r="HU90" s="139"/>
      <c r="HV90" s="139"/>
      <c r="HW90" s="139"/>
      <c r="HX90" s="139"/>
      <c r="HY90" s="139"/>
      <c r="HZ90" s="139"/>
      <c r="IA90" s="139"/>
      <c r="IB90" s="139"/>
      <c r="IC90" s="139"/>
      <c r="ID90" s="139"/>
      <c r="IE90" s="139"/>
      <c r="IF90" s="139"/>
      <c r="IG90" s="139"/>
      <c r="IH90" s="139"/>
      <c r="II90" s="139"/>
      <c r="IJ90" s="139"/>
      <c r="IK90" s="139"/>
      <c r="IL90" s="139"/>
      <c r="IM90" s="139"/>
      <c r="IN90" s="139"/>
      <c r="IO90" s="139"/>
      <c r="IP90" s="139"/>
      <c r="IQ90" s="139"/>
      <c r="IR90" s="139"/>
      <c r="IS90" s="139"/>
      <c r="IT90" s="139"/>
      <c r="IU90" s="139"/>
      <c r="IV90" s="139"/>
    </row>
    <row r="91" spans="1:256" x14ac:dyDescent="0.25">
      <c r="A91" s="118" t="str">
        <f t="shared" si="1"/>
        <v>14ALM EMB</v>
      </c>
      <c r="B91" s="136"/>
      <c r="C91" s="170"/>
      <c r="D91" s="122" t="s">
        <v>1053</v>
      </c>
      <c r="E91" s="122" t="s">
        <v>819</v>
      </c>
      <c r="F91" s="123" t="s">
        <v>844</v>
      </c>
      <c r="G91" s="123" t="s">
        <v>844</v>
      </c>
      <c r="H91" s="124">
        <v>8.0019999999999994E-2</v>
      </c>
      <c r="I91" s="123" t="s">
        <v>716</v>
      </c>
      <c r="J91" s="123" t="s">
        <v>705</v>
      </c>
      <c r="K91" s="123" t="s">
        <v>1060</v>
      </c>
      <c r="L91" s="122" t="s">
        <v>1061</v>
      </c>
      <c r="M91" s="123" t="s">
        <v>136</v>
      </c>
      <c r="N91" s="118" t="s">
        <v>1056</v>
      </c>
      <c r="O91" s="123" t="s">
        <v>831</v>
      </c>
      <c r="P91" s="123" t="s">
        <v>711</v>
      </c>
      <c r="Q91" s="123" t="s">
        <v>1057</v>
      </c>
      <c r="R91" s="123" t="s">
        <v>1062</v>
      </c>
      <c r="S91" s="123" t="s">
        <v>1059</v>
      </c>
      <c r="T91" s="123" t="s">
        <v>713</v>
      </c>
      <c r="U91" s="138"/>
      <c r="V91" s="139"/>
      <c r="W91" s="139"/>
      <c r="X91" s="139"/>
      <c r="Y91" s="139"/>
      <c r="Z91" s="139"/>
      <c r="AA91" s="139"/>
      <c r="AB91" s="139"/>
      <c r="AC91" s="139"/>
      <c r="AD91" s="139"/>
      <c r="AE91" s="139"/>
      <c r="AF91" s="139"/>
      <c r="AG91" s="139"/>
      <c r="AH91" s="139"/>
      <c r="AI91" s="139"/>
      <c r="AJ91" s="139"/>
      <c r="AK91" s="139"/>
      <c r="AL91" s="139"/>
      <c r="AM91" s="139"/>
      <c r="AN91" s="139"/>
      <c r="AO91" s="139"/>
      <c r="AP91" s="139"/>
      <c r="AQ91" s="139"/>
      <c r="AR91" s="139"/>
      <c r="AS91" s="139"/>
      <c r="AT91" s="139"/>
      <c r="AU91" s="139"/>
      <c r="AV91" s="139"/>
      <c r="AW91" s="139"/>
      <c r="AX91" s="139"/>
      <c r="AY91" s="139"/>
      <c r="AZ91" s="139"/>
      <c r="BA91" s="139"/>
      <c r="BB91" s="139"/>
      <c r="BC91" s="139"/>
      <c r="BD91" s="139"/>
      <c r="BE91" s="139"/>
      <c r="BF91" s="139"/>
      <c r="BG91" s="139"/>
      <c r="BH91" s="139"/>
      <c r="BI91" s="139"/>
      <c r="BJ91" s="139"/>
      <c r="BK91" s="139"/>
      <c r="BL91" s="139"/>
      <c r="BM91" s="139"/>
      <c r="BN91" s="139"/>
      <c r="BO91" s="139"/>
      <c r="BP91" s="139"/>
      <c r="BQ91" s="139"/>
      <c r="BR91" s="139"/>
      <c r="BS91" s="139"/>
      <c r="BT91" s="139"/>
      <c r="BU91" s="139"/>
      <c r="BV91" s="139"/>
      <c r="BW91" s="139"/>
      <c r="BX91" s="139"/>
      <c r="BY91" s="139"/>
      <c r="BZ91" s="139"/>
      <c r="CA91" s="139"/>
      <c r="CB91" s="139"/>
      <c r="CC91" s="139"/>
      <c r="CD91" s="139"/>
      <c r="CE91" s="139"/>
      <c r="CF91" s="139"/>
      <c r="CG91" s="139"/>
      <c r="CH91" s="139"/>
      <c r="CI91" s="139"/>
      <c r="CJ91" s="139"/>
      <c r="CK91" s="139"/>
      <c r="CL91" s="139"/>
      <c r="CM91" s="139"/>
      <c r="CN91" s="139"/>
      <c r="CO91" s="139"/>
      <c r="CP91" s="139"/>
      <c r="CQ91" s="139"/>
      <c r="CR91" s="139"/>
      <c r="CS91" s="139"/>
      <c r="CT91" s="139"/>
      <c r="CU91" s="139"/>
      <c r="CV91" s="139"/>
      <c r="CW91" s="139"/>
      <c r="CX91" s="139"/>
      <c r="CY91" s="139"/>
      <c r="CZ91" s="139"/>
      <c r="DA91" s="139"/>
      <c r="DB91" s="139"/>
      <c r="DC91" s="139"/>
      <c r="DD91" s="139"/>
      <c r="DE91" s="139"/>
      <c r="DF91" s="139"/>
      <c r="DG91" s="139"/>
      <c r="DH91" s="139"/>
      <c r="DI91" s="139"/>
      <c r="DJ91" s="139"/>
      <c r="DK91" s="139"/>
      <c r="DL91" s="139"/>
      <c r="DM91" s="139"/>
      <c r="DN91" s="139"/>
      <c r="DO91" s="139"/>
      <c r="DP91" s="139"/>
      <c r="DQ91" s="139"/>
      <c r="DR91" s="139"/>
      <c r="DS91" s="139"/>
      <c r="DT91" s="139"/>
      <c r="DU91" s="139"/>
      <c r="DV91" s="139"/>
      <c r="DW91" s="139"/>
      <c r="DX91" s="139"/>
      <c r="DY91" s="139"/>
      <c r="DZ91" s="139"/>
      <c r="EA91" s="139"/>
      <c r="EB91" s="139"/>
      <c r="EC91" s="139"/>
      <c r="ED91" s="139"/>
      <c r="EE91" s="139"/>
      <c r="EF91" s="139"/>
      <c r="EG91" s="139"/>
      <c r="EH91" s="139"/>
      <c r="EI91" s="139"/>
      <c r="EJ91" s="139"/>
      <c r="EK91" s="139"/>
      <c r="EL91" s="139"/>
      <c r="EM91" s="139"/>
      <c r="EN91" s="139"/>
      <c r="EO91" s="139"/>
      <c r="EP91" s="139"/>
      <c r="EQ91" s="139"/>
      <c r="ER91" s="139"/>
      <c r="ES91" s="139"/>
      <c r="ET91" s="139"/>
      <c r="EU91" s="139"/>
      <c r="EV91" s="139"/>
      <c r="EW91" s="139"/>
      <c r="EX91" s="139"/>
      <c r="EY91" s="139"/>
      <c r="EZ91" s="139"/>
      <c r="FA91" s="139"/>
      <c r="FB91" s="139"/>
      <c r="FC91" s="139"/>
      <c r="FD91" s="139"/>
      <c r="FE91" s="139"/>
      <c r="FF91" s="139"/>
      <c r="FG91" s="139"/>
      <c r="FH91" s="139"/>
      <c r="FI91" s="139"/>
      <c r="FJ91" s="139"/>
      <c r="FK91" s="139"/>
      <c r="FL91" s="139"/>
      <c r="FM91" s="139"/>
      <c r="FN91" s="139"/>
      <c r="FO91" s="139"/>
      <c r="FP91" s="139"/>
      <c r="FQ91" s="139"/>
      <c r="FR91" s="139"/>
      <c r="FS91" s="139"/>
      <c r="FT91" s="139"/>
      <c r="FU91" s="139"/>
      <c r="FV91" s="139"/>
      <c r="FW91" s="139"/>
      <c r="FX91" s="139"/>
      <c r="FY91" s="139"/>
      <c r="FZ91" s="139"/>
      <c r="GA91" s="139"/>
      <c r="GB91" s="139"/>
      <c r="GC91" s="139"/>
      <c r="GD91" s="139"/>
      <c r="GE91" s="139"/>
      <c r="GF91" s="139"/>
      <c r="GG91" s="139"/>
      <c r="GH91" s="139"/>
      <c r="GI91" s="139"/>
      <c r="GJ91" s="139"/>
      <c r="GK91" s="139"/>
      <c r="GL91" s="139"/>
      <c r="GM91" s="139"/>
      <c r="GN91" s="139"/>
      <c r="GO91" s="139"/>
      <c r="GP91" s="139"/>
      <c r="GQ91" s="139"/>
      <c r="GR91" s="139"/>
      <c r="GS91" s="139"/>
      <c r="GT91" s="139"/>
      <c r="GU91" s="139"/>
      <c r="GV91" s="139"/>
      <c r="GW91" s="139"/>
      <c r="GX91" s="139"/>
      <c r="GY91" s="139"/>
      <c r="GZ91" s="139"/>
      <c r="HA91" s="139"/>
      <c r="HB91" s="139"/>
      <c r="HC91" s="139"/>
      <c r="HD91" s="139"/>
      <c r="HE91" s="139"/>
      <c r="HF91" s="139"/>
      <c r="HG91" s="139"/>
      <c r="HH91" s="139"/>
      <c r="HI91" s="139"/>
      <c r="HJ91" s="139"/>
      <c r="HK91" s="139"/>
      <c r="HL91" s="139"/>
      <c r="HM91" s="139"/>
      <c r="HN91" s="139"/>
      <c r="HO91" s="139"/>
      <c r="HP91" s="139"/>
      <c r="HQ91" s="139"/>
      <c r="HR91" s="139"/>
      <c r="HS91" s="139"/>
      <c r="HT91" s="139"/>
      <c r="HU91" s="139"/>
      <c r="HV91" s="139"/>
      <c r="HW91" s="139"/>
      <c r="HX91" s="139"/>
      <c r="HY91" s="139"/>
      <c r="HZ91" s="139"/>
      <c r="IA91" s="139"/>
      <c r="IB91" s="139"/>
      <c r="IC91" s="139"/>
      <c r="ID91" s="139"/>
      <c r="IE91" s="139"/>
      <c r="IF91" s="139"/>
      <c r="IG91" s="139"/>
      <c r="IH91" s="139"/>
      <c r="II91" s="139"/>
      <c r="IJ91" s="139"/>
      <c r="IK91" s="139"/>
      <c r="IL91" s="139"/>
      <c r="IM91" s="139"/>
      <c r="IN91" s="139"/>
      <c r="IO91" s="139"/>
      <c r="IP91" s="139"/>
      <c r="IQ91" s="139"/>
      <c r="IR91" s="139"/>
      <c r="IS91" s="139"/>
      <c r="IT91" s="139"/>
      <c r="IU91" s="139"/>
      <c r="IV91" s="139"/>
    </row>
    <row r="92" spans="1:256" x14ac:dyDescent="0.25">
      <c r="A92" s="118" t="str">
        <f t="shared" si="1"/>
        <v>1SST304G</v>
      </c>
      <c r="B92" s="136"/>
      <c r="C92" s="170"/>
      <c r="D92" s="121" t="s">
        <v>1063</v>
      </c>
      <c r="E92" s="121" t="s">
        <v>1064</v>
      </c>
      <c r="F92" s="130" t="s">
        <v>1065</v>
      </c>
      <c r="G92" s="130" t="s">
        <v>1065</v>
      </c>
      <c r="H92" s="131">
        <v>1.0000199999999999</v>
      </c>
      <c r="I92" s="130" t="s">
        <v>716</v>
      </c>
      <c r="J92" s="130" t="s">
        <v>705</v>
      </c>
      <c r="K92" s="173" t="s">
        <v>1066</v>
      </c>
      <c r="L92" s="121" t="s">
        <v>1067</v>
      </c>
      <c r="M92" s="123" t="s">
        <v>860</v>
      </c>
      <c r="N92" s="173" t="s">
        <v>861</v>
      </c>
      <c r="O92" s="130" t="s">
        <v>1068</v>
      </c>
      <c r="P92" s="130" t="s">
        <v>711</v>
      </c>
      <c r="Q92" s="130" t="s">
        <v>1069</v>
      </c>
      <c r="R92" s="132" t="s">
        <v>1070</v>
      </c>
      <c r="S92" s="132" t="s">
        <v>1071</v>
      </c>
      <c r="T92" s="132" t="s">
        <v>713</v>
      </c>
      <c r="U92" s="138"/>
      <c r="V92" s="139"/>
      <c r="W92" s="139"/>
      <c r="X92" s="139"/>
      <c r="Y92" s="139"/>
      <c r="Z92" s="139"/>
      <c r="AA92" s="139"/>
      <c r="AB92" s="139"/>
      <c r="AC92" s="139"/>
      <c r="AD92" s="139"/>
      <c r="AE92" s="139"/>
      <c r="AF92" s="139"/>
      <c r="AG92" s="139"/>
      <c r="AH92" s="139"/>
      <c r="AI92" s="139"/>
      <c r="AJ92" s="139"/>
      <c r="AK92" s="139"/>
      <c r="AL92" s="139"/>
      <c r="AM92" s="139"/>
      <c r="AN92" s="139"/>
      <c r="AO92" s="139"/>
      <c r="AP92" s="139"/>
      <c r="AQ92" s="139"/>
      <c r="AR92" s="139"/>
      <c r="AS92" s="139"/>
      <c r="AT92" s="139"/>
      <c r="AU92" s="139"/>
      <c r="AV92" s="139"/>
      <c r="AW92" s="139"/>
      <c r="AX92" s="139"/>
      <c r="AY92" s="139"/>
      <c r="AZ92" s="139"/>
      <c r="BA92" s="139"/>
      <c r="BB92" s="139"/>
      <c r="BC92" s="139"/>
      <c r="BD92" s="139"/>
      <c r="BE92" s="139"/>
      <c r="BF92" s="139"/>
      <c r="BG92" s="139"/>
      <c r="BH92" s="139"/>
      <c r="BI92" s="139"/>
      <c r="BJ92" s="139"/>
      <c r="BK92" s="139"/>
      <c r="BL92" s="139"/>
      <c r="BM92" s="139"/>
      <c r="BN92" s="139"/>
      <c r="BO92" s="139"/>
      <c r="BP92" s="139"/>
      <c r="BQ92" s="139"/>
      <c r="BR92" s="139"/>
      <c r="BS92" s="139"/>
      <c r="BT92" s="139"/>
      <c r="BU92" s="139"/>
      <c r="BV92" s="139"/>
      <c r="BW92" s="139"/>
      <c r="BX92" s="139"/>
      <c r="BY92" s="139"/>
      <c r="BZ92" s="139"/>
      <c r="CA92" s="139"/>
      <c r="CB92" s="139"/>
      <c r="CC92" s="139"/>
      <c r="CD92" s="139"/>
      <c r="CE92" s="139"/>
      <c r="CF92" s="139"/>
      <c r="CG92" s="139"/>
      <c r="CH92" s="139"/>
      <c r="CI92" s="139"/>
      <c r="CJ92" s="139"/>
      <c r="CK92" s="139"/>
      <c r="CL92" s="139"/>
      <c r="CM92" s="139"/>
      <c r="CN92" s="139"/>
      <c r="CO92" s="139"/>
      <c r="CP92" s="139"/>
      <c r="CQ92" s="139"/>
      <c r="CR92" s="139"/>
      <c r="CS92" s="139"/>
      <c r="CT92" s="139"/>
      <c r="CU92" s="139"/>
      <c r="CV92" s="139"/>
      <c r="CW92" s="139"/>
      <c r="CX92" s="139"/>
      <c r="CY92" s="139"/>
      <c r="CZ92" s="139"/>
      <c r="DA92" s="139"/>
      <c r="DB92" s="139"/>
      <c r="DC92" s="139"/>
      <c r="DD92" s="139"/>
      <c r="DE92" s="139"/>
      <c r="DF92" s="139"/>
      <c r="DG92" s="139"/>
      <c r="DH92" s="139"/>
      <c r="DI92" s="139"/>
      <c r="DJ92" s="139"/>
      <c r="DK92" s="139"/>
      <c r="DL92" s="139"/>
      <c r="DM92" s="139"/>
      <c r="DN92" s="139"/>
      <c r="DO92" s="139"/>
      <c r="DP92" s="139"/>
      <c r="DQ92" s="139"/>
      <c r="DR92" s="139"/>
      <c r="DS92" s="139"/>
      <c r="DT92" s="139"/>
      <c r="DU92" s="139"/>
      <c r="DV92" s="139"/>
      <c r="DW92" s="139"/>
      <c r="DX92" s="139"/>
      <c r="DY92" s="139"/>
      <c r="DZ92" s="139"/>
      <c r="EA92" s="139"/>
      <c r="EB92" s="139"/>
      <c r="EC92" s="139"/>
      <c r="ED92" s="139"/>
      <c r="EE92" s="139"/>
      <c r="EF92" s="139"/>
      <c r="EG92" s="139"/>
      <c r="EH92" s="139"/>
      <c r="EI92" s="139"/>
      <c r="EJ92" s="139"/>
      <c r="EK92" s="139"/>
      <c r="EL92" s="139"/>
      <c r="EM92" s="139"/>
      <c r="EN92" s="139"/>
      <c r="EO92" s="139"/>
      <c r="EP92" s="139"/>
      <c r="EQ92" s="139"/>
      <c r="ER92" s="139"/>
      <c r="ES92" s="139"/>
      <c r="ET92" s="139"/>
      <c r="EU92" s="139"/>
      <c r="EV92" s="139"/>
      <c r="EW92" s="139"/>
      <c r="EX92" s="139"/>
      <c r="EY92" s="139"/>
      <c r="EZ92" s="139"/>
      <c r="FA92" s="139"/>
      <c r="FB92" s="139"/>
      <c r="FC92" s="139"/>
      <c r="FD92" s="139"/>
      <c r="FE92" s="139"/>
      <c r="FF92" s="139"/>
      <c r="FG92" s="139"/>
      <c r="FH92" s="139"/>
      <c r="FI92" s="139"/>
      <c r="FJ92" s="139"/>
      <c r="FK92" s="139"/>
      <c r="FL92" s="139"/>
      <c r="FM92" s="139"/>
      <c r="FN92" s="139"/>
      <c r="FO92" s="139"/>
      <c r="FP92" s="139"/>
      <c r="FQ92" s="139"/>
      <c r="FR92" s="139"/>
      <c r="FS92" s="139"/>
      <c r="FT92" s="139"/>
      <c r="FU92" s="139"/>
      <c r="FV92" s="139"/>
      <c r="FW92" s="139"/>
      <c r="FX92" s="139"/>
      <c r="FY92" s="139"/>
      <c r="FZ92" s="139"/>
      <c r="GA92" s="139"/>
      <c r="GB92" s="139"/>
      <c r="GC92" s="139"/>
      <c r="GD92" s="139"/>
      <c r="GE92" s="139"/>
      <c r="GF92" s="139"/>
      <c r="GG92" s="139"/>
      <c r="GH92" s="139"/>
      <c r="GI92" s="139"/>
      <c r="GJ92" s="139"/>
      <c r="GK92" s="139"/>
      <c r="GL92" s="139"/>
      <c r="GM92" s="139"/>
      <c r="GN92" s="139"/>
      <c r="GO92" s="139"/>
      <c r="GP92" s="139"/>
      <c r="GQ92" s="139"/>
      <c r="GR92" s="139"/>
      <c r="GS92" s="139"/>
      <c r="GT92" s="139"/>
      <c r="GU92" s="139"/>
      <c r="GV92" s="139"/>
      <c r="GW92" s="139"/>
      <c r="GX92" s="139"/>
      <c r="GY92" s="139"/>
      <c r="GZ92" s="139"/>
      <c r="HA92" s="139"/>
      <c r="HB92" s="139"/>
      <c r="HC92" s="139"/>
      <c r="HD92" s="139"/>
      <c r="HE92" s="139"/>
      <c r="HF92" s="139"/>
      <c r="HG92" s="139"/>
      <c r="HH92" s="139"/>
      <c r="HI92" s="139"/>
      <c r="HJ92" s="139"/>
      <c r="HK92" s="139"/>
      <c r="HL92" s="139"/>
      <c r="HM92" s="139"/>
      <c r="HN92" s="139"/>
      <c r="HO92" s="139"/>
      <c r="HP92" s="139"/>
      <c r="HQ92" s="139"/>
      <c r="HR92" s="139"/>
      <c r="HS92" s="139"/>
      <c r="HT92" s="139"/>
      <c r="HU92" s="139"/>
      <c r="HV92" s="139"/>
      <c r="HW92" s="139"/>
      <c r="HX92" s="139"/>
      <c r="HY92" s="139"/>
      <c r="HZ92" s="139"/>
      <c r="IA92" s="139"/>
      <c r="IB92" s="139"/>
      <c r="IC92" s="139"/>
      <c r="ID92" s="139"/>
      <c r="IE92" s="139"/>
      <c r="IF92" s="139"/>
      <c r="IG92" s="139"/>
      <c r="IH92" s="139"/>
      <c r="II92" s="139"/>
      <c r="IJ92" s="139"/>
      <c r="IK92" s="139"/>
      <c r="IL92" s="139"/>
      <c r="IM92" s="139"/>
      <c r="IN92" s="139"/>
      <c r="IO92" s="139"/>
      <c r="IP92" s="139"/>
      <c r="IQ92" s="139"/>
      <c r="IR92" s="139"/>
      <c r="IS92" s="139"/>
      <c r="IT92" s="139"/>
      <c r="IU92" s="139"/>
      <c r="IV92" s="139"/>
    </row>
    <row r="93" spans="1:256" x14ac:dyDescent="0.25">
      <c r="A93" s="118" t="str">
        <f t="shared" si="1"/>
        <v>1ALM GRATE</v>
      </c>
      <c r="B93" s="136"/>
      <c r="C93" s="170"/>
      <c r="D93" s="122" t="s">
        <v>1063</v>
      </c>
      <c r="E93" s="122" t="s">
        <v>1064</v>
      </c>
      <c r="F93" s="123" t="s">
        <v>1065</v>
      </c>
      <c r="G93" s="123" t="s">
        <v>1065</v>
      </c>
      <c r="H93" s="124">
        <v>1.00003</v>
      </c>
      <c r="I93" s="123" t="s">
        <v>716</v>
      </c>
      <c r="J93" s="123" t="s">
        <v>705</v>
      </c>
      <c r="K93" s="123" t="s">
        <v>1072</v>
      </c>
      <c r="L93" s="122" t="s">
        <v>1073</v>
      </c>
      <c r="M93" s="123" t="s">
        <v>136</v>
      </c>
      <c r="N93" s="132" t="s">
        <v>716</v>
      </c>
      <c r="O93" s="130" t="s">
        <v>1068</v>
      </c>
      <c r="P93" s="130" t="s">
        <v>711</v>
      </c>
      <c r="Q93" s="123" t="s">
        <v>1074</v>
      </c>
      <c r="R93" s="118" t="s">
        <v>1075</v>
      </c>
      <c r="S93" s="123" t="s">
        <v>1076</v>
      </c>
      <c r="T93" s="123" t="s">
        <v>713</v>
      </c>
      <c r="U93" s="138"/>
      <c r="V93" s="139"/>
      <c r="W93" s="139"/>
      <c r="X93" s="139"/>
      <c r="Y93" s="139"/>
      <c r="Z93" s="139"/>
      <c r="AA93" s="139"/>
      <c r="AB93" s="139"/>
      <c r="AC93" s="139"/>
      <c r="AD93" s="139"/>
      <c r="AE93" s="139"/>
      <c r="AF93" s="139"/>
      <c r="AG93" s="139"/>
      <c r="AH93" s="139"/>
      <c r="AI93" s="139"/>
      <c r="AJ93" s="139"/>
      <c r="AK93" s="139"/>
      <c r="AL93" s="139"/>
      <c r="AM93" s="139"/>
      <c r="AN93" s="139"/>
      <c r="AO93" s="139"/>
      <c r="AP93" s="139"/>
      <c r="AQ93" s="139"/>
      <c r="AR93" s="139"/>
      <c r="AS93" s="139"/>
      <c r="AT93" s="139"/>
      <c r="AU93" s="139"/>
      <c r="AV93" s="139"/>
      <c r="AW93" s="139"/>
      <c r="AX93" s="139"/>
      <c r="AY93" s="139"/>
      <c r="AZ93" s="139"/>
      <c r="BA93" s="139"/>
      <c r="BB93" s="139"/>
      <c r="BC93" s="139"/>
      <c r="BD93" s="139"/>
      <c r="BE93" s="139"/>
      <c r="BF93" s="139"/>
      <c r="BG93" s="139"/>
      <c r="BH93" s="139"/>
      <c r="BI93" s="139"/>
      <c r="BJ93" s="139"/>
      <c r="BK93" s="139"/>
      <c r="BL93" s="139"/>
      <c r="BM93" s="139"/>
      <c r="BN93" s="139"/>
      <c r="BO93" s="139"/>
      <c r="BP93" s="139"/>
      <c r="BQ93" s="139"/>
      <c r="BR93" s="139"/>
      <c r="BS93" s="139"/>
      <c r="BT93" s="139"/>
      <c r="BU93" s="139"/>
      <c r="BV93" s="139"/>
      <c r="BW93" s="139"/>
      <c r="BX93" s="139"/>
      <c r="BY93" s="139"/>
      <c r="BZ93" s="139"/>
      <c r="CA93" s="139"/>
      <c r="CB93" s="139"/>
      <c r="CC93" s="139"/>
      <c r="CD93" s="139"/>
      <c r="CE93" s="139"/>
      <c r="CF93" s="139"/>
      <c r="CG93" s="139"/>
      <c r="CH93" s="139"/>
      <c r="CI93" s="139"/>
      <c r="CJ93" s="139"/>
      <c r="CK93" s="139"/>
      <c r="CL93" s="139"/>
      <c r="CM93" s="139"/>
      <c r="CN93" s="139"/>
      <c r="CO93" s="139"/>
      <c r="CP93" s="139"/>
      <c r="CQ93" s="139"/>
      <c r="CR93" s="139"/>
      <c r="CS93" s="139"/>
      <c r="CT93" s="139"/>
      <c r="CU93" s="139"/>
      <c r="CV93" s="139"/>
      <c r="CW93" s="139"/>
      <c r="CX93" s="139"/>
      <c r="CY93" s="139"/>
      <c r="CZ93" s="139"/>
      <c r="DA93" s="139"/>
      <c r="DB93" s="139"/>
      <c r="DC93" s="139"/>
      <c r="DD93" s="139"/>
      <c r="DE93" s="139"/>
      <c r="DF93" s="139"/>
      <c r="DG93" s="139"/>
      <c r="DH93" s="139"/>
      <c r="DI93" s="139"/>
      <c r="DJ93" s="139"/>
      <c r="DK93" s="139"/>
      <c r="DL93" s="139"/>
      <c r="DM93" s="139"/>
      <c r="DN93" s="139"/>
      <c r="DO93" s="139"/>
      <c r="DP93" s="139"/>
      <c r="DQ93" s="139"/>
      <c r="DR93" s="139"/>
      <c r="DS93" s="139"/>
      <c r="DT93" s="139"/>
      <c r="DU93" s="139"/>
      <c r="DV93" s="139"/>
      <c r="DW93" s="139"/>
      <c r="DX93" s="139"/>
      <c r="DY93" s="139"/>
      <c r="DZ93" s="139"/>
      <c r="EA93" s="139"/>
      <c r="EB93" s="139"/>
      <c r="EC93" s="139"/>
      <c r="ED93" s="139"/>
      <c r="EE93" s="139"/>
      <c r="EF93" s="139"/>
      <c r="EG93" s="139"/>
      <c r="EH93" s="139"/>
      <c r="EI93" s="139"/>
      <c r="EJ93" s="139"/>
      <c r="EK93" s="139"/>
      <c r="EL93" s="139"/>
      <c r="EM93" s="139"/>
      <c r="EN93" s="139"/>
      <c r="EO93" s="139"/>
      <c r="EP93" s="139"/>
      <c r="EQ93" s="139"/>
      <c r="ER93" s="139"/>
      <c r="ES93" s="139"/>
      <c r="ET93" s="139"/>
      <c r="EU93" s="139"/>
      <c r="EV93" s="139"/>
      <c r="EW93" s="139"/>
      <c r="EX93" s="139"/>
      <c r="EY93" s="139"/>
      <c r="EZ93" s="139"/>
      <c r="FA93" s="139"/>
      <c r="FB93" s="139"/>
      <c r="FC93" s="139"/>
      <c r="FD93" s="139"/>
      <c r="FE93" s="139"/>
      <c r="FF93" s="139"/>
      <c r="FG93" s="139"/>
      <c r="FH93" s="139"/>
      <c r="FI93" s="139"/>
      <c r="FJ93" s="139"/>
      <c r="FK93" s="139"/>
      <c r="FL93" s="139"/>
      <c r="FM93" s="139"/>
      <c r="FN93" s="139"/>
      <c r="FO93" s="139"/>
      <c r="FP93" s="139"/>
      <c r="FQ93" s="139"/>
      <c r="FR93" s="139"/>
      <c r="FS93" s="139"/>
      <c r="FT93" s="139"/>
      <c r="FU93" s="139"/>
      <c r="FV93" s="139"/>
      <c r="FW93" s="139"/>
      <c r="FX93" s="139"/>
      <c r="FY93" s="139"/>
      <c r="FZ93" s="139"/>
      <c r="GA93" s="139"/>
      <c r="GB93" s="139"/>
      <c r="GC93" s="139"/>
      <c r="GD93" s="139"/>
      <c r="GE93" s="139"/>
      <c r="GF93" s="139"/>
      <c r="GG93" s="139"/>
      <c r="GH93" s="139"/>
      <c r="GI93" s="139"/>
      <c r="GJ93" s="139"/>
      <c r="GK93" s="139"/>
      <c r="GL93" s="139"/>
      <c r="GM93" s="139"/>
      <c r="GN93" s="139"/>
      <c r="GO93" s="139"/>
      <c r="GP93" s="139"/>
      <c r="GQ93" s="139"/>
      <c r="GR93" s="139"/>
      <c r="GS93" s="139"/>
      <c r="GT93" s="139"/>
      <c r="GU93" s="139"/>
      <c r="GV93" s="139"/>
      <c r="GW93" s="139"/>
      <c r="GX93" s="139"/>
      <c r="GY93" s="139"/>
      <c r="GZ93" s="139"/>
      <c r="HA93" s="139"/>
      <c r="HB93" s="139"/>
      <c r="HC93" s="139"/>
      <c r="HD93" s="139"/>
      <c r="HE93" s="139"/>
      <c r="HF93" s="139"/>
      <c r="HG93" s="139"/>
      <c r="HH93" s="139"/>
      <c r="HI93" s="139"/>
      <c r="HJ93" s="139"/>
      <c r="HK93" s="139"/>
      <c r="HL93" s="139"/>
      <c r="HM93" s="139"/>
      <c r="HN93" s="139"/>
      <c r="HO93" s="139"/>
      <c r="HP93" s="139"/>
      <c r="HQ93" s="139"/>
      <c r="HR93" s="139"/>
      <c r="HS93" s="139"/>
      <c r="HT93" s="139"/>
      <c r="HU93" s="139"/>
      <c r="HV93" s="139"/>
      <c r="HW93" s="139"/>
      <c r="HX93" s="139"/>
      <c r="HY93" s="139"/>
      <c r="HZ93" s="139"/>
      <c r="IA93" s="139"/>
      <c r="IB93" s="139"/>
      <c r="IC93" s="139"/>
      <c r="ID93" s="139"/>
      <c r="IE93" s="139"/>
      <c r="IF93" s="139"/>
      <c r="IG93" s="139"/>
      <c r="IH93" s="139"/>
      <c r="II93" s="139"/>
      <c r="IJ93" s="139"/>
      <c r="IK93" s="139"/>
      <c r="IL93" s="139"/>
      <c r="IM93" s="139"/>
      <c r="IN93" s="139"/>
      <c r="IO93" s="139"/>
      <c r="IP93" s="139"/>
      <c r="IQ93" s="139"/>
      <c r="IR93" s="139"/>
      <c r="IS93" s="139"/>
      <c r="IT93" s="139"/>
      <c r="IU93" s="139"/>
      <c r="IV93" s="139"/>
    </row>
    <row r="94" spans="1:256" x14ac:dyDescent="0.25">
      <c r="A94" s="118" t="str">
        <f t="shared" si="1"/>
        <v>1GALV GRATE</v>
      </c>
      <c r="B94" s="136"/>
      <c r="C94" s="170"/>
      <c r="D94" s="122" t="s">
        <v>1063</v>
      </c>
      <c r="E94" s="122" t="s">
        <v>1064</v>
      </c>
      <c r="F94" s="123" t="s">
        <v>1065</v>
      </c>
      <c r="G94" s="123" t="s">
        <v>1065</v>
      </c>
      <c r="H94" s="124">
        <v>1.0000100000000001</v>
      </c>
      <c r="I94" s="123" t="s">
        <v>716</v>
      </c>
      <c r="J94" s="123" t="s">
        <v>705</v>
      </c>
      <c r="K94" s="123" t="s">
        <v>1077</v>
      </c>
      <c r="L94" s="122" t="s">
        <v>1078</v>
      </c>
      <c r="M94" s="123" t="s">
        <v>708</v>
      </c>
      <c r="N94" s="118" t="s">
        <v>1079</v>
      </c>
      <c r="O94" s="123" t="s">
        <v>1068</v>
      </c>
      <c r="P94" s="123" t="s">
        <v>711</v>
      </c>
      <c r="Q94" s="123" t="s">
        <v>1080</v>
      </c>
      <c r="R94" s="118" t="s">
        <v>1081</v>
      </c>
      <c r="S94" s="123" t="s">
        <v>1082</v>
      </c>
      <c r="T94" s="123" t="s">
        <v>713</v>
      </c>
      <c r="U94" s="138"/>
      <c r="V94" s="139"/>
      <c r="W94" s="139"/>
      <c r="X94" s="139"/>
      <c r="Y94" s="139"/>
      <c r="Z94" s="139"/>
      <c r="AA94" s="139"/>
      <c r="AB94" s="139"/>
      <c r="AC94" s="139"/>
      <c r="AD94" s="139"/>
      <c r="AE94" s="139"/>
      <c r="AF94" s="139"/>
      <c r="AG94" s="139"/>
      <c r="AH94" s="139"/>
      <c r="AI94" s="139"/>
      <c r="AJ94" s="139"/>
      <c r="AK94" s="139"/>
      <c r="AL94" s="139"/>
      <c r="AM94" s="139"/>
      <c r="AN94" s="139"/>
      <c r="AO94" s="139"/>
      <c r="AP94" s="139"/>
      <c r="AQ94" s="139"/>
      <c r="AR94" s="139"/>
      <c r="AS94" s="139"/>
      <c r="AT94" s="139"/>
      <c r="AU94" s="139"/>
      <c r="AV94" s="139"/>
      <c r="AW94" s="139"/>
      <c r="AX94" s="139"/>
      <c r="AY94" s="139"/>
      <c r="AZ94" s="139"/>
      <c r="BA94" s="139"/>
      <c r="BB94" s="139"/>
      <c r="BC94" s="139"/>
      <c r="BD94" s="139"/>
      <c r="BE94" s="139"/>
      <c r="BF94" s="139"/>
      <c r="BG94" s="139"/>
      <c r="BH94" s="139"/>
      <c r="BI94" s="139"/>
      <c r="BJ94" s="139"/>
      <c r="BK94" s="139"/>
      <c r="BL94" s="139"/>
      <c r="BM94" s="139"/>
      <c r="BN94" s="139"/>
      <c r="BO94" s="139"/>
      <c r="BP94" s="139"/>
      <c r="BQ94" s="139"/>
      <c r="BR94" s="139"/>
      <c r="BS94" s="139"/>
      <c r="BT94" s="139"/>
      <c r="BU94" s="139"/>
      <c r="BV94" s="139"/>
      <c r="BW94" s="139"/>
      <c r="BX94" s="139"/>
      <c r="BY94" s="139"/>
      <c r="BZ94" s="139"/>
      <c r="CA94" s="139"/>
      <c r="CB94" s="139"/>
      <c r="CC94" s="139"/>
      <c r="CD94" s="139"/>
      <c r="CE94" s="139"/>
      <c r="CF94" s="139"/>
      <c r="CG94" s="139"/>
      <c r="CH94" s="139"/>
      <c r="CI94" s="139"/>
      <c r="CJ94" s="139"/>
      <c r="CK94" s="139"/>
      <c r="CL94" s="139"/>
      <c r="CM94" s="139"/>
      <c r="CN94" s="139"/>
      <c r="CO94" s="139"/>
      <c r="CP94" s="139"/>
      <c r="CQ94" s="139"/>
      <c r="CR94" s="139"/>
      <c r="CS94" s="139"/>
      <c r="CT94" s="139"/>
      <c r="CU94" s="139"/>
      <c r="CV94" s="139"/>
      <c r="CW94" s="139"/>
      <c r="CX94" s="139"/>
      <c r="CY94" s="139"/>
      <c r="CZ94" s="139"/>
      <c r="DA94" s="139"/>
      <c r="DB94" s="139"/>
      <c r="DC94" s="139"/>
      <c r="DD94" s="139"/>
      <c r="DE94" s="139"/>
      <c r="DF94" s="139"/>
      <c r="DG94" s="139"/>
      <c r="DH94" s="139"/>
      <c r="DI94" s="139"/>
      <c r="DJ94" s="139"/>
      <c r="DK94" s="139"/>
      <c r="DL94" s="139"/>
      <c r="DM94" s="139"/>
      <c r="DN94" s="139"/>
      <c r="DO94" s="139"/>
      <c r="DP94" s="139"/>
      <c r="DQ94" s="139"/>
      <c r="DR94" s="139"/>
      <c r="DS94" s="139"/>
      <c r="DT94" s="139"/>
      <c r="DU94" s="139"/>
      <c r="DV94" s="139"/>
      <c r="DW94" s="139"/>
      <c r="DX94" s="139"/>
      <c r="DY94" s="139"/>
      <c r="DZ94" s="139"/>
      <c r="EA94" s="139"/>
      <c r="EB94" s="139"/>
      <c r="EC94" s="139"/>
      <c r="ED94" s="139"/>
      <c r="EE94" s="139"/>
      <c r="EF94" s="139"/>
      <c r="EG94" s="139"/>
      <c r="EH94" s="139"/>
      <c r="EI94" s="139"/>
      <c r="EJ94" s="139"/>
      <c r="EK94" s="139"/>
      <c r="EL94" s="139"/>
      <c r="EM94" s="139"/>
      <c r="EN94" s="139"/>
      <c r="EO94" s="139"/>
      <c r="EP94" s="139"/>
      <c r="EQ94" s="139"/>
      <c r="ER94" s="139"/>
      <c r="ES94" s="139"/>
      <c r="ET94" s="139"/>
      <c r="EU94" s="139"/>
      <c r="EV94" s="139"/>
      <c r="EW94" s="139"/>
      <c r="EX94" s="139"/>
      <c r="EY94" s="139"/>
      <c r="EZ94" s="139"/>
      <c r="FA94" s="139"/>
      <c r="FB94" s="139"/>
      <c r="FC94" s="139"/>
      <c r="FD94" s="139"/>
      <c r="FE94" s="139"/>
      <c r="FF94" s="139"/>
      <c r="FG94" s="139"/>
      <c r="FH94" s="139"/>
      <c r="FI94" s="139"/>
      <c r="FJ94" s="139"/>
      <c r="FK94" s="139"/>
      <c r="FL94" s="139"/>
      <c r="FM94" s="139"/>
      <c r="FN94" s="139"/>
      <c r="FO94" s="139"/>
      <c r="FP94" s="139"/>
      <c r="FQ94" s="139"/>
      <c r="FR94" s="139"/>
      <c r="FS94" s="139"/>
      <c r="FT94" s="139"/>
      <c r="FU94" s="139"/>
      <c r="FV94" s="139"/>
      <c r="FW94" s="139"/>
      <c r="FX94" s="139"/>
      <c r="FY94" s="139"/>
      <c r="FZ94" s="139"/>
      <c r="GA94" s="139"/>
      <c r="GB94" s="139"/>
      <c r="GC94" s="139"/>
      <c r="GD94" s="139"/>
      <c r="GE94" s="139"/>
      <c r="GF94" s="139"/>
      <c r="GG94" s="139"/>
      <c r="GH94" s="139"/>
      <c r="GI94" s="139"/>
      <c r="GJ94" s="139"/>
      <c r="GK94" s="139"/>
      <c r="GL94" s="139"/>
      <c r="GM94" s="139"/>
      <c r="GN94" s="139"/>
      <c r="GO94" s="139"/>
      <c r="GP94" s="139"/>
      <c r="GQ94" s="139"/>
      <c r="GR94" s="139"/>
      <c r="GS94" s="139"/>
      <c r="GT94" s="139"/>
      <c r="GU94" s="139"/>
      <c r="GV94" s="139"/>
      <c r="GW94" s="139"/>
      <c r="GX94" s="139"/>
      <c r="GY94" s="139"/>
      <c r="GZ94" s="139"/>
      <c r="HA94" s="139"/>
      <c r="HB94" s="139"/>
      <c r="HC94" s="139"/>
      <c r="HD94" s="139"/>
      <c r="HE94" s="139"/>
      <c r="HF94" s="139"/>
      <c r="HG94" s="139"/>
      <c r="HH94" s="139"/>
      <c r="HI94" s="139"/>
      <c r="HJ94" s="139"/>
      <c r="HK94" s="139"/>
      <c r="HL94" s="139"/>
      <c r="HM94" s="139"/>
      <c r="HN94" s="139"/>
      <c r="HO94" s="139"/>
      <c r="HP94" s="139"/>
      <c r="HQ94" s="139"/>
      <c r="HR94" s="139"/>
      <c r="HS94" s="139"/>
      <c r="HT94" s="139"/>
      <c r="HU94" s="139"/>
      <c r="HV94" s="139"/>
      <c r="HW94" s="139"/>
      <c r="HX94" s="139"/>
      <c r="HY94" s="139"/>
      <c r="HZ94" s="139"/>
      <c r="IA94" s="139"/>
      <c r="IB94" s="139"/>
      <c r="IC94" s="139"/>
      <c r="ID94" s="139"/>
      <c r="IE94" s="139"/>
      <c r="IF94" s="139"/>
      <c r="IG94" s="139"/>
      <c r="IH94" s="139"/>
      <c r="II94" s="139"/>
      <c r="IJ94" s="139"/>
      <c r="IK94" s="139"/>
      <c r="IL94" s="139"/>
      <c r="IM94" s="139"/>
      <c r="IN94" s="139"/>
      <c r="IO94" s="139"/>
      <c r="IP94" s="139"/>
      <c r="IQ94" s="139"/>
      <c r="IR94" s="139"/>
      <c r="IS94" s="139"/>
      <c r="IT94" s="139"/>
      <c r="IU94" s="139"/>
      <c r="IV94" s="139"/>
    </row>
    <row r="95" spans="1:256" ht="13.8" thickBot="1" x14ac:dyDescent="0.3">
      <c r="A95" s="141" t="str">
        <f t="shared" si="1"/>
        <v>19GALV CLOTH</v>
      </c>
      <c r="B95" s="136"/>
      <c r="C95" s="170"/>
      <c r="D95" s="143" t="s">
        <v>1083</v>
      </c>
      <c r="E95" s="143" t="s">
        <v>1084</v>
      </c>
      <c r="F95" s="144" t="s">
        <v>1085</v>
      </c>
      <c r="G95" s="144" t="s">
        <v>1085</v>
      </c>
      <c r="H95" s="145">
        <v>4.0030000000000003E-2</v>
      </c>
      <c r="I95" s="144" t="s">
        <v>716</v>
      </c>
      <c r="J95" s="144" t="s">
        <v>705</v>
      </c>
      <c r="K95" s="144" t="s">
        <v>1086</v>
      </c>
      <c r="L95" s="143" t="s">
        <v>1087</v>
      </c>
      <c r="M95" s="144" t="s">
        <v>708</v>
      </c>
      <c r="N95" s="141" t="s">
        <v>1088</v>
      </c>
      <c r="O95" s="144" t="s">
        <v>1020</v>
      </c>
      <c r="P95" s="144" t="s">
        <v>711</v>
      </c>
      <c r="Q95" s="144" t="s">
        <v>1089</v>
      </c>
      <c r="R95" s="141" t="s">
        <v>1090</v>
      </c>
      <c r="S95" s="144" t="s">
        <v>713</v>
      </c>
      <c r="T95" s="144" t="s">
        <v>713</v>
      </c>
      <c r="U95" s="138"/>
      <c r="V95" s="139"/>
      <c r="W95" s="139"/>
      <c r="X95" s="139"/>
      <c r="Y95" s="139"/>
      <c r="Z95" s="139"/>
      <c r="AA95" s="139"/>
      <c r="AB95" s="139"/>
      <c r="AC95" s="139"/>
      <c r="AD95" s="139"/>
      <c r="AE95" s="139"/>
      <c r="AF95" s="139"/>
      <c r="AG95" s="139"/>
      <c r="AH95" s="139"/>
      <c r="AI95" s="139"/>
      <c r="AJ95" s="139"/>
      <c r="AK95" s="139"/>
      <c r="AL95" s="139"/>
      <c r="AM95" s="139"/>
      <c r="AN95" s="139"/>
      <c r="AO95" s="139"/>
      <c r="AP95" s="139"/>
      <c r="AQ95" s="139"/>
      <c r="AR95" s="139"/>
      <c r="AS95" s="139"/>
      <c r="AT95" s="139"/>
      <c r="AU95" s="139"/>
      <c r="AV95" s="139"/>
      <c r="AW95" s="139"/>
      <c r="AX95" s="139"/>
      <c r="AY95" s="139"/>
      <c r="AZ95" s="139"/>
      <c r="BA95" s="139"/>
      <c r="BB95" s="139"/>
      <c r="BC95" s="139"/>
      <c r="BD95" s="139"/>
      <c r="BE95" s="139"/>
      <c r="BF95" s="139"/>
      <c r="BG95" s="139"/>
      <c r="BH95" s="139"/>
      <c r="BI95" s="139"/>
      <c r="BJ95" s="139"/>
      <c r="BK95" s="139"/>
      <c r="BL95" s="139"/>
      <c r="BM95" s="139"/>
      <c r="BN95" s="139"/>
      <c r="BO95" s="139"/>
      <c r="BP95" s="139"/>
      <c r="BQ95" s="139"/>
      <c r="BR95" s="139"/>
      <c r="BS95" s="139"/>
      <c r="BT95" s="139"/>
      <c r="BU95" s="139"/>
      <c r="BV95" s="139"/>
      <c r="BW95" s="139"/>
      <c r="BX95" s="139"/>
      <c r="BY95" s="139"/>
      <c r="BZ95" s="139"/>
      <c r="CA95" s="139"/>
      <c r="CB95" s="139"/>
      <c r="CC95" s="139"/>
      <c r="CD95" s="139"/>
      <c r="CE95" s="139"/>
      <c r="CF95" s="139"/>
      <c r="CG95" s="139"/>
      <c r="CH95" s="139"/>
      <c r="CI95" s="139"/>
      <c r="CJ95" s="139"/>
      <c r="CK95" s="139"/>
      <c r="CL95" s="139"/>
      <c r="CM95" s="139"/>
      <c r="CN95" s="139"/>
      <c r="CO95" s="139"/>
      <c r="CP95" s="139"/>
      <c r="CQ95" s="139"/>
      <c r="CR95" s="139"/>
      <c r="CS95" s="139"/>
      <c r="CT95" s="139"/>
      <c r="CU95" s="139"/>
      <c r="CV95" s="139"/>
      <c r="CW95" s="139"/>
      <c r="CX95" s="139"/>
      <c r="CY95" s="139"/>
      <c r="CZ95" s="139"/>
      <c r="DA95" s="139"/>
      <c r="DB95" s="139"/>
      <c r="DC95" s="139"/>
      <c r="DD95" s="139"/>
      <c r="DE95" s="139"/>
      <c r="DF95" s="139"/>
      <c r="DG95" s="139"/>
      <c r="DH95" s="139"/>
      <c r="DI95" s="139"/>
      <c r="DJ95" s="139"/>
      <c r="DK95" s="139"/>
      <c r="DL95" s="139"/>
      <c r="DM95" s="139"/>
      <c r="DN95" s="139"/>
      <c r="DO95" s="139"/>
      <c r="DP95" s="139"/>
      <c r="DQ95" s="139"/>
      <c r="DR95" s="139"/>
      <c r="DS95" s="139"/>
      <c r="DT95" s="139"/>
      <c r="DU95" s="139"/>
      <c r="DV95" s="139"/>
      <c r="DW95" s="139"/>
      <c r="DX95" s="139"/>
      <c r="DY95" s="139"/>
      <c r="DZ95" s="139"/>
      <c r="EA95" s="139"/>
      <c r="EB95" s="139"/>
      <c r="EC95" s="139"/>
      <c r="ED95" s="139"/>
      <c r="EE95" s="139"/>
      <c r="EF95" s="139"/>
      <c r="EG95" s="139"/>
      <c r="EH95" s="139"/>
      <c r="EI95" s="139"/>
      <c r="EJ95" s="139"/>
      <c r="EK95" s="139"/>
      <c r="EL95" s="139"/>
      <c r="EM95" s="139"/>
      <c r="EN95" s="139"/>
      <c r="EO95" s="139"/>
      <c r="EP95" s="139"/>
      <c r="EQ95" s="139"/>
      <c r="ER95" s="139"/>
      <c r="ES95" s="139"/>
      <c r="ET95" s="139"/>
      <c r="EU95" s="139"/>
      <c r="EV95" s="139"/>
      <c r="EW95" s="139"/>
      <c r="EX95" s="139"/>
      <c r="EY95" s="139"/>
      <c r="EZ95" s="139"/>
      <c r="FA95" s="139"/>
      <c r="FB95" s="139"/>
      <c r="FC95" s="139"/>
      <c r="FD95" s="139"/>
      <c r="FE95" s="139"/>
      <c r="FF95" s="139"/>
      <c r="FG95" s="139"/>
      <c r="FH95" s="139"/>
      <c r="FI95" s="139"/>
      <c r="FJ95" s="139"/>
      <c r="FK95" s="139"/>
      <c r="FL95" s="139"/>
      <c r="FM95" s="139"/>
      <c r="FN95" s="139"/>
      <c r="FO95" s="139"/>
      <c r="FP95" s="139"/>
      <c r="FQ95" s="139"/>
      <c r="FR95" s="139"/>
      <c r="FS95" s="139"/>
      <c r="FT95" s="139"/>
      <c r="FU95" s="139"/>
      <c r="FV95" s="139"/>
      <c r="FW95" s="139"/>
      <c r="FX95" s="139"/>
      <c r="FY95" s="139"/>
      <c r="FZ95" s="139"/>
      <c r="GA95" s="139"/>
      <c r="GB95" s="139"/>
      <c r="GC95" s="139"/>
      <c r="GD95" s="139"/>
      <c r="GE95" s="139"/>
      <c r="GF95" s="139"/>
      <c r="GG95" s="139"/>
      <c r="GH95" s="139"/>
      <c r="GI95" s="139"/>
      <c r="GJ95" s="139"/>
      <c r="GK95" s="139"/>
      <c r="GL95" s="139"/>
      <c r="GM95" s="139"/>
      <c r="GN95" s="139"/>
      <c r="GO95" s="139"/>
      <c r="GP95" s="139"/>
      <c r="GQ95" s="139"/>
      <c r="GR95" s="139"/>
      <c r="GS95" s="139"/>
      <c r="GT95" s="139"/>
      <c r="GU95" s="139"/>
      <c r="GV95" s="139"/>
      <c r="GW95" s="139"/>
      <c r="GX95" s="139"/>
      <c r="GY95" s="139"/>
      <c r="GZ95" s="139"/>
      <c r="HA95" s="139"/>
      <c r="HB95" s="139"/>
      <c r="HC95" s="139"/>
      <c r="HD95" s="139"/>
      <c r="HE95" s="139"/>
      <c r="HF95" s="139"/>
      <c r="HG95" s="139"/>
      <c r="HH95" s="139"/>
      <c r="HI95" s="139"/>
      <c r="HJ95" s="139"/>
      <c r="HK95" s="139"/>
      <c r="HL95" s="139"/>
      <c r="HM95" s="139"/>
      <c r="HN95" s="139"/>
      <c r="HO95" s="139"/>
      <c r="HP95" s="139"/>
      <c r="HQ95" s="139"/>
      <c r="HR95" s="139"/>
      <c r="HS95" s="139"/>
      <c r="HT95" s="139"/>
      <c r="HU95" s="139"/>
      <c r="HV95" s="139"/>
      <c r="HW95" s="139"/>
      <c r="HX95" s="139"/>
      <c r="HY95" s="139"/>
      <c r="HZ95" s="139"/>
      <c r="IA95" s="139"/>
      <c r="IB95" s="139"/>
      <c r="IC95" s="139"/>
      <c r="ID95" s="139"/>
      <c r="IE95" s="139"/>
      <c r="IF95" s="139"/>
      <c r="IG95" s="139"/>
      <c r="IH95" s="139"/>
      <c r="II95" s="139"/>
      <c r="IJ95" s="139"/>
      <c r="IK95" s="139"/>
      <c r="IL95" s="139"/>
      <c r="IM95" s="139"/>
      <c r="IN95" s="139"/>
      <c r="IO95" s="139"/>
      <c r="IP95" s="139"/>
      <c r="IQ95" s="139"/>
      <c r="IR95" s="139"/>
      <c r="IS95" s="139"/>
      <c r="IT95" s="139"/>
      <c r="IU95" s="139"/>
      <c r="IV95" s="139"/>
    </row>
    <row r="96" spans="1:256" ht="18" customHeight="1" thickTop="1" thickBot="1" x14ac:dyDescent="0.3">
      <c r="A96" s="148" t="str">
        <f t="shared" si="1"/>
        <v/>
      </c>
      <c r="B96" s="136"/>
      <c r="C96" s="174"/>
      <c r="D96" s="175"/>
      <c r="E96" s="175"/>
      <c r="F96" s="175"/>
      <c r="G96" s="175"/>
      <c r="H96" s="175"/>
      <c r="I96" s="175"/>
      <c r="J96" s="175"/>
      <c r="K96" s="175"/>
      <c r="L96" s="175"/>
      <c r="M96" s="176"/>
      <c r="N96" s="176"/>
      <c r="O96" s="176"/>
      <c r="P96" s="176"/>
      <c r="Q96" s="176"/>
      <c r="R96" s="176"/>
      <c r="S96" s="176"/>
      <c r="T96" s="177"/>
      <c r="U96" s="138"/>
      <c r="V96" s="139"/>
      <c r="W96" s="139"/>
      <c r="X96" s="139"/>
      <c r="Y96" s="139"/>
      <c r="Z96" s="139"/>
      <c r="AA96" s="139"/>
      <c r="AB96" s="139"/>
      <c r="AC96" s="139"/>
      <c r="AD96" s="139"/>
      <c r="AE96" s="139"/>
      <c r="AF96" s="139"/>
      <c r="AG96" s="139"/>
      <c r="AH96" s="139"/>
      <c r="AI96" s="139"/>
      <c r="AJ96" s="139"/>
      <c r="AK96" s="139"/>
      <c r="AL96" s="139"/>
      <c r="AM96" s="139"/>
      <c r="AN96" s="139"/>
      <c r="AO96" s="139"/>
      <c r="AP96" s="139"/>
      <c r="AQ96" s="139"/>
      <c r="AR96" s="139"/>
      <c r="AS96" s="139"/>
      <c r="AT96" s="139"/>
      <c r="AU96" s="139"/>
      <c r="AV96" s="139"/>
      <c r="AW96" s="139"/>
      <c r="AX96" s="139"/>
      <c r="AY96" s="139"/>
      <c r="AZ96" s="139"/>
      <c r="BA96" s="139"/>
      <c r="BB96" s="139"/>
      <c r="BC96" s="139"/>
      <c r="BD96" s="139"/>
      <c r="BE96" s="139"/>
      <c r="BF96" s="139"/>
      <c r="BG96" s="139"/>
      <c r="BH96" s="139"/>
      <c r="BI96" s="139"/>
      <c r="BJ96" s="139"/>
      <c r="BK96" s="139"/>
      <c r="BL96" s="139"/>
      <c r="BM96" s="139"/>
      <c r="BN96" s="139"/>
      <c r="BO96" s="139"/>
      <c r="BP96" s="139"/>
      <c r="BQ96" s="139"/>
      <c r="BR96" s="139"/>
      <c r="BS96" s="139"/>
      <c r="BT96" s="139"/>
      <c r="BU96" s="139"/>
      <c r="BV96" s="139"/>
      <c r="BW96" s="139"/>
      <c r="BX96" s="139"/>
      <c r="BY96" s="139"/>
      <c r="BZ96" s="139"/>
      <c r="CA96" s="139"/>
      <c r="CB96" s="139"/>
      <c r="CC96" s="139"/>
      <c r="CD96" s="139"/>
      <c r="CE96" s="139"/>
      <c r="CF96" s="139"/>
      <c r="CG96" s="139"/>
      <c r="CH96" s="139"/>
      <c r="CI96" s="139"/>
      <c r="CJ96" s="139"/>
      <c r="CK96" s="139"/>
      <c r="CL96" s="139"/>
      <c r="CM96" s="139"/>
      <c r="CN96" s="139"/>
      <c r="CO96" s="139"/>
      <c r="CP96" s="139"/>
      <c r="CQ96" s="139"/>
      <c r="CR96" s="139"/>
      <c r="CS96" s="139"/>
      <c r="CT96" s="139"/>
      <c r="CU96" s="139"/>
      <c r="CV96" s="139"/>
      <c r="CW96" s="139"/>
      <c r="CX96" s="139"/>
      <c r="CY96" s="139"/>
      <c r="CZ96" s="139"/>
      <c r="DA96" s="139"/>
      <c r="DB96" s="139"/>
      <c r="DC96" s="139"/>
      <c r="DD96" s="139"/>
      <c r="DE96" s="139"/>
      <c r="DF96" s="139"/>
      <c r="DG96" s="139"/>
      <c r="DH96" s="139"/>
      <c r="DI96" s="139"/>
      <c r="DJ96" s="139"/>
      <c r="DK96" s="139"/>
      <c r="DL96" s="139"/>
      <c r="DM96" s="139"/>
      <c r="DN96" s="139"/>
      <c r="DO96" s="139"/>
      <c r="DP96" s="139"/>
      <c r="DQ96" s="139"/>
      <c r="DR96" s="139"/>
      <c r="DS96" s="139"/>
      <c r="DT96" s="139"/>
      <c r="DU96" s="139"/>
      <c r="DV96" s="139"/>
      <c r="DW96" s="139"/>
      <c r="DX96" s="139"/>
      <c r="DY96" s="139"/>
      <c r="DZ96" s="139"/>
      <c r="EA96" s="139"/>
      <c r="EB96" s="139"/>
      <c r="EC96" s="139"/>
      <c r="ED96" s="139"/>
      <c r="EE96" s="139"/>
      <c r="EF96" s="139"/>
      <c r="EG96" s="139"/>
      <c r="EH96" s="139"/>
      <c r="EI96" s="139"/>
      <c r="EJ96" s="139"/>
      <c r="EK96" s="139"/>
      <c r="EL96" s="139"/>
      <c r="EM96" s="139"/>
      <c r="EN96" s="139"/>
      <c r="EO96" s="139"/>
      <c r="EP96" s="139"/>
      <c r="EQ96" s="139"/>
      <c r="ER96" s="139"/>
      <c r="ES96" s="139"/>
      <c r="ET96" s="139"/>
      <c r="EU96" s="139"/>
      <c r="EV96" s="139"/>
      <c r="EW96" s="139"/>
      <c r="EX96" s="139"/>
      <c r="EY96" s="139"/>
      <c r="EZ96" s="139"/>
      <c r="FA96" s="139"/>
      <c r="FB96" s="139"/>
      <c r="FC96" s="139"/>
      <c r="FD96" s="139"/>
      <c r="FE96" s="139"/>
      <c r="FF96" s="139"/>
      <c r="FG96" s="139"/>
      <c r="FH96" s="139"/>
      <c r="FI96" s="139"/>
      <c r="FJ96" s="139"/>
      <c r="FK96" s="139"/>
      <c r="FL96" s="139"/>
      <c r="FM96" s="139"/>
      <c r="FN96" s="139"/>
      <c r="FO96" s="139"/>
      <c r="FP96" s="139"/>
      <c r="FQ96" s="139"/>
      <c r="FR96" s="139"/>
      <c r="FS96" s="139"/>
      <c r="FT96" s="139"/>
      <c r="FU96" s="139"/>
      <c r="FV96" s="139"/>
      <c r="FW96" s="139"/>
      <c r="FX96" s="139"/>
      <c r="FY96" s="139"/>
      <c r="FZ96" s="139"/>
      <c r="GA96" s="139"/>
      <c r="GB96" s="139"/>
      <c r="GC96" s="139"/>
      <c r="GD96" s="139"/>
      <c r="GE96" s="139"/>
      <c r="GF96" s="139"/>
      <c r="GG96" s="139"/>
      <c r="GH96" s="139"/>
      <c r="GI96" s="139"/>
      <c r="GJ96" s="139"/>
      <c r="GK96" s="139"/>
      <c r="GL96" s="139"/>
      <c r="GM96" s="139"/>
      <c r="GN96" s="139"/>
      <c r="GO96" s="139"/>
      <c r="GP96" s="139"/>
      <c r="GQ96" s="139"/>
      <c r="GR96" s="139"/>
      <c r="GS96" s="139"/>
      <c r="GT96" s="139"/>
      <c r="GU96" s="139"/>
      <c r="GV96" s="139"/>
      <c r="GW96" s="139"/>
      <c r="GX96" s="139"/>
      <c r="GY96" s="139"/>
      <c r="GZ96" s="139"/>
      <c r="HA96" s="139"/>
      <c r="HB96" s="139"/>
      <c r="HC96" s="139"/>
      <c r="HD96" s="139"/>
      <c r="HE96" s="139"/>
      <c r="HF96" s="139"/>
      <c r="HG96" s="139"/>
      <c r="HH96" s="139"/>
      <c r="HI96" s="139"/>
      <c r="HJ96" s="139"/>
      <c r="HK96" s="139"/>
      <c r="HL96" s="139"/>
      <c r="HM96" s="139"/>
      <c r="HN96" s="139"/>
      <c r="HO96" s="139"/>
      <c r="HP96" s="139"/>
      <c r="HQ96" s="139"/>
      <c r="HR96" s="139"/>
      <c r="HS96" s="139"/>
      <c r="HT96" s="139"/>
      <c r="HU96" s="139"/>
      <c r="HV96" s="139"/>
      <c r="HW96" s="139"/>
      <c r="HX96" s="139"/>
      <c r="HY96" s="139"/>
      <c r="HZ96" s="139"/>
      <c r="IA96" s="139"/>
      <c r="IB96" s="139"/>
      <c r="IC96" s="139"/>
      <c r="ID96" s="139"/>
      <c r="IE96" s="139"/>
      <c r="IF96" s="139"/>
      <c r="IG96" s="139"/>
      <c r="IH96" s="139"/>
      <c r="II96" s="139"/>
      <c r="IJ96" s="139"/>
      <c r="IK96" s="139"/>
      <c r="IL96" s="139"/>
      <c r="IM96" s="139"/>
      <c r="IN96" s="139"/>
      <c r="IO96" s="139"/>
      <c r="IP96" s="139"/>
      <c r="IQ96" s="139"/>
      <c r="IR96" s="139"/>
      <c r="IS96" s="139"/>
      <c r="IT96" s="139"/>
      <c r="IU96" s="139"/>
      <c r="IV96" s="139"/>
    </row>
    <row r="97" spans="1:256" ht="16.8" thickTop="1" thickBot="1" x14ac:dyDescent="0.3">
      <c r="A97" s="148" t="str">
        <f t="shared" si="1"/>
        <v/>
      </c>
      <c r="B97" s="136"/>
      <c r="C97" s="172" t="s">
        <v>1091</v>
      </c>
      <c r="D97" s="139"/>
      <c r="E97" s="139"/>
      <c r="F97" s="139"/>
      <c r="G97" s="139"/>
      <c r="H97" s="139"/>
      <c r="I97" s="139"/>
      <c r="J97" s="139"/>
      <c r="K97" s="139"/>
      <c r="L97" s="139"/>
      <c r="M97" s="153"/>
      <c r="N97" s="153"/>
      <c r="O97" s="153"/>
      <c r="P97" s="153"/>
      <c r="Q97" s="153"/>
      <c r="R97" s="153"/>
      <c r="S97" s="153"/>
      <c r="T97" s="153"/>
      <c r="U97" s="138"/>
      <c r="V97" s="139"/>
      <c r="W97" s="139"/>
      <c r="X97" s="139"/>
      <c r="Y97" s="139"/>
      <c r="Z97" s="139"/>
      <c r="AA97" s="139"/>
      <c r="AB97" s="139"/>
      <c r="AC97" s="139"/>
      <c r="AD97" s="139"/>
      <c r="AE97" s="139"/>
      <c r="AF97" s="139"/>
      <c r="AG97" s="139"/>
      <c r="AH97" s="139"/>
      <c r="AI97" s="139"/>
      <c r="AJ97" s="139"/>
      <c r="AK97" s="139"/>
      <c r="AL97" s="139"/>
      <c r="AM97" s="139"/>
      <c r="AN97" s="139"/>
      <c r="AO97" s="139"/>
      <c r="AP97" s="139"/>
      <c r="AQ97" s="139"/>
      <c r="AR97" s="139"/>
      <c r="AS97" s="139"/>
      <c r="AT97" s="139"/>
      <c r="AU97" s="139"/>
      <c r="AV97" s="139"/>
      <c r="AW97" s="139"/>
      <c r="AX97" s="139"/>
      <c r="AY97" s="139"/>
      <c r="AZ97" s="139"/>
      <c r="BA97" s="139"/>
      <c r="BB97" s="139"/>
      <c r="BC97" s="139"/>
      <c r="BD97" s="139"/>
      <c r="BE97" s="139"/>
      <c r="BF97" s="139"/>
      <c r="BG97" s="139"/>
      <c r="BH97" s="139"/>
      <c r="BI97" s="139"/>
      <c r="BJ97" s="139"/>
      <c r="BK97" s="139"/>
      <c r="BL97" s="139"/>
      <c r="BM97" s="139"/>
      <c r="BN97" s="139"/>
      <c r="BO97" s="139"/>
      <c r="BP97" s="139"/>
      <c r="BQ97" s="139"/>
      <c r="BR97" s="139"/>
      <c r="BS97" s="139"/>
      <c r="BT97" s="139"/>
      <c r="BU97" s="139"/>
      <c r="BV97" s="139"/>
      <c r="BW97" s="139"/>
      <c r="BX97" s="139"/>
      <c r="BY97" s="139"/>
      <c r="BZ97" s="139"/>
      <c r="CA97" s="139"/>
      <c r="CB97" s="139"/>
      <c r="CC97" s="139"/>
      <c r="CD97" s="139"/>
      <c r="CE97" s="139"/>
      <c r="CF97" s="139"/>
      <c r="CG97" s="139"/>
      <c r="CH97" s="139"/>
      <c r="CI97" s="139"/>
      <c r="CJ97" s="139"/>
      <c r="CK97" s="139"/>
      <c r="CL97" s="139"/>
      <c r="CM97" s="139"/>
      <c r="CN97" s="139"/>
      <c r="CO97" s="139"/>
      <c r="CP97" s="139"/>
      <c r="CQ97" s="139"/>
      <c r="CR97" s="139"/>
      <c r="CS97" s="139"/>
      <c r="CT97" s="139"/>
      <c r="CU97" s="139"/>
      <c r="CV97" s="139"/>
      <c r="CW97" s="139"/>
      <c r="CX97" s="139"/>
      <c r="CY97" s="139"/>
      <c r="CZ97" s="139"/>
      <c r="DA97" s="139"/>
      <c r="DB97" s="139"/>
      <c r="DC97" s="139"/>
      <c r="DD97" s="139"/>
      <c r="DE97" s="139"/>
      <c r="DF97" s="139"/>
      <c r="DG97" s="139"/>
      <c r="DH97" s="139"/>
      <c r="DI97" s="139"/>
      <c r="DJ97" s="139"/>
      <c r="DK97" s="139"/>
      <c r="DL97" s="139"/>
      <c r="DM97" s="139"/>
      <c r="DN97" s="139"/>
      <c r="DO97" s="139"/>
      <c r="DP97" s="139"/>
      <c r="DQ97" s="139"/>
      <c r="DR97" s="139"/>
      <c r="DS97" s="139"/>
      <c r="DT97" s="139"/>
      <c r="DU97" s="139"/>
      <c r="DV97" s="139"/>
      <c r="DW97" s="139"/>
      <c r="DX97" s="139"/>
      <c r="DY97" s="139"/>
      <c r="DZ97" s="139"/>
      <c r="EA97" s="139"/>
      <c r="EB97" s="139"/>
      <c r="EC97" s="139"/>
      <c r="ED97" s="139"/>
      <c r="EE97" s="139"/>
      <c r="EF97" s="139"/>
      <c r="EG97" s="139"/>
      <c r="EH97" s="139"/>
      <c r="EI97" s="139"/>
      <c r="EJ97" s="139"/>
      <c r="EK97" s="139"/>
      <c r="EL97" s="139"/>
      <c r="EM97" s="139"/>
      <c r="EN97" s="139"/>
      <c r="EO97" s="139"/>
      <c r="EP97" s="139"/>
      <c r="EQ97" s="139"/>
      <c r="ER97" s="139"/>
      <c r="ES97" s="139"/>
      <c r="ET97" s="139"/>
      <c r="EU97" s="139"/>
      <c r="EV97" s="139"/>
      <c r="EW97" s="139"/>
      <c r="EX97" s="139"/>
      <c r="EY97" s="139"/>
      <c r="EZ97" s="139"/>
      <c r="FA97" s="139"/>
      <c r="FB97" s="139"/>
      <c r="FC97" s="139"/>
      <c r="FD97" s="139"/>
      <c r="FE97" s="139"/>
      <c r="FF97" s="139"/>
      <c r="FG97" s="139"/>
      <c r="FH97" s="139"/>
      <c r="FI97" s="139"/>
      <c r="FJ97" s="139"/>
      <c r="FK97" s="139"/>
      <c r="FL97" s="139"/>
      <c r="FM97" s="139"/>
      <c r="FN97" s="139"/>
      <c r="FO97" s="139"/>
      <c r="FP97" s="139"/>
      <c r="FQ97" s="139"/>
      <c r="FR97" s="139"/>
      <c r="FS97" s="139"/>
      <c r="FT97" s="139"/>
      <c r="FU97" s="139"/>
      <c r="FV97" s="139"/>
      <c r="FW97" s="139"/>
      <c r="FX97" s="139"/>
      <c r="FY97" s="139"/>
      <c r="FZ97" s="139"/>
      <c r="GA97" s="139"/>
      <c r="GB97" s="139"/>
      <c r="GC97" s="139"/>
      <c r="GD97" s="139"/>
      <c r="GE97" s="139"/>
      <c r="GF97" s="139"/>
      <c r="GG97" s="139"/>
      <c r="GH97" s="139"/>
      <c r="GI97" s="139"/>
      <c r="GJ97" s="139"/>
      <c r="GK97" s="139"/>
      <c r="GL97" s="139"/>
      <c r="GM97" s="139"/>
      <c r="GN97" s="139"/>
      <c r="GO97" s="139"/>
      <c r="GP97" s="139"/>
      <c r="GQ97" s="139"/>
      <c r="GR97" s="139"/>
      <c r="GS97" s="139"/>
      <c r="GT97" s="139"/>
      <c r="GU97" s="139"/>
      <c r="GV97" s="139"/>
      <c r="GW97" s="139"/>
      <c r="GX97" s="139"/>
      <c r="GY97" s="139"/>
      <c r="GZ97" s="139"/>
      <c r="HA97" s="139"/>
      <c r="HB97" s="139"/>
      <c r="HC97" s="139"/>
      <c r="HD97" s="139"/>
      <c r="HE97" s="139"/>
      <c r="HF97" s="139"/>
      <c r="HG97" s="139"/>
      <c r="HH97" s="139"/>
      <c r="HI97" s="139"/>
      <c r="HJ97" s="139"/>
      <c r="HK97" s="139"/>
      <c r="HL97" s="139"/>
      <c r="HM97" s="139"/>
      <c r="HN97" s="139"/>
      <c r="HO97" s="139"/>
      <c r="HP97" s="139"/>
      <c r="HQ97" s="139"/>
      <c r="HR97" s="139"/>
      <c r="HS97" s="139"/>
      <c r="HT97" s="139"/>
      <c r="HU97" s="139"/>
      <c r="HV97" s="139"/>
      <c r="HW97" s="139"/>
      <c r="HX97" s="139"/>
      <c r="HY97" s="139"/>
      <c r="HZ97" s="139"/>
      <c r="IA97" s="139"/>
      <c r="IB97" s="139"/>
      <c r="IC97" s="139"/>
      <c r="ID97" s="139"/>
      <c r="IE97" s="139"/>
      <c r="IF97" s="139"/>
      <c r="IG97" s="139"/>
      <c r="IH97" s="139"/>
      <c r="II97" s="139"/>
      <c r="IJ97" s="139"/>
      <c r="IK97" s="139"/>
      <c r="IL97" s="139"/>
      <c r="IM97" s="139"/>
      <c r="IN97" s="139"/>
      <c r="IO97" s="139"/>
      <c r="IP97" s="139"/>
      <c r="IQ97" s="139"/>
      <c r="IR97" s="139"/>
      <c r="IS97" s="139"/>
      <c r="IT97" s="139"/>
      <c r="IU97" s="139"/>
      <c r="IV97" s="139"/>
    </row>
    <row r="98" spans="1:256" ht="13.8" thickTop="1" x14ac:dyDescent="0.25">
      <c r="A98" s="154" t="str">
        <f t="shared" si="1"/>
        <v>12STL DIA HR</v>
      </c>
      <c r="B98" s="136"/>
      <c r="C98" s="170"/>
      <c r="D98" s="178" t="s">
        <v>1092</v>
      </c>
      <c r="E98" s="178" t="s">
        <v>815</v>
      </c>
      <c r="F98" s="179" t="s">
        <v>719</v>
      </c>
      <c r="G98" s="179" t="s">
        <v>720</v>
      </c>
      <c r="H98" s="180">
        <v>9.7030000000000005E-2</v>
      </c>
      <c r="I98" s="179" t="s">
        <v>716</v>
      </c>
      <c r="J98" s="179" t="s">
        <v>705</v>
      </c>
      <c r="K98" s="179" t="s">
        <v>1093</v>
      </c>
      <c r="L98" s="178" t="s">
        <v>1094</v>
      </c>
      <c r="M98" s="179" t="s">
        <v>805</v>
      </c>
      <c r="N98" s="181" t="s">
        <v>716</v>
      </c>
      <c r="O98" s="179" t="s">
        <v>813</v>
      </c>
      <c r="P98" s="179" t="s">
        <v>711</v>
      </c>
      <c r="Q98" s="179" t="s">
        <v>1095</v>
      </c>
      <c r="R98" s="181" t="s">
        <v>1096</v>
      </c>
      <c r="S98" s="179" t="s">
        <v>1097</v>
      </c>
      <c r="T98" s="179" t="s">
        <v>713</v>
      </c>
      <c r="U98" s="138"/>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c r="BA98" s="139"/>
      <c r="BB98" s="139"/>
      <c r="BC98" s="139"/>
      <c r="BD98" s="139"/>
      <c r="BE98" s="139"/>
      <c r="BF98" s="139"/>
      <c r="BG98" s="139"/>
      <c r="BH98" s="139"/>
      <c r="BI98" s="139"/>
      <c r="BJ98" s="139"/>
      <c r="BK98" s="139"/>
      <c r="BL98" s="139"/>
      <c r="BM98" s="139"/>
      <c r="BN98" s="139"/>
      <c r="BO98" s="139"/>
      <c r="BP98" s="139"/>
      <c r="BQ98" s="139"/>
      <c r="BR98" s="139"/>
      <c r="BS98" s="139"/>
      <c r="BT98" s="139"/>
      <c r="BU98" s="139"/>
      <c r="BV98" s="139"/>
      <c r="BW98" s="139"/>
      <c r="BX98" s="139"/>
      <c r="BY98" s="139"/>
      <c r="BZ98" s="139"/>
      <c r="CA98" s="139"/>
      <c r="CB98" s="139"/>
      <c r="CC98" s="139"/>
      <c r="CD98" s="139"/>
      <c r="CE98" s="139"/>
      <c r="CF98" s="139"/>
      <c r="CG98" s="139"/>
      <c r="CH98" s="139"/>
      <c r="CI98" s="139"/>
      <c r="CJ98" s="139"/>
      <c r="CK98" s="139"/>
      <c r="CL98" s="139"/>
      <c r="CM98" s="139"/>
      <c r="CN98" s="139"/>
      <c r="CO98" s="139"/>
      <c r="CP98" s="139"/>
      <c r="CQ98" s="139"/>
      <c r="CR98" s="139"/>
      <c r="CS98" s="139"/>
      <c r="CT98" s="139"/>
      <c r="CU98" s="139"/>
      <c r="CV98" s="139"/>
      <c r="CW98" s="139"/>
      <c r="CX98" s="139"/>
      <c r="CY98" s="139"/>
      <c r="CZ98" s="139"/>
      <c r="DA98" s="139"/>
      <c r="DB98" s="139"/>
      <c r="DC98" s="139"/>
      <c r="DD98" s="139"/>
      <c r="DE98" s="139"/>
      <c r="DF98" s="139"/>
      <c r="DG98" s="139"/>
      <c r="DH98" s="139"/>
      <c r="DI98" s="139"/>
      <c r="DJ98" s="139"/>
      <c r="DK98" s="139"/>
      <c r="DL98" s="139"/>
      <c r="DM98" s="139"/>
      <c r="DN98" s="139"/>
      <c r="DO98" s="139"/>
      <c r="DP98" s="139"/>
      <c r="DQ98" s="139"/>
      <c r="DR98" s="139"/>
      <c r="DS98" s="139"/>
      <c r="DT98" s="139"/>
      <c r="DU98" s="139"/>
      <c r="DV98" s="139"/>
      <c r="DW98" s="139"/>
      <c r="DX98" s="139"/>
      <c r="DY98" s="139"/>
      <c r="DZ98" s="139"/>
      <c r="EA98" s="139"/>
      <c r="EB98" s="139"/>
      <c r="EC98" s="139"/>
      <c r="ED98" s="139"/>
      <c r="EE98" s="139"/>
      <c r="EF98" s="139"/>
      <c r="EG98" s="139"/>
      <c r="EH98" s="139"/>
      <c r="EI98" s="139"/>
      <c r="EJ98" s="139"/>
      <c r="EK98" s="139"/>
      <c r="EL98" s="139"/>
      <c r="EM98" s="139"/>
      <c r="EN98" s="139"/>
      <c r="EO98" s="139"/>
      <c r="EP98" s="139"/>
      <c r="EQ98" s="139"/>
      <c r="ER98" s="139"/>
      <c r="ES98" s="139"/>
      <c r="ET98" s="139"/>
      <c r="EU98" s="139"/>
      <c r="EV98" s="139"/>
      <c r="EW98" s="139"/>
      <c r="EX98" s="139"/>
      <c r="EY98" s="139"/>
      <c r="EZ98" s="139"/>
      <c r="FA98" s="139"/>
      <c r="FB98" s="139"/>
      <c r="FC98" s="139"/>
      <c r="FD98" s="139"/>
      <c r="FE98" s="139"/>
      <c r="FF98" s="139"/>
      <c r="FG98" s="139"/>
      <c r="FH98" s="139"/>
      <c r="FI98" s="139"/>
      <c r="FJ98" s="139"/>
      <c r="FK98" s="139"/>
      <c r="FL98" s="139"/>
      <c r="FM98" s="139"/>
      <c r="FN98" s="139"/>
      <c r="FO98" s="139"/>
      <c r="FP98" s="139"/>
      <c r="FQ98" s="139"/>
      <c r="FR98" s="139"/>
      <c r="FS98" s="139"/>
      <c r="FT98" s="139"/>
      <c r="FU98" s="139"/>
      <c r="FV98" s="139"/>
      <c r="FW98" s="139"/>
      <c r="FX98" s="139"/>
      <c r="FY98" s="139"/>
      <c r="FZ98" s="139"/>
      <c r="GA98" s="139"/>
      <c r="GB98" s="139"/>
      <c r="GC98" s="139"/>
      <c r="GD98" s="139"/>
      <c r="GE98" s="139"/>
      <c r="GF98" s="139"/>
      <c r="GG98" s="139"/>
      <c r="GH98" s="139"/>
      <c r="GI98" s="139"/>
      <c r="GJ98" s="139"/>
      <c r="GK98" s="139"/>
      <c r="GL98" s="139"/>
      <c r="GM98" s="139"/>
      <c r="GN98" s="139"/>
      <c r="GO98" s="139"/>
      <c r="GP98" s="139"/>
      <c r="GQ98" s="139"/>
      <c r="GR98" s="139"/>
      <c r="GS98" s="139"/>
      <c r="GT98" s="139"/>
      <c r="GU98" s="139"/>
      <c r="GV98" s="139"/>
      <c r="GW98" s="139"/>
      <c r="GX98" s="139"/>
      <c r="GY98" s="139"/>
      <c r="GZ98" s="139"/>
      <c r="HA98" s="139"/>
      <c r="HB98" s="139"/>
      <c r="HC98" s="139"/>
      <c r="HD98" s="139"/>
      <c r="HE98" s="139"/>
      <c r="HF98" s="139"/>
      <c r="HG98" s="139"/>
      <c r="HH98" s="139"/>
      <c r="HI98" s="139"/>
      <c r="HJ98" s="139"/>
      <c r="HK98" s="139"/>
      <c r="HL98" s="139"/>
      <c r="HM98" s="139"/>
      <c r="HN98" s="139"/>
      <c r="HO98" s="139"/>
      <c r="HP98" s="139"/>
      <c r="HQ98" s="139"/>
      <c r="HR98" s="139"/>
      <c r="HS98" s="139"/>
      <c r="HT98" s="139"/>
      <c r="HU98" s="139"/>
      <c r="HV98" s="139"/>
      <c r="HW98" s="139"/>
      <c r="HX98" s="139"/>
      <c r="HY98" s="139"/>
      <c r="HZ98" s="139"/>
      <c r="IA98" s="139"/>
      <c r="IB98" s="139"/>
      <c r="IC98" s="139"/>
      <c r="ID98" s="139"/>
      <c r="IE98" s="139"/>
      <c r="IF98" s="139"/>
      <c r="IG98" s="139"/>
      <c r="IH98" s="139"/>
      <c r="II98" s="139"/>
      <c r="IJ98" s="139"/>
      <c r="IK98" s="139"/>
      <c r="IL98" s="139"/>
      <c r="IM98" s="139"/>
      <c r="IN98" s="139"/>
      <c r="IO98" s="139"/>
      <c r="IP98" s="139"/>
      <c r="IQ98" s="139"/>
      <c r="IR98" s="139"/>
      <c r="IS98" s="139"/>
      <c r="IT98" s="139"/>
      <c r="IU98" s="139"/>
      <c r="IV98" s="139"/>
    </row>
    <row r="99" spans="1:256" x14ac:dyDescent="0.25">
      <c r="A99" s="118" t="str">
        <f t="shared" si="1"/>
        <v>14STL DIA HR</v>
      </c>
      <c r="B99" s="136"/>
      <c r="C99" s="170"/>
      <c r="D99" s="182" t="s">
        <v>1092</v>
      </c>
      <c r="E99" s="182" t="s">
        <v>819</v>
      </c>
      <c r="F99" s="183" t="s">
        <v>724</v>
      </c>
      <c r="G99" s="183" t="s">
        <v>725</v>
      </c>
      <c r="H99" s="184">
        <v>7.0040000000000005E-2</v>
      </c>
      <c r="I99" s="183" t="s">
        <v>716</v>
      </c>
      <c r="J99" s="183" t="s">
        <v>705</v>
      </c>
      <c r="K99" s="183" t="s">
        <v>1098</v>
      </c>
      <c r="L99" s="182" t="s">
        <v>1099</v>
      </c>
      <c r="M99" s="183" t="s">
        <v>805</v>
      </c>
      <c r="N99" s="185" t="s">
        <v>716</v>
      </c>
      <c r="O99" s="186" t="s">
        <v>823</v>
      </c>
      <c r="P99" s="186" t="s">
        <v>711</v>
      </c>
      <c r="Q99" s="183" t="s">
        <v>1095</v>
      </c>
      <c r="R99" s="187" t="s">
        <v>1100</v>
      </c>
      <c r="S99" s="183" t="s">
        <v>1097</v>
      </c>
      <c r="T99" s="183" t="s">
        <v>713</v>
      </c>
      <c r="U99" s="138"/>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c r="BA99" s="139"/>
      <c r="BB99" s="139"/>
      <c r="BC99" s="139"/>
      <c r="BD99" s="139"/>
      <c r="BE99" s="139"/>
      <c r="BF99" s="139"/>
      <c r="BG99" s="139"/>
      <c r="BH99" s="139"/>
      <c r="BI99" s="139"/>
      <c r="BJ99" s="139"/>
      <c r="BK99" s="139"/>
      <c r="BL99" s="139"/>
      <c r="BM99" s="139"/>
      <c r="BN99" s="139"/>
      <c r="BO99" s="139"/>
      <c r="BP99" s="139"/>
      <c r="BQ99" s="139"/>
      <c r="BR99" s="139"/>
      <c r="BS99" s="139"/>
      <c r="BT99" s="139"/>
      <c r="BU99" s="139"/>
      <c r="BV99" s="139"/>
      <c r="BW99" s="139"/>
      <c r="BX99" s="139"/>
      <c r="BY99" s="139"/>
      <c r="BZ99" s="139"/>
      <c r="CA99" s="139"/>
      <c r="CB99" s="139"/>
      <c r="CC99" s="139"/>
      <c r="CD99" s="139"/>
      <c r="CE99" s="139"/>
      <c r="CF99" s="139"/>
      <c r="CG99" s="139"/>
      <c r="CH99" s="139"/>
      <c r="CI99" s="139"/>
      <c r="CJ99" s="139"/>
      <c r="CK99" s="139"/>
      <c r="CL99" s="139"/>
      <c r="CM99" s="139"/>
      <c r="CN99" s="139"/>
      <c r="CO99" s="139"/>
      <c r="CP99" s="139"/>
      <c r="CQ99" s="139"/>
      <c r="CR99" s="139"/>
      <c r="CS99" s="139"/>
      <c r="CT99" s="139"/>
      <c r="CU99" s="139"/>
      <c r="CV99" s="139"/>
      <c r="CW99" s="139"/>
      <c r="CX99" s="139"/>
      <c r="CY99" s="139"/>
      <c r="CZ99" s="139"/>
      <c r="DA99" s="139"/>
      <c r="DB99" s="139"/>
      <c r="DC99" s="139"/>
      <c r="DD99" s="139"/>
      <c r="DE99" s="139"/>
      <c r="DF99" s="139"/>
      <c r="DG99" s="139"/>
      <c r="DH99" s="139"/>
      <c r="DI99" s="139"/>
      <c r="DJ99" s="139"/>
      <c r="DK99" s="139"/>
      <c r="DL99" s="139"/>
      <c r="DM99" s="139"/>
      <c r="DN99" s="139"/>
      <c r="DO99" s="139"/>
      <c r="DP99" s="139"/>
      <c r="DQ99" s="139"/>
      <c r="DR99" s="139"/>
      <c r="DS99" s="139"/>
      <c r="DT99" s="139"/>
      <c r="DU99" s="139"/>
      <c r="DV99" s="139"/>
      <c r="DW99" s="139"/>
      <c r="DX99" s="139"/>
      <c r="DY99" s="139"/>
      <c r="DZ99" s="139"/>
      <c r="EA99" s="139"/>
      <c r="EB99" s="139"/>
      <c r="EC99" s="139"/>
      <c r="ED99" s="139"/>
      <c r="EE99" s="139"/>
      <c r="EF99" s="139"/>
      <c r="EG99" s="139"/>
      <c r="EH99" s="139"/>
      <c r="EI99" s="139"/>
      <c r="EJ99" s="139"/>
      <c r="EK99" s="139"/>
      <c r="EL99" s="139"/>
      <c r="EM99" s="139"/>
      <c r="EN99" s="139"/>
      <c r="EO99" s="139"/>
      <c r="EP99" s="139"/>
      <c r="EQ99" s="139"/>
      <c r="ER99" s="139"/>
      <c r="ES99" s="139"/>
      <c r="ET99" s="139"/>
      <c r="EU99" s="139"/>
      <c r="EV99" s="139"/>
      <c r="EW99" s="139"/>
      <c r="EX99" s="139"/>
      <c r="EY99" s="139"/>
      <c r="EZ99" s="139"/>
      <c r="FA99" s="139"/>
      <c r="FB99" s="139"/>
      <c r="FC99" s="139"/>
      <c r="FD99" s="139"/>
      <c r="FE99" s="139"/>
      <c r="FF99" s="139"/>
      <c r="FG99" s="139"/>
      <c r="FH99" s="139"/>
      <c r="FI99" s="139"/>
      <c r="FJ99" s="139"/>
      <c r="FK99" s="139"/>
      <c r="FL99" s="139"/>
      <c r="FM99" s="139"/>
      <c r="FN99" s="139"/>
      <c r="FO99" s="139"/>
      <c r="FP99" s="139"/>
      <c r="FQ99" s="139"/>
      <c r="FR99" s="139"/>
      <c r="FS99" s="139"/>
      <c r="FT99" s="139"/>
      <c r="FU99" s="139"/>
      <c r="FV99" s="139"/>
      <c r="FW99" s="139"/>
      <c r="FX99" s="139"/>
      <c r="FY99" s="139"/>
      <c r="FZ99" s="139"/>
      <c r="GA99" s="139"/>
      <c r="GB99" s="139"/>
      <c r="GC99" s="139"/>
      <c r="GD99" s="139"/>
      <c r="GE99" s="139"/>
      <c r="GF99" s="139"/>
      <c r="GG99" s="139"/>
      <c r="GH99" s="139"/>
      <c r="GI99" s="139"/>
      <c r="GJ99" s="139"/>
      <c r="GK99" s="139"/>
      <c r="GL99" s="139"/>
      <c r="GM99" s="139"/>
      <c r="GN99" s="139"/>
      <c r="GO99" s="139"/>
      <c r="GP99" s="139"/>
      <c r="GQ99" s="139"/>
      <c r="GR99" s="139"/>
      <c r="GS99" s="139"/>
      <c r="GT99" s="139"/>
      <c r="GU99" s="139"/>
      <c r="GV99" s="139"/>
      <c r="GW99" s="139"/>
      <c r="GX99" s="139"/>
      <c r="GY99" s="139"/>
      <c r="GZ99" s="139"/>
      <c r="HA99" s="139"/>
      <c r="HB99" s="139"/>
      <c r="HC99" s="139"/>
      <c r="HD99" s="139"/>
      <c r="HE99" s="139"/>
      <c r="HF99" s="139"/>
      <c r="HG99" s="139"/>
      <c r="HH99" s="139"/>
      <c r="HI99" s="139"/>
      <c r="HJ99" s="139"/>
      <c r="HK99" s="139"/>
      <c r="HL99" s="139"/>
      <c r="HM99" s="139"/>
      <c r="HN99" s="139"/>
      <c r="HO99" s="139"/>
      <c r="HP99" s="139"/>
      <c r="HQ99" s="139"/>
      <c r="HR99" s="139"/>
      <c r="HS99" s="139"/>
      <c r="HT99" s="139"/>
      <c r="HU99" s="139"/>
      <c r="HV99" s="139"/>
      <c r="HW99" s="139"/>
      <c r="HX99" s="139"/>
      <c r="HY99" s="139"/>
      <c r="HZ99" s="139"/>
      <c r="IA99" s="139"/>
      <c r="IB99" s="139"/>
      <c r="IC99" s="139"/>
      <c r="ID99" s="139"/>
      <c r="IE99" s="139"/>
      <c r="IF99" s="139"/>
      <c r="IG99" s="139"/>
      <c r="IH99" s="139"/>
      <c r="II99" s="139"/>
      <c r="IJ99" s="139"/>
      <c r="IK99" s="139"/>
      <c r="IL99" s="139"/>
      <c r="IM99" s="139"/>
      <c r="IN99" s="139"/>
      <c r="IO99" s="139"/>
      <c r="IP99" s="139"/>
      <c r="IQ99" s="139"/>
      <c r="IR99" s="139"/>
      <c r="IS99" s="139"/>
      <c r="IT99" s="139"/>
      <c r="IU99" s="139"/>
      <c r="IV99" s="139"/>
    </row>
    <row r="100" spans="1:256" x14ac:dyDescent="0.25">
      <c r="A100" s="118" t="str">
        <f t="shared" si="1"/>
        <v>10STL DIA HR</v>
      </c>
      <c r="B100" s="136"/>
      <c r="C100" s="170"/>
      <c r="D100" s="182" t="s">
        <v>1092</v>
      </c>
      <c r="E100" s="182" t="s">
        <v>801</v>
      </c>
      <c r="F100" s="183" t="s">
        <v>714</v>
      </c>
      <c r="G100" s="183" t="s">
        <v>715</v>
      </c>
      <c r="H100" s="184">
        <v>0.12603</v>
      </c>
      <c r="I100" s="183" t="s">
        <v>716</v>
      </c>
      <c r="J100" s="183" t="s">
        <v>705</v>
      </c>
      <c r="K100" s="183" t="s">
        <v>1101</v>
      </c>
      <c r="L100" s="182" t="s">
        <v>1102</v>
      </c>
      <c r="M100" s="183" t="s">
        <v>805</v>
      </c>
      <c r="N100" s="185" t="s">
        <v>716</v>
      </c>
      <c r="O100" s="186" t="s">
        <v>710</v>
      </c>
      <c r="P100" s="186" t="s">
        <v>711</v>
      </c>
      <c r="Q100" s="183" t="s">
        <v>1095</v>
      </c>
      <c r="R100" s="187" t="s">
        <v>1103</v>
      </c>
      <c r="S100" s="183" t="s">
        <v>1097</v>
      </c>
      <c r="T100" s="183" t="s">
        <v>713</v>
      </c>
      <c r="U100" s="138"/>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c r="BA100" s="139"/>
      <c r="BB100" s="139"/>
      <c r="BC100" s="139"/>
      <c r="BD100" s="139"/>
      <c r="BE100" s="139"/>
      <c r="BF100" s="139"/>
      <c r="BG100" s="139"/>
      <c r="BH100" s="139"/>
      <c r="BI100" s="139"/>
      <c r="BJ100" s="139"/>
      <c r="BK100" s="139"/>
      <c r="BL100" s="139"/>
      <c r="BM100" s="139"/>
      <c r="BN100" s="139"/>
      <c r="BO100" s="139"/>
      <c r="BP100" s="139"/>
      <c r="BQ100" s="139"/>
      <c r="BR100" s="139"/>
      <c r="BS100" s="139"/>
      <c r="BT100" s="139"/>
      <c r="BU100" s="139"/>
      <c r="BV100" s="139"/>
      <c r="BW100" s="139"/>
      <c r="BX100" s="139"/>
      <c r="BY100" s="139"/>
      <c r="BZ100" s="139"/>
      <c r="CA100" s="139"/>
      <c r="CB100" s="139"/>
      <c r="CC100" s="139"/>
      <c r="CD100" s="139"/>
      <c r="CE100" s="139"/>
      <c r="CF100" s="139"/>
      <c r="CG100" s="139"/>
      <c r="CH100" s="139"/>
      <c r="CI100" s="139"/>
      <c r="CJ100" s="139"/>
      <c r="CK100" s="139"/>
      <c r="CL100" s="139"/>
      <c r="CM100" s="139"/>
      <c r="CN100" s="139"/>
      <c r="CO100" s="139"/>
      <c r="CP100" s="139"/>
      <c r="CQ100" s="139"/>
      <c r="CR100" s="139"/>
      <c r="CS100" s="139"/>
      <c r="CT100" s="139"/>
      <c r="CU100" s="139"/>
      <c r="CV100" s="139"/>
      <c r="CW100" s="139"/>
      <c r="CX100" s="139"/>
      <c r="CY100" s="139"/>
      <c r="CZ100" s="139"/>
      <c r="DA100" s="139"/>
      <c r="DB100" s="139"/>
      <c r="DC100" s="139"/>
      <c r="DD100" s="139"/>
      <c r="DE100" s="139"/>
      <c r="DF100" s="139"/>
      <c r="DG100" s="139"/>
      <c r="DH100" s="139"/>
      <c r="DI100" s="139"/>
      <c r="DJ100" s="139"/>
      <c r="DK100" s="139"/>
      <c r="DL100" s="139"/>
      <c r="DM100" s="139"/>
      <c r="DN100" s="139"/>
      <c r="DO100" s="139"/>
      <c r="DP100" s="139"/>
      <c r="DQ100" s="139"/>
      <c r="DR100" s="139"/>
      <c r="DS100" s="139"/>
      <c r="DT100" s="139"/>
      <c r="DU100" s="139"/>
      <c r="DV100" s="139"/>
      <c r="DW100" s="139"/>
      <c r="DX100" s="139"/>
      <c r="DY100" s="139"/>
      <c r="DZ100" s="139"/>
      <c r="EA100" s="139"/>
      <c r="EB100" s="139"/>
      <c r="EC100" s="139"/>
      <c r="ED100" s="139"/>
      <c r="EE100" s="139"/>
      <c r="EF100" s="139"/>
      <c r="EG100" s="139"/>
      <c r="EH100" s="139"/>
      <c r="EI100" s="139"/>
      <c r="EJ100" s="139"/>
      <c r="EK100" s="139"/>
      <c r="EL100" s="139"/>
      <c r="EM100" s="139"/>
      <c r="EN100" s="139"/>
      <c r="EO100" s="139"/>
      <c r="EP100" s="139"/>
      <c r="EQ100" s="139"/>
      <c r="ER100" s="139"/>
      <c r="ES100" s="139"/>
      <c r="ET100" s="139"/>
      <c r="EU100" s="139"/>
      <c r="EV100" s="139"/>
      <c r="EW100" s="139"/>
      <c r="EX100" s="139"/>
      <c r="EY100" s="139"/>
      <c r="EZ100" s="139"/>
      <c r="FA100" s="139"/>
      <c r="FB100" s="139"/>
      <c r="FC100" s="139"/>
      <c r="FD100" s="139"/>
      <c r="FE100" s="139"/>
      <c r="FF100" s="139"/>
      <c r="FG100" s="139"/>
      <c r="FH100" s="139"/>
      <c r="FI100" s="139"/>
      <c r="FJ100" s="139"/>
      <c r="FK100" s="139"/>
      <c r="FL100" s="139"/>
      <c r="FM100" s="139"/>
      <c r="FN100" s="139"/>
      <c r="FO100" s="139"/>
      <c r="FP100" s="139"/>
      <c r="FQ100" s="139"/>
      <c r="FR100" s="139"/>
      <c r="FS100" s="139"/>
      <c r="FT100" s="139"/>
      <c r="FU100" s="139"/>
      <c r="FV100" s="139"/>
      <c r="FW100" s="139"/>
      <c r="FX100" s="139"/>
      <c r="FY100" s="139"/>
      <c r="FZ100" s="139"/>
      <c r="GA100" s="139"/>
      <c r="GB100" s="139"/>
      <c r="GC100" s="139"/>
      <c r="GD100" s="139"/>
      <c r="GE100" s="139"/>
      <c r="GF100" s="139"/>
      <c r="GG100" s="139"/>
      <c r="GH100" s="139"/>
      <c r="GI100" s="139"/>
      <c r="GJ100" s="139"/>
      <c r="GK100" s="139"/>
      <c r="GL100" s="139"/>
      <c r="GM100" s="139"/>
      <c r="GN100" s="139"/>
      <c r="GO100" s="139"/>
      <c r="GP100" s="139"/>
      <c r="GQ100" s="139"/>
      <c r="GR100" s="139"/>
      <c r="GS100" s="139"/>
      <c r="GT100" s="139"/>
      <c r="GU100" s="139"/>
      <c r="GV100" s="139"/>
      <c r="GW100" s="139"/>
      <c r="GX100" s="139"/>
      <c r="GY100" s="139"/>
      <c r="GZ100" s="139"/>
      <c r="HA100" s="139"/>
      <c r="HB100" s="139"/>
      <c r="HC100" s="139"/>
      <c r="HD100" s="139"/>
      <c r="HE100" s="139"/>
      <c r="HF100" s="139"/>
      <c r="HG100" s="139"/>
      <c r="HH100" s="139"/>
      <c r="HI100" s="139"/>
      <c r="HJ100" s="139"/>
      <c r="HK100" s="139"/>
      <c r="HL100" s="139"/>
      <c r="HM100" s="139"/>
      <c r="HN100" s="139"/>
      <c r="HO100" s="139"/>
      <c r="HP100" s="139"/>
      <c r="HQ100" s="139"/>
      <c r="HR100" s="139"/>
      <c r="HS100" s="139"/>
      <c r="HT100" s="139"/>
      <c r="HU100" s="139"/>
      <c r="HV100" s="139"/>
      <c r="HW100" s="139"/>
      <c r="HX100" s="139"/>
      <c r="HY100" s="139"/>
      <c r="HZ100" s="139"/>
      <c r="IA100" s="139"/>
      <c r="IB100" s="139"/>
      <c r="IC100" s="139"/>
      <c r="ID100" s="139"/>
      <c r="IE100" s="139"/>
      <c r="IF100" s="139"/>
      <c r="IG100" s="139"/>
      <c r="IH100" s="139"/>
      <c r="II100" s="139"/>
      <c r="IJ100" s="139"/>
      <c r="IK100" s="139"/>
      <c r="IL100" s="139"/>
      <c r="IM100" s="139"/>
      <c r="IN100" s="139"/>
      <c r="IO100" s="139"/>
      <c r="IP100" s="139"/>
      <c r="IQ100" s="139"/>
      <c r="IR100" s="139"/>
      <c r="IS100" s="139"/>
      <c r="IT100" s="139"/>
      <c r="IU100" s="139"/>
      <c r="IV100" s="139"/>
    </row>
    <row r="101" spans="1:256" x14ac:dyDescent="0.25">
      <c r="A101" s="118" t="str">
        <f t="shared" si="1"/>
        <v>7STL DIA HR</v>
      </c>
      <c r="B101" s="136"/>
      <c r="C101" s="170"/>
      <c r="D101" s="182" t="s">
        <v>1092</v>
      </c>
      <c r="E101" s="182" t="s">
        <v>1104</v>
      </c>
      <c r="F101" s="183" t="s">
        <v>954</v>
      </c>
      <c r="G101" s="183" t="s">
        <v>954</v>
      </c>
      <c r="H101" s="184">
        <v>0.18801000000000001</v>
      </c>
      <c r="I101" s="183" t="s">
        <v>716</v>
      </c>
      <c r="J101" s="183" t="s">
        <v>705</v>
      </c>
      <c r="K101" s="183" t="s">
        <v>1105</v>
      </c>
      <c r="L101" s="182" t="s">
        <v>1106</v>
      </c>
      <c r="M101" s="183" t="s">
        <v>805</v>
      </c>
      <c r="N101" s="185" t="s">
        <v>716</v>
      </c>
      <c r="O101" s="186" t="s">
        <v>823</v>
      </c>
      <c r="P101" s="186" t="s">
        <v>711</v>
      </c>
      <c r="Q101" s="183" t="s">
        <v>1095</v>
      </c>
      <c r="R101" s="187" t="s">
        <v>1107</v>
      </c>
      <c r="S101" s="183" t="s">
        <v>1097</v>
      </c>
      <c r="T101" s="183" t="s">
        <v>713</v>
      </c>
      <c r="U101" s="138"/>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c r="BA101" s="139"/>
      <c r="BB101" s="139"/>
      <c r="BC101" s="139"/>
      <c r="BD101" s="139"/>
      <c r="BE101" s="139"/>
      <c r="BF101" s="139"/>
      <c r="BG101" s="139"/>
      <c r="BH101" s="139"/>
      <c r="BI101" s="139"/>
      <c r="BJ101" s="139"/>
      <c r="BK101" s="139"/>
      <c r="BL101" s="139"/>
      <c r="BM101" s="139"/>
      <c r="BN101" s="139"/>
      <c r="BO101" s="139"/>
      <c r="BP101" s="139"/>
      <c r="BQ101" s="139"/>
      <c r="BR101" s="139"/>
      <c r="BS101" s="139"/>
      <c r="BT101" s="139"/>
      <c r="BU101" s="139"/>
      <c r="BV101" s="139"/>
      <c r="BW101" s="139"/>
      <c r="BX101" s="139"/>
      <c r="BY101" s="139"/>
      <c r="BZ101" s="139"/>
      <c r="CA101" s="139"/>
      <c r="CB101" s="139"/>
      <c r="CC101" s="139"/>
      <c r="CD101" s="139"/>
      <c r="CE101" s="139"/>
      <c r="CF101" s="139"/>
      <c r="CG101" s="139"/>
      <c r="CH101" s="139"/>
      <c r="CI101" s="139"/>
      <c r="CJ101" s="139"/>
      <c r="CK101" s="139"/>
      <c r="CL101" s="139"/>
      <c r="CM101" s="139"/>
      <c r="CN101" s="139"/>
      <c r="CO101" s="139"/>
      <c r="CP101" s="139"/>
      <c r="CQ101" s="139"/>
      <c r="CR101" s="139"/>
      <c r="CS101" s="139"/>
      <c r="CT101" s="139"/>
      <c r="CU101" s="139"/>
      <c r="CV101" s="139"/>
      <c r="CW101" s="139"/>
      <c r="CX101" s="139"/>
      <c r="CY101" s="139"/>
      <c r="CZ101" s="139"/>
      <c r="DA101" s="139"/>
      <c r="DB101" s="139"/>
      <c r="DC101" s="139"/>
      <c r="DD101" s="139"/>
      <c r="DE101" s="139"/>
      <c r="DF101" s="139"/>
      <c r="DG101" s="139"/>
      <c r="DH101" s="139"/>
      <c r="DI101" s="139"/>
      <c r="DJ101" s="139"/>
      <c r="DK101" s="139"/>
      <c r="DL101" s="139"/>
      <c r="DM101" s="139"/>
      <c r="DN101" s="139"/>
      <c r="DO101" s="139"/>
      <c r="DP101" s="139"/>
      <c r="DQ101" s="139"/>
      <c r="DR101" s="139"/>
      <c r="DS101" s="139"/>
      <c r="DT101" s="139"/>
      <c r="DU101" s="139"/>
      <c r="DV101" s="139"/>
      <c r="DW101" s="139"/>
      <c r="DX101" s="139"/>
      <c r="DY101" s="139"/>
      <c r="DZ101" s="139"/>
      <c r="EA101" s="139"/>
      <c r="EB101" s="139"/>
      <c r="EC101" s="139"/>
      <c r="ED101" s="139"/>
      <c r="EE101" s="139"/>
      <c r="EF101" s="139"/>
      <c r="EG101" s="139"/>
      <c r="EH101" s="139"/>
      <c r="EI101" s="139"/>
      <c r="EJ101" s="139"/>
      <c r="EK101" s="139"/>
      <c r="EL101" s="139"/>
      <c r="EM101" s="139"/>
      <c r="EN101" s="139"/>
      <c r="EO101" s="139"/>
      <c r="EP101" s="139"/>
      <c r="EQ101" s="139"/>
      <c r="ER101" s="139"/>
      <c r="ES101" s="139"/>
      <c r="ET101" s="139"/>
      <c r="EU101" s="139"/>
      <c r="EV101" s="139"/>
      <c r="EW101" s="139"/>
      <c r="EX101" s="139"/>
      <c r="EY101" s="139"/>
      <c r="EZ101" s="139"/>
      <c r="FA101" s="139"/>
      <c r="FB101" s="139"/>
      <c r="FC101" s="139"/>
      <c r="FD101" s="139"/>
      <c r="FE101" s="139"/>
      <c r="FF101" s="139"/>
      <c r="FG101" s="139"/>
      <c r="FH101" s="139"/>
      <c r="FI101" s="139"/>
      <c r="FJ101" s="139"/>
      <c r="FK101" s="139"/>
      <c r="FL101" s="139"/>
      <c r="FM101" s="139"/>
      <c r="FN101" s="139"/>
      <c r="FO101" s="139"/>
      <c r="FP101" s="139"/>
      <c r="FQ101" s="139"/>
      <c r="FR101" s="139"/>
      <c r="FS101" s="139"/>
      <c r="FT101" s="139"/>
      <c r="FU101" s="139"/>
      <c r="FV101" s="139"/>
      <c r="FW101" s="139"/>
      <c r="FX101" s="139"/>
      <c r="FY101" s="139"/>
      <c r="FZ101" s="139"/>
      <c r="GA101" s="139"/>
      <c r="GB101" s="139"/>
      <c r="GC101" s="139"/>
      <c r="GD101" s="139"/>
      <c r="GE101" s="139"/>
      <c r="GF101" s="139"/>
      <c r="GG101" s="139"/>
      <c r="GH101" s="139"/>
      <c r="GI101" s="139"/>
      <c r="GJ101" s="139"/>
      <c r="GK101" s="139"/>
      <c r="GL101" s="139"/>
      <c r="GM101" s="139"/>
      <c r="GN101" s="139"/>
      <c r="GO101" s="139"/>
      <c r="GP101" s="139"/>
      <c r="GQ101" s="139"/>
      <c r="GR101" s="139"/>
      <c r="GS101" s="139"/>
      <c r="GT101" s="139"/>
      <c r="GU101" s="139"/>
      <c r="GV101" s="139"/>
      <c r="GW101" s="139"/>
      <c r="GX101" s="139"/>
      <c r="GY101" s="139"/>
      <c r="GZ101" s="139"/>
      <c r="HA101" s="139"/>
      <c r="HB101" s="139"/>
      <c r="HC101" s="139"/>
      <c r="HD101" s="139"/>
      <c r="HE101" s="139"/>
      <c r="HF101" s="139"/>
      <c r="HG101" s="139"/>
      <c r="HH101" s="139"/>
      <c r="HI101" s="139"/>
      <c r="HJ101" s="139"/>
      <c r="HK101" s="139"/>
      <c r="HL101" s="139"/>
      <c r="HM101" s="139"/>
      <c r="HN101" s="139"/>
      <c r="HO101" s="139"/>
      <c r="HP101" s="139"/>
      <c r="HQ101" s="139"/>
      <c r="HR101" s="139"/>
      <c r="HS101" s="139"/>
      <c r="HT101" s="139"/>
      <c r="HU101" s="139"/>
      <c r="HV101" s="139"/>
      <c r="HW101" s="139"/>
      <c r="HX101" s="139"/>
      <c r="HY101" s="139"/>
      <c r="HZ101" s="139"/>
      <c r="IA101" s="139"/>
      <c r="IB101" s="139"/>
      <c r="IC101" s="139"/>
      <c r="ID101" s="139"/>
      <c r="IE101" s="139"/>
      <c r="IF101" s="139"/>
      <c r="IG101" s="139"/>
      <c r="IH101" s="139"/>
      <c r="II101" s="139"/>
      <c r="IJ101" s="139"/>
      <c r="IK101" s="139"/>
      <c r="IL101" s="139"/>
      <c r="IM101" s="139"/>
      <c r="IN101" s="139"/>
      <c r="IO101" s="139"/>
      <c r="IP101" s="139"/>
      <c r="IQ101" s="139"/>
      <c r="IR101" s="139"/>
      <c r="IS101" s="139"/>
      <c r="IT101" s="139"/>
      <c r="IU101" s="139"/>
      <c r="IV101" s="139"/>
    </row>
    <row r="102" spans="1:256" x14ac:dyDescent="0.25">
      <c r="A102" s="118" t="str">
        <f t="shared" si="1"/>
        <v>11ALM DIA</v>
      </c>
      <c r="B102" s="136"/>
      <c r="C102" s="170"/>
      <c r="D102" s="182" t="s">
        <v>1108</v>
      </c>
      <c r="E102" s="182" t="s">
        <v>809</v>
      </c>
      <c r="F102" s="183" t="s">
        <v>1109</v>
      </c>
      <c r="G102" s="183" t="s">
        <v>1109</v>
      </c>
      <c r="H102" s="184">
        <v>0.10001</v>
      </c>
      <c r="I102" s="183" t="s">
        <v>716</v>
      </c>
      <c r="J102" s="183" t="s">
        <v>705</v>
      </c>
      <c r="K102" s="183" t="s">
        <v>1110</v>
      </c>
      <c r="L102" s="182" t="s">
        <v>1111</v>
      </c>
      <c r="M102" s="183" t="s">
        <v>136</v>
      </c>
      <c r="N102" s="185" t="s">
        <v>716</v>
      </c>
      <c r="O102" s="186" t="s">
        <v>831</v>
      </c>
      <c r="P102" s="186" t="s">
        <v>711</v>
      </c>
      <c r="Q102" s="183" t="s">
        <v>1112</v>
      </c>
      <c r="R102" s="183" t="s">
        <v>1113</v>
      </c>
      <c r="S102" s="183" t="s">
        <v>1097</v>
      </c>
      <c r="T102" s="183" t="s">
        <v>713</v>
      </c>
      <c r="U102" s="138"/>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c r="BA102" s="139"/>
      <c r="BB102" s="139"/>
      <c r="BC102" s="139"/>
      <c r="BD102" s="139"/>
      <c r="BE102" s="139"/>
      <c r="BF102" s="139"/>
      <c r="BG102" s="139"/>
      <c r="BH102" s="139"/>
      <c r="BI102" s="139"/>
      <c r="BJ102" s="139"/>
      <c r="BK102" s="139"/>
      <c r="BL102" s="139"/>
      <c r="BM102" s="139"/>
      <c r="BN102" s="139"/>
      <c r="BO102" s="139"/>
      <c r="BP102" s="139"/>
      <c r="BQ102" s="139"/>
      <c r="BR102" s="139"/>
      <c r="BS102" s="139"/>
      <c r="BT102" s="139"/>
      <c r="BU102" s="139"/>
      <c r="BV102" s="139"/>
      <c r="BW102" s="139"/>
      <c r="BX102" s="139"/>
      <c r="BY102" s="139"/>
      <c r="BZ102" s="139"/>
      <c r="CA102" s="139"/>
      <c r="CB102" s="139"/>
      <c r="CC102" s="139"/>
      <c r="CD102" s="139"/>
      <c r="CE102" s="139"/>
      <c r="CF102" s="139"/>
      <c r="CG102" s="139"/>
      <c r="CH102" s="139"/>
      <c r="CI102" s="139"/>
      <c r="CJ102" s="139"/>
      <c r="CK102" s="139"/>
      <c r="CL102" s="139"/>
      <c r="CM102" s="139"/>
      <c r="CN102" s="139"/>
      <c r="CO102" s="139"/>
      <c r="CP102" s="139"/>
      <c r="CQ102" s="139"/>
      <c r="CR102" s="139"/>
      <c r="CS102" s="139"/>
      <c r="CT102" s="139"/>
      <c r="CU102" s="139"/>
      <c r="CV102" s="139"/>
      <c r="CW102" s="139"/>
      <c r="CX102" s="139"/>
      <c r="CY102" s="139"/>
      <c r="CZ102" s="139"/>
      <c r="DA102" s="139"/>
      <c r="DB102" s="139"/>
      <c r="DC102" s="139"/>
      <c r="DD102" s="139"/>
      <c r="DE102" s="139"/>
      <c r="DF102" s="139"/>
      <c r="DG102" s="139"/>
      <c r="DH102" s="139"/>
      <c r="DI102" s="139"/>
      <c r="DJ102" s="139"/>
      <c r="DK102" s="139"/>
      <c r="DL102" s="139"/>
      <c r="DM102" s="139"/>
      <c r="DN102" s="139"/>
      <c r="DO102" s="139"/>
      <c r="DP102" s="139"/>
      <c r="DQ102" s="139"/>
      <c r="DR102" s="139"/>
      <c r="DS102" s="139"/>
      <c r="DT102" s="139"/>
      <c r="DU102" s="139"/>
      <c r="DV102" s="139"/>
      <c r="DW102" s="139"/>
      <c r="DX102" s="139"/>
      <c r="DY102" s="139"/>
      <c r="DZ102" s="139"/>
      <c r="EA102" s="139"/>
      <c r="EB102" s="139"/>
      <c r="EC102" s="139"/>
      <c r="ED102" s="139"/>
      <c r="EE102" s="139"/>
      <c r="EF102" s="139"/>
      <c r="EG102" s="139"/>
      <c r="EH102" s="139"/>
      <c r="EI102" s="139"/>
      <c r="EJ102" s="139"/>
      <c r="EK102" s="139"/>
      <c r="EL102" s="139"/>
      <c r="EM102" s="139"/>
      <c r="EN102" s="139"/>
      <c r="EO102" s="139"/>
      <c r="EP102" s="139"/>
      <c r="EQ102" s="139"/>
      <c r="ER102" s="139"/>
      <c r="ES102" s="139"/>
      <c r="ET102" s="139"/>
      <c r="EU102" s="139"/>
      <c r="EV102" s="139"/>
      <c r="EW102" s="139"/>
      <c r="EX102" s="139"/>
      <c r="EY102" s="139"/>
      <c r="EZ102" s="139"/>
      <c r="FA102" s="139"/>
      <c r="FB102" s="139"/>
      <c r="FC102" s="139"/>
      <c r="FD102" s="139"/>
      <c r="FE102" s="139"/>
      <c r="FF102" s="139"/>
      <c r="FG102" s="139"/>
      <c r="FH102" s="139"/>
      <c r="FI102" s="139"/>
      <c r="FJ102" s="139"/>
      <c r="FK102" s="139"/>
      <c r="FL102" s="139"/>
      <c r="FM102" s="139"/>
      <c r="FN102" s="139"/>
      <c r="FO102" s="139"/>
      <c r="FP102" s="139"/>
      <c r="FQ102" s="139"/>
      <c r="FR102" s="139"/>
      <c r="FS102" s="139"/>
      <c r="FT102" s="139"/>
      <c r="FU102" s="139"/>
      <c r="FV102" s="139"/>
      <c r="FW102" s="139"/>
      <c r="FX102" s="139"/>
      <c r="FY102" s="139"/>
      <c r="FZ102" s="139"/>
      <c r="GA102" s="139"/>
      <c r="GB102" s="139"/>
      <c r="GC102" s="139"/>
      <c r="GD102" s="139"/>
      <c r="GE102" s="139"/>
      <c r="GF102" s="139"/>
      <c r="GG102" s="139"/>
      <c r="GH102" s="139"/>
      <c r="GI102" s="139"/>
      <c r="GJ102" s="139"/>
      <c r="GK102" s="139"/>
      <c r="GL102" s="139"/>
      <c r="GM102" s="139"/>
      <c r="GN102" s="139"/>
      <c r="GO102" s="139"/>
      <c r="GP102" s="139"/>
      <c r="GQ102" s="139"/>
      <c r="GR102" s="139"/>
      <c r="GS102" s="139"/>
      <c r="GT102" s="139"/>
      <c r="GU102" s="139"/>
      <c r="GV102" s="139"/>
      <c r="GW102" s="139"/>
      <c r="GX102" s="139"/>
      <c r="GY102" s="139"/>
      <c r="GZ102" s="139"/>
      <c r="HA102" s="139"/>
      <c r="HB102" s="139"/>
      <c r="HC102" s="139"/>
      <c r="HD102" s="139"/>
      <c r="HE102" s="139"/>
      <c r="HF102" s="139"/>
      <c r="HG102" s="139"/>
      <c r="HH102" s="139"/>
      <c r="HI102" s="139"/>
      <c r="HJ102" s="139"/>
      <c r="HK102" s="139"/>
      <c r="HL102" s="139"/>
      <c r="HM102" s="139"/>
      <c r="HN102" s="139"/>
      <c r="HO102" s="139"/>
      <c r="HP102" s="139"/>
      <c r="HQ102" s="139"/>
      <c r="HR102" s="139"/>
      <c r="HS102" s="139"/>
      <c r="HT102" s="139"/>
      <c r="HU102" s="139"/>
      <c r="HV102" s="139"/>
      <c r="HW102" s="139"/>
      <c r="HX102" s="139"/>
      <c r="HY102" s="139"/>
      <c r="HZ102" s="139"/>
      <c r="IA102" s="139"/>
      <c r="IB102" s="139"/>
      <c r="IC102" s="139"/>
      <c r="ID102" s="139"/>
      <c r="IE102" s="139"/>
      <c r="IF102" s="139"/>
      <c r="IG102" s="139"/>
      <c r="IH102" s="139"/>
      <c r="II102" s="139"/>
      <c r="IJ102" s="139"/>
      <c r="IK102" s="139"/>
      <c r="IL102" s="139"/>
      <c r="IM102" s="139"/>
      <c r="IN102" s="139"/>
      <c r="IO102" s="139"/>
      <c r="IP102" s="139"/>
      <c r="IQ102" s="139"/>
      <c r="IR102" s="139"/>
      <c r="IS102" s="139"/>
      <c r="IT102" s="139"/>
      <c r="IU102" s="139"/>
      <c r="IV102" s="139"/>
    </row>
    <row r="103" spans="1:256" x14ac:dyDescent="0.25">
      <c r="A103" s="118" t="str">
        <f t="shared" si="1"/>
        <v>1/8ALM DIA</v>
      </c>
      <c r="B103" s="136"/>
      <c r="C103" s="170"/>
      <c r="D103" s="182" t="s">
        <v>1108</v>
      </c>
      <c r="E103" s="182" t="s">
        <v>977</v>
      </c>
      <c r="F103" s="183" t="s">
        <v>714</v>
      </c>
      <c r="G103" s="183" t="s">
        <v>714</v>
      </c>
      <c r="H103" s="184">
        <v>0.12503</v>
      </c>
      <c r="I103" s="183" t="s">
        <v>704</v>
      </c>
      <c r="J103" s="183" t="s">
        <v>705</v>
      </c>
      <c r="K103" s="183" t="s">
        <v>1114</v>
      </c>
      <c r="L103" s="182" t="s">
        <v>1115</v>
      </c>
      <c r="M103" s="183" t="s">
        <v>136</v>
      </c>
      <c r="N103" s="185" t="s">
        <v>716</v>
      </c>
      <c r="O103" s="186" t="s">
        <v>722</v>
      </c>
      <c r="P103" s="186" t="s">
        <v>711</v>
      </c>
      <c r="Q103" s="183" t="s">
        <v>1112</v>
      </c>
      <c r="R103" s="187" t="s">
        <v>1116</v>
      </c>
      <c r="S103" s="183" t="s">
        <v>1097</v>
      </c>
      <c r="T103" s="183" t="s">
        <v>713</v>
      </c>
      <c r="U103" s="138"/>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c r="BA103" s="139"/>
      <c r="BB103" s="139"/>
      <c r="BC103" s="139"/>
      <c r="BD103" s="139"/>
      <c r="BE103" s="139"/>
      <c r="BF103" s="139"/>
      <c r="BG103" s="139"/>
      <c r="BH103" s="139"/>
      <c r="BI103" s="139"/>
      <c r="BJ103" s="139"/>
      <c r="BK103" s="139"/>
      <c r="BL103" s="139"/>
      <c r="BM103" s="139"/>
      <c r="BN103" s="139"/>
      <c r="BO103" s="139"/>
      <c r="BP103" s="139"/>
      <c r="BQ103" s="139"/>
      <c r="BR103" s="139"/>
      <c r="BS103" s="139"/>
      <c r="BT103" s="139"/>
      <c r="BU103" s="139"/>
      <c r="BV103" s="139"/>
      <c r="BW103" s="139"/>
      <c r="BX103" s="139"/>
      <c r="BY103" s="139"/>
      <c r="BZ103" s="139"/>
      <c r="CA103" s="139"/>
      <c r="CB103" s="139"/>
      <c r="CC103" s="139"/>
      <c r="CD103" s="139"/>
      <c r="CE103" s="139"/>
      <c r="CF103" s="139"/>
      <c r="CG103" s="139"/>
      <c r="CH103" s="139"/>
      <c r="CI103" s="139"/>
      <c r="CJ103" s="139"/>
      <c r="CK103" s="139"/>
      <c r="CL103" s="139"/>
      <c r="CM103" s="139"/>
      <c r="CN103" s="139"/>
      <c r="CO103" s="139"/>
      <c r="CP103" s="139"/>
      <c r="CQ103" s="139"/>
      <c r="CR103" s="139"/>
      <c r="CS103" s="139"/>
      <c r="CT103" s="139"/>
      <c r="CU103" s="139"/>
      <c r="CV103" s="139"/>
      <c r="CW103" s="139"/>
      <c r="CX103" s="139"/>
      <c r="CY103" s="139"/>
      <c r="CZ103" s="139"/>
      <c r="DA103" s="139"/>
      <c r="DB103" s="139"/>
      <c r="DC103" s="139"/>
      <c r="DD103" s="139"/>
      <c r="DE103" s="139"/>
      <c r="DF103" s="139"/>
      <c r="DG103" s="139"/>
      <c r="DH103" s="139"/>
      <c r="DI103" s="139"/>
      <c r="DJ103" s="139"/>
      <c r="DK103" s="139"/>
      <c r="DL103" s="139"/>
      <c r="DM103" s="139"/>
      <c r="DN103" s="139"/>
      <c r="DO103" s="139"/>
      <c r="DP103" s="139"/>
      <c r="DQ103" s="139"/>
      <c r="DR103" s="139"/>
      <c r="DS103" s="139"/>
      <c r="DT103" s="139"/>
      <c r="DU103" s="139"/>
      <c r="DV103" s="139"/>
      <c r="DW103" s="139"/>
      <c r="DX103" s="139"/>
      <c r="DY103" s="139"/>
      <c r="DZ103" s="139"/>
      <c r="EA103" s="139"/>
      <c r="EB103" s="139"/>
      <c r="EC103" s="139"/>
      <c r="ED103" s="139"/>
      <c r="EE103" s="139"/>
      <c r="EF103" s="139"/>
      <c r="EG103" s="139"/>
      <c r="EH103" s="139"/>
      <c r="EI103" s="139"/>
      <c r="EJ103" s="139"/>
      <c r="EK103" s="139"/>
      <c r="EL103" s="139"/>
      <c r="EM103" s="139"/>
      <c r="EN103" s="139"/>
      <c r="EO103" s="139"/>
      <c r="EP103" s="139"/>
      <c r="EQ103" s="139"/>
      <c r="ER103" s="139"/>
      <c r="ES103" s="139"/>
      <c r="ET103" s="139"/>
      <c r="EU103" s="139"/>
      <c r="EV103" s="139"/>
      <c r="EW103" s="139"/>
      <c r="EX103" s="139"/>
      <c r="EY103" s="139"/>
      <c r="EZ103" s="139"/>
      <c r="FA103" s="139"/>
      <c r="FB103" s="139"/>
      <c r="FC103" s="139"/>
      <c r="FD103" s="139"/>
      <c r="FE103" s="139"/>
      <c r="FF103" s="139"/>
      <c r="FG103" s="139"/>
      <c r="FH103" s="139"/>
      <c r="FI103" s="139"/>
      <c r="FJ103" s="139"/>
      <c r="FK103" s="139"/>
      <c r="FL103" s="139"/>
      <c r="FM103" s="139"/>
      <c r="FN103" s="139"/>
      <c r="FO103" s="139"/>
      <c r="FP103" s="139"/>
      <c r="FQ103" s="139"/>
      <c r="FR103" s="139"/>
      <c r="FS103" s="139"/>
      <c r="FT103" s="139"/>
      <c r="FU103" s="139"/>
      <c r="FV103" s="139"/>
      <c r="FW103" s="139"/>
      <c r="FX103" s="139"/>
      <c r="FY103" s="139"/>
      <c r="FZ103" s="139"/>
      <c r="GA103" s="139"/>
      <c r="GB103" s="139"/>
      <c r="GC103" s="139"/>
      <c r="GD103" s="139"/>
      <c r="GE103" s="139"/>
      <c r="GF103" s="139"/>
      <c r="GG103" s="139"/>
      <c r="GH103" s="139"/>
      <c r="GI103" s="139"/>
      <c r="GJ103" s="139"/>
      <c r="GK103" s="139"/>
      <c r="GL103" s="139"/>
      <c r="GM103" s="139"/>
      <c r="GN103" s="139"/>
      <c r="GO103" s="139"/>
      <c r="GP103" s="139"/>
      <c r="GQ103" s="139"/>
      <c r="GR103" s="139"/>
      <c r="GS103" s="139"/>
      <c r="GT103" s="139"/>
      <c r="GU103" s="139"/>
      <c r="GV103" s="139"/>
      <c r="GW103" s="139"/>
      <c r="GX103" s="139"/>
      <c r="GY103" s="139"/>
      <c r="GZ103" s="139"/>
      <c r="HA103" s="139"/>
      <c r="HB103" s="139"/>
      <c r="HC103" s="139"/>
      <c r="HD103" s="139"/>
      <c r="HE103" s="139"/>
      <c r="HF103" s="139"/>
      <c r="HG103" s="139"/>
      <c r="HH103" s="139"/>
      <c r="HI103" s="139"/>
      <c r="HJ103" s="139"/>
      <c r="HK103" s="139"/>
      <c r="HL103" s="139"/>
      <c r="HM103" s="139"/>
      <c r="HN103" s="139"/>
      <c r="HO103" s="139"/>
      <c r="HP103" s="139"/>
      <c r="HQ103" s="139"/>
      <c r="HR103" s="139"/>
      <c r="HS103" s="139"/>
      <c r="HT103" s="139"/>
      <c r="HU103" s="139"/>
      <c r="HV103" s="139"/>
      <c r="HW103" s="139"/>
      <c r="HX103" s="139"/>
      <c r="HY103" s="139"/>
      <c r="HZ103" s="139"/>
      <c r="IA103" s="139"/>
      <c r="IB103" s="139"/>
      <c r="IC103" s="139"/>
      <c r="ID103" s="139"/>
      <c r="IE103" s="139"/>
      <c r="IF103" s="139"/>
      <c r="IG103" s="139"/>
      <c r="IH103" s="139"/>
      <c r="II103" s="139"/>
      <c r="IJ103" s="139"/>
      <c r="IK103" s="139"/>
      <c r="IL103" s="139"/>
      <c r="IM103" s="139"/>
      <c r="IN103" s="139"/>
      <c r="IO103" s="139"/>
      <c r="IP103" s="139"/>
      <c r="IQ103" s="139"/>
      <c r="IR103" s="139"/>
      <c r="IS103" s="139"/>
      <c r="IT103" s="139"/>
      <c r="IU103" s="139"/>
      <c r="IV103" s="139"/>
    </row>
    <row r="104" spans="1:256" x14ac:dyDescent="0.25">
      <c r="A104" s="118" t="str">
        <f t="shared" si="1"/>
        <v>3/16ALM DIA</v>
      </c>
      <c r="B104" s="136"/>
      <c r="C104" s="170"/>
      <c r="D104" s="182" t="s">
        <v>1108</v>
      </c>
      <c r="E104" s="182" t="s">
        <v>1117</v>
      </c>
      <c r="F104" s="183" t="s">
        <v>954</v>
      </c>
      <c r="G104" s="183" t="s">
        <v>954</v>
      </c>
      <c r="H104" s="184">
        <v>0.18801999999999999</v>
      </c>
      <c r="I104" s="183" t="s">
        <v>716</v>
      </c>
      <c r="J104" s="183" t="s">
        <v>705</v>
      </c>
      <c r="K104" s="183" t="s">
        <v>1118</v>
      </c>
      <c r="L104" s="182" t="s">
        <v>1119</v>
      </c>
      <c r="M104" s="183" t="s">
        <v>136</v>
      </c>
      <c r="N104" s="185" t="s">
        <v>716</v>
      </c>
      <c r="O104" s="186" t="s">
        <v>831</v>
      </c>
      <c r="P104" s="186" t="s">
        <v>711</v>
      </c>
      <c r="Q104" s="183" t="s">
        <v>1112</v>
      </c>
      <c r="R104" s="183" t="s">
        <v>1120</v>
      </c>
      <c r="S104" s="183" t="s">
        <v>1097</v>
      </c>
      <c r="T104" s="183" t="s">
        <v>713</v>
      </c>
      <c r="U104" s="138"/>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c r="BA104" s="139"/>
      <c r="BB104" s="139"/>
      <c r="BC104" s="139"/>
      <c r="BD104" s="139"/>
      <c r="BE104" s="139"/>
      <c r="BF104" s="139"/>
      <c r="BG104" s="139"/>
      <c r="BH104" s="139"/>
      <c r="BI104" s="139"/>
      <c r="BJ104" s="139"/>
      <c r="BK104" s="139"/>
      <c r="BL104" s="139"/>
      <c r="BM104" s="139"/>
      <c r="BN104" s="139"/>
      <c r="BO104" s="139"/>
      <c r="BP104" s="139"/>
      <c r="BQ104" s="139"/>
      <c r="BR104" s="139"/>
      <c r="BS104" s="139"/>
      <c r="BT104" s="139"/>
      <c r="BU104" s="139"/>
      <c r="BV104" s="139"/>
      <c r="BW104" s="139"/>
      <c r="BX104" s="139"/>
      <c r="BY104" s="139"/>
      <c r="BZ104" s="139"/>
      <c r="CA104" s="139"/>
      <c r="CB104" s="139"/>
      <c r="CC104" s="139"/>
      <c r="CD104" s="139"/>
      <c r="CE104" s="139"/>
      <c r="CF104" s="139"/>
      <c r="CG104" s="139"/>
      <c r="CH104" s="139"/>
      <c r="CI104" s="139"/>
      <c r="CJ104" s="139"/>
      <c r="CK104" s="139"/>
      <c r="CL104" s="139"/>
      <c r="CM104" s="139"/>
      <c r="CN104" s="139"/>
      <c r="CO104" s="139"/>
      <c r="CP104" s="139"/>
      <c r="CQ104" s="139"/>
      <c r="CR104" s="139"/>
      <c r="CS104" s="139"/>
      <c r="CT104" s="139"/>
      <c r="CU104" s="139"/>
      <c r="CV104" s="139"/>
      <c r="CW104" s="139"/>
      <c r="CX104" s="139"/>
      <c r="CY104" s="139"/>
      <c r="CZ104" s="139"/>
      <c r="DA104" s="139"/>
      <c r="DB104" s="139"/>
      <c r="DC104" s="139"/>
      <c r="DD104" s="139"/>
      <c r="DE104" s="139"/>
      <c r="DF104" s="139"/>
      <c r="DG104" s="139"/>
      <c r="DH104" s="139"/>
      <c r="DI104" s="139"/>
      <c r="DJ104" s="139"/>
      <c r="DK104" s="139"/>
      <c r="DL104" s="139"/>
      <c r="DM104" s="139"/>
      <c r="DN104" s="139"/>
      <c r="DO104" s="139"/>
      <c r="DP104" s="139"/>
      <c r="DQ104" s="139"/>
      <c r="DR104" s="139"/>
      <c r="DS104" s="139"/>
      <c r="DT104" s="139"/>
      <c r="DU104" s="139"/>
      <c r="DV104" s="139"/>
      <c r="DW104" s="139"/>
      <c r="DX104" s="139"/>
      <c r="DY104" s="139"/>
      <c r="DZ104" s="139"/>
      <c r="EA104" s="139"/>
      <c r="EB104" s="139"/>
      <c r="EC104" s="139"/>
      <c r="ED104" s="139"/>
      <c r="EE104" s="139"/>
      <c r="EF104" s="139"/>
      <c r="EG104" s="139"/>
      <c r="EH104" s="139"/>
      <c r="EI104" s="139"/>
      <c r="EJ104" s="139"/>
      <c r="EK104" s="139"/>
      <c r="EL104" s="139"/>
      <c r="EM104" s="139"/>
      <c r="EN104" s="139"/>
      <c r="EO104" s="139"/>
      <c r="EP104" s="139"/>
      <c r="EQ104" s="139"/>
      <c r="ER104" s="139"/>
      <c r="ES104" s="139"/>
      <c r="ET104" s="139"/>
      <c r="EU104" s="139"/>
      <c r="EV104" s="139"/>
      <c r="EW104" s="139"/>
      <c r="EX104" s="139"/>
      <c r="EY104" s="139"/>
      <c r="EZ104" s="139"/>
      <c r="FA104" s="139"/>
      <c r="FB104" s="139"/>
      <c r="FC104" s="139"/>
      <c r="FD104" s="139"/>
      <c r="FE104" s="139"/>
      <c r="FF104" s="139"/>
      <c r="FG104" s="139"/>
      <c r="FH104" s="139"/>
      <c r="FI104" s="139"/>
      <c r="FJ104" s="139"/>
      <c r="FK104" s="139"/>
      <c r="FL104" s="139"/>
      <c r="FM104" s="139"/>
      <c r="FN104" s="139"/>
      <c r="FO104" s="139"/>
      <c r="FP104" s="139"/>
      <c r="FQ104" s="139"/>
      <c r="FR104" s="139"/>
      <c r="FS104" s="139"/>
      <c r="FT104" s="139"/>
      <c r="FU104" s="139"/>
      <c r="FV104" s="139"/>
      <c r="FW104" s="139"/>
      <c r="FX104" s="139"/>
      <c r="FY104" s="139"/>
      <c r="FZ104" s="139"/>
      <c r="GA104" s="139"/>
      <c r="GB104" s="139"/>
      <c r="GC104" s="139"/>
      <c r="GD104" s="139"/>
      <c r="GE104" s="139"/>
      <c r="GF104" s="139"/>
      <c r="GG104" s="139"/>
      <c r="GH104" s="139"/>
      <c r="GI104" s="139"/>
      <c r="GJ104" s="139"/>
      <c r="GK104" s="139"/>
      <c r="GL104" s="139"/>
      <c r="GM104" s="139"/>
      <c r="GN104" s="139"/>
      <c r="GO104" s="139"/>
      <c r="GP104" s="139"/>
      <c r="GQ104" s="139"/>
      <c r="GR104" s="139"/>
      <c r="GS104" s="139"/>
      <c r="GT104" s="139"/>
      <c r="GU104" s="139"/>
      <c r="GV104" s="139"/>
      <c r="GW104" s="139"/>
      <c r="GX104" s="139"/>
      <c r="GY104" s="139"/>
      <c r="GZ104" s="139"/>
      <c r="HA104" s="139"/>
      <c r="HB104" s="139"/>
      <c r="HC104" s="139"/>
      <c r="HD104" s="139"/>
      <c r="HE104" s="139"/>
      <c r="HF104" s="139"/>
      <c r="HG104" s="139"/>
      <c r="HH104" s="139"/>
      <c r="HI104" s="139"/>
      <c r="HJ104" s="139"/>
      <c r="HK104" s="139"/>
      <c r="HL104" s="139"/>
      <c r="HM104" s="139"/>
      <c r="HN104" s="139"/>
      <c r="HO104" s="139"/>
      <c r="HP104" s="139"/>
      <c r="HQ104" s="139"/>
      <c r="HR104" s="139"/>
      <c r="HS104" s="139"/>
      <c r="HT104" s="139"/>
      <c r="HU104" s="139"/>
      <c r="HV104" s="139"/>
      <c r="HW104" s="139"/>
      <c r="HX104" s="139"/>
      <c r="HY104" s="139"/>
      <c r="HZ104" s="139"/>
      <c r="IA104" s="139"/>
      <c r="IB104" s="139"/>
      <c r="IC104" s="139"/>
      <c r="ID104" s="139"/>
      <c r="IE104" s="139"/>
      <c r="IF104" s="139"/>
      <c r="IG104" s="139"/>
      <c r="IH104" s="139"/>
      <c r="II104" s="139"/>
      <c r="IJ104" s="139"/>
      <c r="IK104" s="139"/>
      <c r="IL104" s="139"/>
      <c r="IM104" s="139"/>
      <c r="IN104" s="139"/>
      <c r="IO104" s="139"/>
      <c r="IP104" s="139"/>
      <c r="IQ104" s="139"/>
      <c r="IR104" s="139"/>
      <c r="IS104" s="139"/>
      <c r="IT104" s="139"/>
      <c r="IU104" s="139"/>
      <c r="IV104" s="139"/>
    </row>
    <row r="105" spans="1:256" x14ac:dyDescent="0.25">
      <c r="A105" s="118" t="str">
        <f t="shared" si="1"/>
        <v>1/8ALMB DIA</v>
      </c>
      <c r="B105" s="136"/>
      <c r="C105" s="170"/>
      <c r="D105" s="182" t="s">
        <v>1108</v>
      </c>
      <c r="E105" s="182" t="s">
        <v>977</v>
      </c>
      <c r="F105" s="183" t="s">
        <v>714</v>
      </c>
      <c r="G105" s="188" t="s">
        <v>714</v>
      </c>
      <c r="H105" s="184">
        <v>0.12504000000000001</v>
      </c>
      <c r="I105" s="183" t="s">
        <v>716</v>
      </c>
      <c r="J105" s="183" t="s">
        <v>705</v>
      </c>
      <c r="K105" s="183" t="s">
        <v>1121</v>
      </c>
      <c r="L105" s="182" t="s">
        <v>1122</v>
      </c>
      <c r="M105" s="183" t="s">
        <v>136</v>
      </c>
      <c r="N105" s="185" t="s">
        <v>716</v>
      </c>
      <c r="O105" s="186" t="s">
        <v>831</v>
      </c>
      <c r="P105" s="186" t="s">
        <v>711</v>
      </c>
      <c r="Q105" s="183" t="s">
        <v>1123</v>
      </c>
      <c r="R105" s="183" t="s">
        <v>1124</v>
      </c>
      <c r="S105" s="183" t="s">
        <v>1097</v>
      </c>
      <c r="T105" s="183" t="s">
        <v>713</v>
      </c>
      <c r="U105" s="138"/>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c r="BA105" s="139"/>
      <c r="BB105" s="139"/>
      <c r="BC105" s="139"/>
      <c r="BD105" s="139"/>
      <c r="BE105" s="139"/>
      <c r="BF105" s="139"/>
      <c r="BG105" s="139"/>
      <c r="BH105" s="139"/>
      <c r="BI105" s="139"/>
      <c r="BJ105" s="139"/>
      <c r="BK105" s="139"/>
      <c r="BL105" s="139"/>
      <c r="BM105" s="139"/>
      <c r="BN105" s="139"/>
      <c r="BO105" s="139"/>
      <c r="BP105" s="139"/>
      <c r="BQ105" s="139"/>
      <c r="BR105" s="139"/>
      <c r="BS105" s="139"/>
      <c r="BT105" s="139"/>
      <c r="BU105" s="139"/>
      <c r="BV105" s="139"/>
      <c r="BW105" s="139"/>
      <c r="BX105" s="139"/>
      <c r="BY105" s="139"/>
      <c r="BZ105" s="139"/>
      <c r="CA105" s="139"/>
      <c r="CB105" s="139"/>
      <c r="CC105" s="139"/>
      <c r="CD105" s="139"/>
      <c r="CE105" s="139"/>
      <c r="CF105" s="139"/>
      <c r="CG105" s="139"/>
      <c r="CH105" s="139"/>
      <c r="CI105" s="139"/>
      <c r="CJ105" s="139"/>
      <c r="CK105" s="139"/>
      <c r="CL105" s="139"/>
      <c r="CM105" s="139"/>
      <c r="CN105" s="139"/>
      <c r="CO105" s="139"/>
      <c r="CP105" s="139"/>
      <c r="CQ105" s="139"/>
      <c r="CR105" s="139"/>
      <c r="CS105" s="139"/>
      <c r="CT105" s="139"/>
      <c r="CU105" s="139"/>
      <c r="CV105" s="139"/>
      <c r="CW105" s="139"/>
      <c r="CX105" s="139"/>
      <c r="CY105" s="139"/>
      <c r="CZ105" s="139"/>
      <c r="DA105" s="139"/>
      <c r="DB105" s="139"/>
      <c r="DC105" s="139"/>
      <c r="DD105" s="139"/>
      <c r="DE105" s="139"/>
      <c r="DF105" s="139"/>
      <c r="DG105" s="139"/>
      <c r="DH105" s="139"/>
      <c r="DI105" s="139"/>
      <c r="DJ105" s="139"/>
      <c r="DK105" s="139"/>
      <c r="DL105" s="139"/>
      <c r="DM105" s="139"/>
      <c r="DN105" s="139"/>
      <c r="DO105" s="139"/>
      <c r="DP105" s="139"/>
      <c r="DQ105" s="139"/>
      <c r="DR105" s="139"/>
      <c r="DS105" s="139"/>
      <c r="DT105" s="139"/>
      <c r="DU105" s="139"/>
      <c r="DV105" s="139"/>
      <c r="DW105" s="139"/>
      <c r="DX105" s="139"/>
      <c r="DY105" s="139"/>
      <c r="DZ105" s="139"/>
      <c r="EA105" s="139"/>
      <c r="EB105" s="139"/>
      <c r="EC105" s="139"/>
      <c r="ED105" s="139"/>
      <c r="EE105" s="139"/>
      <c r="EF105" s="139"/>
      <c r="EG105" s="139"/>
      <c r="EH105" s="139"/>
      <c r="EI105" s="139"/>
      <c r="EJ105" s="139"/>
      <c r="EK105" s="139"/>
      <c r="EL105" s="139"/>
      <c r="EM105" s="139"/>
      <c r="EN105" s="139"/>
      <c r="EO105" s="139"/>
      <c r="EP105" s="139"/>
      <c r="EQ105" s="139"/>
      <c r="ER105" s="139"/>
      <c r="ES105" s="139"/>
      <c r="ET105" s="139"/>
      <c r="EU105" s="139"/>
      <c r="EV105" s="139"/>
      <c r="EW105" s="139"/>
      <c r="EX105" s="139"/>
      <c r="EY105" s="139"/>
      <c r="EZ105" s="139"/>
      <c r="FA105" s="139"/>
      <c r="FB105" s="139"/>
      <c r="FC105" s="139"/>
      <c r="FD105" s="139"/>
      <c r="FE105" s="139"/>
      <c r="FF105" s="139"/>
      <c r="FG105" s="139"/>
      <c r="FH105" s="139"/>
      <c r="FI105" s="139"/>
      <c r="FJ105" s="139"/>
      <c r="FK105" s="139"/>
      <c r="FL105" s="139"/>
      <c r="FM105" s="139"/>
      <c r="FN105" s="139"/>
      <c r="FO105" s="139"/>
      <c r="FP105" s="139"/>
      <c r="FQ105" s="139"/>
      <c r="FR105" s="139"/>
      <c r="FS105" s="139"/>
      <c r="FT105" s="139"/>
      <c r="FU105" s="139"/>
      <c r="FV105" s="139"/>
      <c r="FW105" s="139"/>
      <c r="FX105" s="139"/>
      <c r="FY105" s="139"/>
      <c r="FZ105" s="139"/>
      <c r="GA105" s="139"/>
      <c r="GB105" s="139"/>
      <c r="GC105" s="139"/>
      <c r="GD105" s="139"/>
      <c r="GE105" s="139"/>
      <c r="GF105" s="139"/>
      <c r="GG105" s="139"/>
      <c r="GH105" s="139"/>
      <c r="GI105" s="139"/>
      <c r="GJ105" s="139"/>
      <c r="GK105" s="139"/>
      <c r="GL105" s="139"/>
      <c r="GM105" s="139"/>
      <c r="GN105" s="139"/>
      <c r="GO105" s="139"/>
      <c r="GP105" s="139"/>
      <c r="GQ105" s="139"/>
      <c r="GR105" s="139"/>
      <c r="GS105" s="139"/>
      <c r="GT105" s="139"/>
      <c r="GU105" s="139"/>
      <c r="GV105" s="139"/>
      <c r="GW105" s="139"/>
      <c r="GX105" s="139"/>
      <c r="GY105" s="139"/>
      <c r="GZ105" s="139"/>
      <c r="HA105" s="139"/>
      <c r="HB105" s="139"/>
      <c r="HC105" s="139"/>
      <c r="HD105" s="139"/>
      <c r="HE105" s="139"/>
      <c r="HF105" s="139"/>
      <c r="HG105" s="139"/>
      <c r="HH105" s="139"/>
      <c r="HI105" s="139"/>
      <c r="HJ105" s="139"/>
      <c r="HK105" s="139"/>
      <c r="HL105" s="139"/>
      <c r="HM105" s="139"/>
      <c r="HN105" s="139"/>
      <c r="HO105" s="139"/>
      <c r="HP105" s="139"/>
      <c r="HQ105" s="139"/>
      <c r="HR105" s="139"/>
      <c r="HS105" s="139"/>
      <c r="HT105" s="139"/>
      <c r="HU105" s="139"/>
      <c r="HV105" s="139"/>
      <c r="HW105" s="139"/>
      <c r="HX105" s="139"/>
      <c r="HY105" s="139"/>
      <c r="HZ105" s="139"/>
      <c r="IA105" s="139"/>
      <c r="IB105" s="139"/>
      <c r="IC105" s="139"/>
      <c r="ID105" s="139"/>
      <c r="IE105" s="139"/>
      <c r="IF105" s="139"/>
      <c r="IG105" s="139"/>
      <c r="IH105" s="139"/>
      <c r="II105" s="139"/>
      <c r="IJ105" s="139"/>
      <c r="IK105" s="139"/>
      <c r="IL105" s="139"/>
      <c r="IM105" s="139"/>
      <c r="IN105" s="139"/>
      <c r="IO105" s="139"/>
      <c r="IP105" s="139"/>
      <c r="IQ105" s="139"/>
      <c r="IR105" s="139"/>
      <c r="IS105" s="139"/>
      <c r="IT105" s="139"/>
      <c r="IU105" s="139"/>
      <c r="IV105" s="139"/>
    </row>
    <row r="106" spans="1:256" x14ac:dyDescent="0.25">
      <c r="A106" s="118" t="str">
        <f t="shared" si="1"/>
        <v>3/16ALMB DIA</v>
      </c>
      <c r="B106" s="136"/>
      <c r="C106" s="170"/>
      <c r="D106" s="182" t="s">
        <v>1108</v>
      </c>
      <c r="E106" s="182" t="s">
        <v>1117</v>
      </c>
      <c r="F106" s="183" t="s">
        <v>954</v>
      </c>
      <c r="G106" s="188" t="s">
        <v>954</v>
      </c>
      <c r="H106" s="184">
        <v>0.18804000000000001</v>
      </c>
      <c r="I106" s="183" t="s">
        <v>716</v>
      </c>
      <c r="J106" s="183" t="s">
        <v>705</v>
      </c>
      <c r="K106" s="183" t="s">
        <v>1125</v>
      </c>
      <c r="L106" s="182" t="s">
        <v>1126</v>
      </c>
      <c r="M106" s="183" t="s">
        <v>136</v>
      </c>
      <c r="N106" s="185" t="s">
        <v>716</v>
      </c>
      <c r="O106" s="186" t="s">
        <v>831</v>
      </c>
      <c r="P106" s="186" t="s">
        <v>711</v>
      </c>
      <c r="Q106" s="183" t="s">
        <v>1123</v>
      </c>
      <c r="R106" s="183" t="s">
        <v>1127</v>
      </c>
      <c r="S106" s="183" t="s">
        <v>1097</v>
      </c>
      <c r="T106" s="183" t="s">
        <v>713</v>
      </c>
      <c r="U106" s="138"/>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c r="BA106" s="139"/>
      <c r="BB106" s="139"/>
      <c r="BC106" s="139"/>
      <c r="BD106" s="139"/>
      <c r="BE106" s="139"/>
      <c r="BF106" s="139"/>
      <c r="BG106" s="139"/>
      <c r="BH106" s="139"/>
      <c r="BI106" s="139"/>
      <c r="BJ106" s="139"/>
      <c r="BK106" s="139"/>
      <c r="BL106" s="139"/>
      <c r="BM106" s="139"/>
      <c r="BN106" s="139"/>
      <c r="BO106" s="139"/>
      <c r="BP106" s="139"/>
      <c r="BQ106" s="139"/>
      <c r="BR106" s="139"/>
      <c r="BS106" s="139"/>
      <c r="BT106" s="139"/>
      <c r="BU106" s="139"/>
      <c r="BV106" s="139"/>
      <c r="BW106" s="139"/>
      <c r="BX106" s="139"/>
      <c r="BY106" s="139"/>
      <c r="BZ106" s="139"/>
      <c r="CA106" s="139"/>
      <c r="CB106" s="139"/>
      <c r="CC106" s="139"/>
      <c r="CD106" s="139"/>
      <c r="CE106" s="139"/>
      <c r="CF106" s="139"/>
      <c r="CG106" s="139"/>
      <c r="CH106" s="139"/>
      <c r="CI106" s="139"/>
      <c r="CJ106" s="139"/>
      <c r="CK106" s="139"/>
      <c r="CL106" s="139"/>
      <c r="CM106" s="139"/>
      <c r="CN106" s="139"/>
      <c r="CO106" s="139"/>
      <c r="CP106" s="139"/>
      <c r="CQ106" s="139"/>
      <c r="CR106" s="139"/>
      <c r="CS106" s="139"/>
      <c r="CT106" s="139"/>
      <c r="CU106" s="139"/>
      <c r="CV106" s="139"/>
      <c r="CW106" s="139"/>
      <c r="CX106" s="139"/>
      <c r="CY106" s="139"/>
      <c r="CZ106" s="139"/>
      <c r="DA106" s="139"/>
      <c r="DB106" s="139"/>
      <c r="DC106" s="139"/>
      <c r="DD106" s="139"/>
      <c r="DE106" s="139"/>
      <c r="DF106" s="139"/>
      <c r="DG106" s="139"/>
      <c r="DH106" s="139"/>
      <c r="DI106" s="139"/>
      <c r="DJ106" s="139"/>
      <c r="DK106" s="139"/>
      <c r="DL106" s="139"/>
      <c r="DM106" s="139"/>
      <c r="DN106" s="139"/>
      <c r="DO106" s="139"/>
      <c r="DP106" s="139"/>
      <c r="DQ106" s="139"/>
      <c r="DR106" s="139"/>
      <c r="DS106" s="139"/>
      <c r="DT106" s="139"/>
      <c r="DU106" s="139"/>
      <c r="DV106" s="139"/>
      <c r="DW106" s="139"/>
      <c r="DX106" s="139"/>
      <c r="DY106" s="139"/>
      <c r="DZ106" s="139"/>
      <c r="EA106" s="139"/>
      <c r="EB106" s="139"/>
      <c r="EC106" s="139"/>
      <c r="ED106" s="139"/>
      <c r="EE106" s="139"/>
      <c r="EF106" s="139"/>
      <c r="EG106" s="139"/>
      <c r="EH106" s="139"/>
      <c r="EI106" s="139"/>
      <c r="EJ106" s="139"/>
      <c r="EK106" s="139"/>
      <c r="EL106" s="139"/>
      <c r="EM106" s="139"/>
      <c r="EN106" s="139"/>
      <c r="EO106" s="139"/>
      <c r="EP106" s="139"/>
      <c r="EQ106" s="139"/>
      <c r="ER106" s="139"/>
      <c r="ES106" s="139"/>
      <c r="ET106" s="139"/>
      <c r="EU106" s="139"/>
      <c r="EV106" s="139"/>
      <c r="EW106" s="139"/>
      <c r="EX106" s="139"/>
      <c r="EY106" s="139"/>
      <c r="EZ106" s="139"/>
      <c r="FA106" s="139"/>
      <c r="FB106" s="139"/>
      <c r="FC106" s="139"/>
      <c r="FD106" s="139"/>
      <c r="FE106" s="139"/>
      <c r="FF106" s="139"/>
      <c r="FG106" s="139"/>
      <c r="FH106" s="139"/>
      <c r="FI106" s="139"/>
      <c r="FJ106" s="139"/>
      <c r="FK106" s="139"/>
      <c r="FL106" s="139"/>
      <c r="FM106" s="139"/>
      <c r="FN106" s="139"/>
      <c r="FO106" s="139"/>
      <c r="FP106" s="139"/>
      <c r="FQ106" s="139"/>
      <c r="FR106" s="139"/>
      <c r="FS106" s="139"/>
      <c r="FT106" s="139"/>
      <c r="FU106" s="139"/>
      <c r="FV106" s="139"/>
      <c r="FW106" s="139"/>
      <c r="FX106" s="139"/>
      <c r="FY106" s="139"/>
      <c r="FZ106" s="139"/>
      <c r="GA106" s="139"/>
      <c r="GB106" s="139"/>
      <c r="GC106" s="139"/>
      <c r="GD106" s="139"/>
      <c r="GE106" s="139"/>
      <c r="GF106" s="139"/>
      <c r="GG106" s="139"/>
      <c r="GH106" s="139"/>
      <c r="GI106" s="139"/>
      <c r="GJ106" s="139"/>
      <c r="GK106" s="139"/>
      <c r="GL106" s="139"/>
      <c r="GM106" s="139"/>
      <c r="GN106" s="139"/>
      <c r="GO106" s="139"/>
      <c r="GP106" s="139"/>
      <c r="GQ106" s="139"/>
      <c r="GR106" s="139"/>
      <c r="GS106" s="139"/>
      <c r="GT106" s="139"/>
      <c r="GU106" s="139"/>
      <c r="GV106" s="139"/>
      <c r="GW106" s="139"/>
      <c r="GX106" s="139"/>
      <c r="GY106" s="139"/>
      <c r="GZ106" s="139"/>
      <c r="HA106" s="139"/>
      <c r="HB106" s="139"/>
      <c r="HC106" s="139"/>
      <c r="HD106" s="139"/>
      <c r="HE106" s="139"/>
      <c r="HF106" s="139"/>
      <c r="HG106" s="139"/>
      <c r="HH106" s="139"/>
      <c r="HI106" s="139"/>
      <c r="HJ106" s="139"/>
      <c r="HK106" s="139"/>
      <c r="HL106" s="139"/>
      <c r="HM106" s="139"/>
      <c r="HN106" s="139"/>
      <c r="HO106" s="139"/>
      <c r="HP106" s="139"/>
      <c r="HQ106" s="139"/>
      <c r="HR106" s="139"/>
      <c r="HS106" s="139"/>
      <c r="HT106" s="139"/>
      <c r="HU106" s="139"/>
      <c r="HV106" s="139"/>
      <c r="HW106" s="139"/>
      <c r="HX106" s="139"/>
      <c r="HY106" s="139"/>
      <c r="HZ106" s="139"/>
      <c r="IA106" s="139"/>
      <c r="IB106" s="139"/>
      <c r="IC106" s="139"/>
      <c r="ID106" s="139"/>
      <c r="IE106" s="139"/>
      <c r="IF106" s="139"/>
      <c r="IG106" s="139"/>
      <c r="IH106" s="139"/>
      <c r="II106" s="139"/>
      <c r="IJ106" s="139"/>
      <c r="IK106" s="139"/>
      <c r="IL106" s="139"/>
      <c r="IM106" s="139"/>
      <c r="IN106" s="139"/>
      <c r="IO106" s="139"/>
      <c r="IP106" s="139"/>
      <c r="IQ106" s="139"/>
      <c r="IR106" s="139"/>
      <c r="IS106" s="139"/>
      <c r="IT106" s="139"/>
      <c r="IU106" s="139"/>
      <c r="IV106" s="139"/>
    </row>
    <row r="107" spans="1:256" x14ac:dyDescent="0.25">
      <c r="A107" s="118" t="str">
        <f t="shared" si="1"/>
        <v>1/4ALMB DIA</v>
      </c>
      <c r="B107" s="136"/>
      <c r="C107" s="170"/>
      <c r="D107" s="182" t="s">
        <v>1108</v>
      </c>
      <c r="E107" s="182" t="s">
        <v>943</v>
      </c>
      <c r="F107" s="183" t="s">
        <v>1128</v>
      </c>
      <c r="G107" s="183" t="s">
        <v>1128</v>
      </c>
      <c r="H107" s="184">
        <v>0.25002999999999997</v>
      </c>
      <c r="I107" s="183" t="s">
        <v>716</v>
      </c>
      <c r="J107" s="183" t="s">
        <v>705</v>
      </c>
      <c r="K107" s="183" t="s">
        <v>1129</v>
      </c>
      <c r="L107" s="182" t="s">
        <v>1130</v>
      </c>
      <c r="M107" s="183" t="s">
        <v>136</v>
      </c>
      <c r="N107" s="185" t="s">
        <v>716</v>
      </c>
      <c r="O107" s="186" t="s">
        <v>831</v>
      </c>
      <c r="P107" s="186" t="s">
        <v>711</v>
      </c>
      <c r="Q107" s="183" t="s">
        <v>1123</v>
      </c>
      <c r="R107" s="183" t="s">
        <v>1131</v>
      </c>
      <c r="S107" s="183" t="s">
        <v>1097</v>
      </c>
      <c r="T107" s="183" t="s">
        <v>713</v>
      </c>
      <c r="U107" s="138"/>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c r="BA107" s="139"/>
      <c r="BB107" s="139"/>
      <c r="BC107" s="139"/>
      <c r="BD107" s="139"/>
      <c r="BE107" s="139"/>
      <c r="BF107" s="139"/>
      <c r="BG107" s="139"/>
      <c r="BH107" s="139"/>
      <c r="BI107" s="139"/>
      <c r="BJ107" s="139"/>
      <c r="BK107" s="139"/>
      <c r="BL107" s="139"/>
      <c r="BM107" s="139"/>
      <c r="BN107" s="139"/>
      <c r="BO107" s="139"/>
      <c r="BP107" s="139"/>
      <c r="BQ107" s="139"/>
      <c r="BR107" s="139"/>
      <c r="BS107" s="139"/>
      <c r="BT107" s="139"/>
      <c r="BU107" s="139"/>
      <c r="BV107" s="139"/>
      <c r="BW107" s="139"/>
      <c r="BX107" s="139"/>
      <c r="BY107" s="139"/>
      <c r="BZ107" s="139"/>
      <c r="CA107" s="139"/>
      <c r="CB107" s="139"/>
      <c r="CC107" s="139"/>
      <c r="CD107" s="139"/>
      <c r="CE107" s="139"/>
      <c r="CF107" s="139"/>
      <c r="CG107" s="139"/>
      <c r="CH107" s="139"/>
      <c r="CI107" s="139"/>
      <c r="CJ107" s="139"/>
      <c r="CK107" s="139"/>
      <c r="CL107" s="139"/>
      <c r="CM107" s="139"/>
      <c r="CN107" s="139"/>
      <c r="CO107" s="139"/>
      <c r="CP107" s="139"/>
      <c r="CQ107" s="139"/>
      <c r="CR107" s="139"/>
      <c r="CS107" s="139"/>
      <c r="CT107" s="139"/>
      <c r="CU107" s="139"/>
      <c r="CV107" s="139"/>
      <c r="CW107" s="139"/>
      <c r="CX107" s="139"/>
      <c r="CY107" s="139"/>
      <c r="CZ107" s="139"/>
      <c r="DA107" s="139"/>
      <c r="DB107" s="139"/>
      <c r="DC107" s="139"/>
      <c r="DD107" s="139"/>
      <c r="DE107" s="139"/>
      <c r="DF107" s="139"/>
      <c r="DG107" s="139"/>
      <c r="DH107" s="139"/>
      <c r="DI107" s="139"/>
      <c r="DJ107" s="139"/>
      <c r="DK107" s="139"/>
      <c r="DL107" s="139"/>
      <c r="DM107" s="139"/>
      <c r="DN107" s="139"/>
      <c r="DO107" s="139"/>
      <c r="DP107" s="139"/>
      <c r="DQ107" s="139"/>
      <c r="DR107" s="139"/>
      <c r="DS107" s="139"/>
      <c r="DT107" s="139"/>
      <c r="DU107" s="139"/>
      <c r="DV107" s="139"/>
      <c r="DW107" s="139"/>
      <c r="DX107" s="139"/>
      <c r="DY107" s="139"/>
      <c r="DZ107" s="139"/>
      <c r="EA107" s="139"/>
      <c r="EB107" s="139"/>
      <c r="EC107" s="139"/>
      <c r="ED107" s="139"/>
      <c r="EE107" s="139"/>
      <c r="EF107" s="139"/>
      <c r="EG107" s="139"/>
      <c r="EH107" s="139"/>
      <c r="EI107" s="139"/>
      <c r="EJ107" s="139"/>
      <c r="EK107" s="139"/>
      <c r="EL107" s="139"/>
      <c r="EM107" s="139"/>
      <c r="EN107" s="139"/>
      <c r="EO107" s="139"/>
      <c r="EP107" s="139"/>
      <c r="EQ107" s="139"/>
      <c r="ER107" s="139"/>
      <c r="ES107" s="139"/>
      <c r="ET107" s="139"/>
      <c r="EU107" s="139"/>
      <c r="EV107" s="139"/>
      <c r="EW107" s="139"/>
      <c r="EX107" s="139"/>
      <c r="EY107" s="139"/>
      <c r="EZ107" s="139"/>
      <c r="FA107" s="139"/>
      <c r="FB107" s="139"/>
      <c r="FC107" s="139"/>
      <c r="FD107" s="139"/>
      <c r="FE107" s="139"/>
      <c r="FF107" s="139"/>
      <c r="FG107" s="139"/>
      <c r="FH107" s="139"/>
      <c r="FI107" s="139"/>
      <c r="FJ107" s="139"/>
      <c r="FK107" s="139"/>
      <c r="FL107" s="139"/>
      <c r="FM107" s="139"/>
      <c r="FN107" s="139"/>
      <c r="FO107" s="139"/>
      <c r="FP107" s="139"/>
      <c r="FQ107" s="139"/>
      <c r="FR107" s="139"/>
      <c r="FS107" s="139"/>
      <c r="FT107" s="139"/>
      <c r="FU107" s="139"/>
      <c r="FV107" s="139"/>
      <c r="FW107" s="139"/>
      <c r="FX107" s="139"/>
      <c r="FY107" s="139"/>
      <c r="FZ107" s="139"/>
      <c r="GA107" s="139"/>
      <c r="GB107" s="139"/>
      <c r="GC107" s="139"/>
      <c r="GD107" s="139"/>
      <c r="GE107" s="139"/>
      <c r="GF107" s="139"/>
      <c r="GG107" s="139"/>
      <c r="GH107" s="139"/>
      <c r="GI107" s="139"/>
      <c r="GJ107" s="139"/>
      <c r="GK107" s="139"/>
      <c r="GL107" s="139"/>
      <c r="GM107" s="139"/>
      <c r="GN107" s="139"/>
      <c r="GO107" s="139"/>
      <c r="GP107" s="139"/>
      <c r="GQ107" s="139"/>
      <c r="GR107" s="139"/>
      <c r="GS107" s="139"/>
      <c r="GT107" s="139"/>
      <c r="GU107" s="139"/>
      <c r="GV107" s="139"/>
      <c r="GW107" s="139"/>
      <c r="GX107" s="139"/>
      <c r="GY107" s="139"/>
      <c r="GZ107" s="139"/>
      <c r="HA107" s="139"/>
      <c r="HB107" s="139"/>
      <c r="HC107" s="139"/>
      <c r="HD107" s="139"/>
      <c r="HE107" s="139"/>
      <c r="HF107" s="139"/>
      <c r="HG107" s="139"/>
      <c r="HH107" s="139"/>
      <c r="HI107" s="139"/>
      <c r="HJ107" s="139"/>
      <c r="HK107" s="139"/>
      <c r="HL107" s="139"/>
      <c r="HM107" s="139"/>
      <c r="HN107" s="139"/>
      <c r="HO107" s="139"/>
      <c r="HP107" s="139"/>
      <c r="HQ107" s="139"/>
      <c r="HR107" s="139"/>
      <c r="HS107" s="139"/>
      <c r="HT107" s="139"/>
      <c r="HU107" s="139"/>
      <c r="HV107" s="139"/>
      <c r="HW107" s="139"/>
      <c r="HX107" s="139"/>
      <c r="HY107" s="139"/>
      <c r="HZ107" s="139"/>
      <c r="IA107" s="139"/>
      <c r="IB107" s="139"/>
      <c r="IC107" s="139"/>
      <c r="ID107" s="139"/>
      <c r="IE107" s="139"/>
      <c r="IF107" s="139"/>
      <c r="IG107" s="139"/>
      <c r="IH107" s="139"/>
      <c r="II107" s="139"/>
      <c r="IJ107" s="139"/>
      <c r="IK107" s="139"/>
      <c r="IL107" s="139"/>
      <c r="IM107" s="139"/>
      <c r="IN107" s="139"/>
      <c r="IO107" s="139"/>
      <c r="IP107" s="139"/>
      <c r="IQ107" s="139"/>
      <c r="IR107" s="139"/>
      <c r="IS107" s="139"/>
      <c r="IT107" s="139"/>
      <c r="IU107" s="139"/>
      <c r="IV107" s="139"/>
    </row>
    <row r="108" spans="1:256" x14ac:dyDescent="0.25">
      <c r="A108" s="118" t="str">
        <f t="shared" si="1"/>
        <v>1/8SST304D</v>
      </c>
      <c r="B108" s="136"/>
      <c r="C108" s="170"/>
      <c r="D108" s="182" t="s">
        <v>1132</v>
      </c>
      <c r="E108" s="189" t="s">
        <v>977</v>
      </c>
      <c r="F108" s="190" t="s">
        <v>714</v>
      </c>
      <c r="G108" s="190" t="s">
        <v>714</v>
      </c>
      <c r="H108" s="191">
        <v>0.12501999999999999</v>
      </c>
      <c r="I108" s="187" t="s">
        <v>716</v>
      </c>
      <c r="J108" s="183" t="s">
        <v>705</v>
      </c>
      <c r="K108" s="183" t="s">
        <v>1133</v>
      </c>
      <c r="L108" s="182" t="s">
        <v>1134</v>
      </c>
      <c r="M108" s="183">
        <v>304</v>
      </c>
      <c r="N108" s="185" t="s">
        <v>861</v>
      </c>
      <c r="O108" s="186" t="s">
        <v>823</v>
      </c>
      <c r="P108" s="186" t="s">
        <v>711</v>
      </c>
      <c r="Q108" s="183" t="s">
        <v>1135</v>
      </c>
      <c r="R108" s="187" t="s">
        <v>1136</v>
      </c>
      <c r="S108" s="187" t="s">
        <v>1097</v>
      </c>
      <c r="T108" s="183" t="s">
        <v>713</v>
      </c>
      <c r="U108" s="138"/>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c r="BA108" s="139"/>
      <c r="BB108" s="139"/>
      <c r="BC108" s="139"/>
      <c r="BD108" s="139"/>
      <c r="BE108" s="139"/>
      <c r="BF108" s="139"/>
      <c r="BG108" s="139"/>
      <c r="BH108" s="139"/>
      <c r="BI108" s="139"/>
      <c r="BJ108" s="139"/>
      <c r="BK108" s="139"/>
      <c r="BL108" s="139"/>
      <c r="BM108" s="139"/>
      <c r="BN108" s="139"/>
      <c r="BO108" s="139"/>
      <c r="BP108" s="139"/>
      <c r="BQ108" s="139"/>
      <c r="BR108" s="139"/>
      <c r="BS108" s="139"/>
      <c r="BT108" s="139"/>
      <c r="BU108" s="139"/>
      <c r="BV108" s="139"/>
      <c r="BW108" s="139"/>
      <c r="BX108" s="139"/>
      <c r="BY108" s="139"/>
      <c r="BZ108" s="139"/>
      <c r="CA108" s="139"/>
      <c r="CB108" s="139"/>
      <c r="CC108" s="139"/>
      <c r="CD108" s="139"/>
      <c r="CE108" s="139"/>
      <c r="CF108" s="139"/>
      <c r="CG108" s="139"/>
      <c r="CH108" s="139"/>
      <c r="CI108" s="139"/>
      <c r="CJ108" s="139"/>
      <c r="CK108" s="139"/>
      <c r="CL108" s="139"/>
      <c r="CM108" s="139"/>
      <c r="CN108" s="139"/>
      <c r="CO108" s="139"/>
      <c r="CP108" s="139"/>
      <c r="CQ108" s="139"/>
      <c r="CR108" s="139"/>
      <c r="CS108" s="139"/>
      <c r="CT108" s="139"/>
      <c r="CU108" s="139"/>
      <c r="CV108" s="139"/>
      <c r="CW108" s="139"/>
      <c r="CX108" s="139"/>
      <c r="CY108" s="139"/>
      <c r="CZ108" s="139"/>
      <c r="DA108" s="139"/>
      <c r="DB108" s="139"/>
      <c r="DC108" s="139"/>
      <c r="DD108" s="139"/>
      <c r="DE108" s="139"/>
      <c r="DF108" s="139"/>
      <c r="DG108" s="139"/>
      <c r="DH108" s="139"/>
      <c r="DI108" s="139"/>
      <c r="DJ108" s="139"/>
      <c r="DK108" s="139"/>
      <c r="DL108" s="139"/>
      <c r="DM108" s="139"/>
      <c r="DN108" s="139"/>
      <c r="DO108" s="139"/>
      <c r="DP108" s="139"/>
      <c r="DQ108" s="139"/>
      <c r="DR108" s="139"/>
      <c r="DS108" s="139"/>
      <c r="DT108" s="139"/>
      <c r="DU108" s="139"/>
      <c r="DV108" s="139"/>
      <c r="DW108" s="139"/>
      <c r="DX108" s="139"/>
      <c r="DY108" s="139"/>
      <c r="DZ108" s="139"/>
      <c r="EA108" s="139"/>
      <c r="EB108" s="139"/>
      <c r="EC108" s="139"/>
      <c r="ED108" s="139"/>
      <c r="EE108" s="139"/>
      <c r="EF108" s="139"/>
      <c r="EG108" s="139"/>
      <c r="EH108" s="139"/>
      <c r="EI108" s="139"/>
      <c r="EJ108" s="139"/>
      <c r="EK108" s="139"/>
      <c r="EL108" s="139"/>
      <c r="EM108" s="139"/>
      <c r="EN108" s="139"/>
      <c r="EO108" s="139"/>
      <c r="EP108" s="139"/>
      <c r="EQ108" s="139"/>
      <c r="ER108" s="139"/>
      <c r="ES108" s="139"/>
      <c r="ET108" s="139"/>
      <c r="EU108" s="139"/>
      <c r="EV108" s="139"/>
      <c r="EW108" s="139"/>
      <c r="EX108" s="139"/>
      <c r="EY108" s="139"/>
      <c r="EZ108" s="139"/>
      <c r="FA108" s="139"/>
      <c r="FB108" s="139"/>
      <c r="FC108" s="139"/>
      <c r="FD108" s="139"/>
      <c r="FE108" s="139"/>
      <c r="FF108" s="139"/>
      <c r="FG108" s="139"/>
      <c r="FH108" s="139"/>
      <c r="FI108" s="139"/>
      <c r="FJ108" s="139"/>
      <c r="FK108" s="139"/>
      <c r="FL108" s="139"/>
      <c r="FM108" s="139"/>
      <c r="FN108" s="139"/>
      <c r="FO108" s="139"/>
      <c r="FP108" s="139"/>
      <c r="FQ108" s="139"/>
      <c r="FR108" s="139"/>
      <c r="FS108" s="139"/>
      <c r="FT108" s="139"/>
      <c r="FU108" s="139"/>
      <c r="FV108" s="139"/>
      <c r="FW108" s="139"/>
      <c r="FX108" s="139"/>
      <c r="FY108" s="139"/>
      <c r="FZ108" s="139"/>
      <c r="GA108" s="139"/>
      <c r="GB108" s="139"/>
      <c r="GC108" s="139"/>
      <c r="GD108" s="139"/>
      <c r="GE108" s="139"/>
      <c r="GF108" s="139"/>
      <c r="GG108" s="139"/>
      <c r="GH108" s="139"/>
      <c r="GI108" s="139"/>
      <c r="GJ108" s="139"/>
      <c r="GK108" s="139"/>
      <c r="GL108" s="139"/>
      <c r="GM108" s="139"/>
      <c r="GN108" s="139"/>
      <c r="GO108" s="139"/>
      <c r="GP108" s="139"/>
      <c r="GQ108" s="139"/>
      <c r="GR108" s="139"/>
      <c r="GS108" s="139"/>
      <c r="GT108" s="139"/>
      <c r="GU108" s="139"/>
      <c r="GV108" s="139"/>
      <c r="GW108" s="139"/>
      <c r="GX108" s="139"/>
      <c r="GY108" s="139"/>
      <c r="GZ108" s="139"/>
      <c r="HA108" s="139"/>
      <c r="HB108" s="139"/>
      <c r="HC108" s="139"/>
      <c r="HD108" s="139"/>
      <c r="HE108" s="139"/>
      <c r="HF108" s="139"/>
      <c r="HG108" s="139"/>
      <c r="HH108" s="139"/>
      <c r="HI108" s="139"/>
      <c r="HJ108" s="139"/>
      <c r="HK108" s="139"/>
      <c r="HL108" s="139"/>
      <c r="HM108" s="139"/>
      <c r="HN108" s="139"/>
      <c r="HO108" s="139"/>
      <c r="HP108" s="139"/>
      <c r="HQ108" s="139"/>
      <c r="HR108" s="139"/>
      <c r="HS108" s="139"/>
      <c r="HT108" s="139"/>
      <c r="HU108" s="139"/>
      <c r="HV108" s="139"/>
      <c r="HW108" s="139"/>
      <c r="HX108" s="139"/>
      <c r="HY108" s="139"/>
      <c r="HZ108" s="139"/>
      <c r="IA108" s="139"/>
      <c r="IB108" s="139"/>
      <c r="IC108" s="139"/>
      <c r="ID108" s="139"/>
      <c r="IE108" s="139"/>
      <c r="IF108" s="139"/>
      <c r="IG108" s="139"/>
      <c r="IH108" s="139"/>
      <c r="II108" s="139"/>
      <c r="IJ108" s="139"/>
      <c r="IK108" s="139"/>
      <c r="IL108" s="139"/>
      <c r="IM108" s="139"/>
      <c r="IN108" s="139"/>
      <c r="IO108" s="139"/>
      <c r="IP108" s="139"/>
      <c r="IQ108" s="139"/>
      <c r="IR108" s="139"/>
      <c r="IS108" s="139"/>
      <c r="IT108" s="139"/>
      <c r="IU108" s="139"/>
      <c r="IV108" s="139"/>
    </row>
    <row r="109" spans="1:256" ht="13.8" thickBot="1" x14ac:dyDescent="0.3">
      <c r="A109" s="141" t="str">
        <f t="shared" si="1"/>
        <v>3/16SST304D</v>
      </c>
      <c r="B109" s="136"/>
      <c r="C109" s="170"/>
      <c r="D109" s="192" t="s">
        <v>1132</v>
      </c>
      <c r="E109" s="193" t="s">
        <v>1117</v>
      </c>
      <c r="F109" s="194" t="s">
        <v>954</v>
      </c>
      <c r="G109" s="194" t="s">
        <v>954</v>
      </c>
      <c r="H109" s="195">
        <v>0.18804999999999999</v>
      </c>
      <c r="I109" s="196" t="s">
        <v>716</v>
      </c>
      <c r="J109" s="197" t="s">
        <v>705</v>
      </c>
      <c r="K109" s="197" t="s">
        <v>1137</v>
      </c>
      <c r="L109" s="192" t="s">
        <v>1138</v>
      </c>
      <c r="M109" s="197">
        <v>304</v>
      </c>
      <c r="N109" s="198" t="s">
        <v>861</v>
      </c>
      <c r="O109" s="199" t="s">
        <v>823</v>
      </c>
      <c r="P109" s="197" t="s">
        <v>711</v>
      </c>
      <c r="Q109" s="197" t="s">
        <v>1135</v>
      </c>
      <c r="R109" s="196" t="s">
        <v>1139</v>
      </c>
      <c r="S109" s="196" t="s">
        <v>1097</v>
      </c>
      <c r="T109" s="197" t="s">
        <v>713</v>
      </c>
      <c r="U109" s="138"/>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c r="BA109" s="139"/>
      <c r="BB109" s="139"/>
      <c r="BC109" s="139"/>
      <c r="BD109" s="139"/>
      <c r="BE109" s="139"/>
      <c r="BF109" s="139"/>
      <c r="BG109" s="139"/>
      <c r="BH109" s="139"/>
      <c r="BI109" s="139"/>
      <c r="BJ109" s="139"/>
      <c r="BK109" s="139"/>
      <c r="BL109" s="139"/>
      <c r="BM109" s="139"/>
      <c r="BN109" s="139"/>
      <c r="BO109" s="139"/>
      <c r="BP109" s="139"/>
      <c r="BQ109" s="139"/>
      <c r="BR109" s="139"/>
      <c r="BS109" s="139"/>
      <c r="BT109" s="139"/>
      <c r="BU109" s="139"/>
      <c r="BV109" s="139"/>
      <c r="BW109" s="139"/>
      <c r="BX109" s="139"/>
      <c r="BY109" s="139"/>
      <c r="BZ109" s="139"/>
      <c r="CA109" s="139"/>
      <c r="CB109" s="139"/>
      <c r="CC109" s="139"/>
      <c r="CD109" s="139"/>
      <c r="CE109" s="139"/>
      <c r="CF109" s="139"/>
      <c r="CG109" s="139"/>
      <c r="CH109" s="139"/>
      <c r="CI109" s="139"/>
      <c r="CJ109" s="139"/>
      <c r="CK109" s="139"/>
      <c r="CL109" s="139"/>
      <c r="CM109" s="139"/>
      <c r="CN109" s="139"/>
      <c r="CO109" s="139"/>
      <c r="CP109" s="139"/>
      <c r="CQ109" s="139"/>
      <c r="CR109" s="139"/>
      <c r="CS109" s="139"/>
      <c r="CT109" s="139"/>
      <c r="CU109" s="139"/>
      <c r="CV109" s="139"/>
      <c r="CW109" s="139"/>
      <c r="CX109" s="139"/>
      <c r="CY109" s="139"/>
      <c r="CZ109" s="139"/>
      <c r="DA109" s="139"/>
      <c r="DB109" s="139"/>
      <c r="DC109" s="139"/>
      <c r="DD109" s="139"/>
      <c r="DE109" s="139"/>
      <c r="DF109" s="139"/>
      <c r="DG109" s="139"/>
      <c r="DH109" s="139"/>
      <c r="DI109" s="139"/>
      <c r="DJ109" s="139"/>
      <c r="DK109" s="139"/>
      <c r="DL109" s="139"/>
      <c r="DM109" s="139"/>
      <c r="DN109" s="139"/>
      <c r="DO109" s="139"/>
      <c r="DP109" s="139"/>
      <c r="DQ109" s="139"/>
      <c r="DR109" s="139"/>
      <c r="DS109" s="139"/>
      <c r="DT109" s="139"/>
      <c r="DU109" s="139"/>
      <c r="DV109" s="139"/>
      <c r="DW109" s="139"/>
      <c r="DX109" s="139"/>
      <c r="DY109" s="139"/>
      <c r="DZ109" s="139"/>
      <c r="EA109" s="139"/>
      <c r="EB109" s="139"/>
      <c r="EC109" s="139"/>
      <c r="ED109" s="139"/>
      <c r="EE109" s="139"/>
      <c r="EF109" s="139"/>
      <c r="EG109" s="139"/>
      <c r="EH109" s="139"/>
      <c r="EI109" s="139"/>
      <c r="EJ109" s="139"/>
      <c r="EK109" s="139"/>
      <c r="EL109" s="139"/>
      <c r="EM109" s="139"/>
      <c r="EN109" s="139"/>
      <c r="EO109" s="139"/>
      <c r="EP109" s="139"/>
      <c r="EQ109" s="139"/>
      <c r="ER109" s="139"/>
      <c r="ES109" s="139"/>
      <c r="ET109" s="139"/>
      <c r="EU109" s="139"/>
      <c r="EV109" s="139"/>
      <c r="EW109" s="139"/>
      <c r="EX109" s="139"/>
      <c r="EY109" s="139"/>
      <c r="EZ109" s="139"/>
      <c r="FA109" s="139"/>
      <c r="FB109" s="139"/>
      <c r="FC109" s="139"/>
      <c r="FD109" s="139"/>
      <c r="FE109" s="139"/>
      <c r="FF109" s="139"/>
      <c r="FG109" s="139"/>
      <c r="FH109" s="139"/>
      <c r="FI109" s="139"/>
      <c r="FJ109" s="139"/>
      <c r="FK109" s="139"/>
      <c r="FL109" s="139"/>
      <c r="FM109" s="139"/>
      <c r="FN109" s="139"/>
      <c r="FO109" s="139"/>
      <c r="FP109" s="139"/>
      <c r="FQ109" s="139"/>
      <c r="FR109" s="139"/>
      <c r="FS109" s="139"/>
      <c r="FT109" s="139"/>
      <c r="FU109" s="139"/>
      <c r="FV109" s="139"/>
      <c r="FW109" s="139"/>
      <c r="FX109" s="139"/>
      <c r="FY109" s="139"/>
      <c r="FZ109" s="139"/>
      <c r="GA109" s="139"/>
      <c r="GB109" s="139"/>
      <c r="GC109" s="139"/>
      <c r="GD109" s="139"/>
      <c r="GE109" s="139"/>
      <c r="GF109" s="139"/>
      <c r="GG109" s="139"/>
      <c r="GH109" s="139"/>
      <c r="GI109" s="139"/>
      <c r="GJ109" s="139"/>
      <c r="GK109" s="139"/>
      <c r="GL109" s="139"/>
      <c r="GM109" s="139"/>
      <c r="GN109" s="139"/>
      <c r="GO109" s="139"/>
      <c r="GP109" s="139"/>
      <c r="GQ109" s="139"/>
      <c r="GR109" s="139"/>
      <c r="GS109" s="139"/>
      <c r="GT109" s="139"/>
      <c r="GU109" s="139"/>
      <c r="GV109" s="139"/>
      <c r="GW109" s="139"/>
      <c r="GX109" s="139"/>
      <c r="GY109" s="139"/>
      <c r="GZ109" s="139"/>
      <c r="HA109" s="139"/>
      <c r="HB109" s="139"/>
      <c r="HC109" s="139"/>
      <c r="HD109" s="139"/>
      <c r="HE109" s="139"/>
      <c r="HF109" s="139"/>
      <c r="HG109" s="139"/>
      <c r="HH109" s="139"/>
      <c r="HI109" s="139"/>
      <c r="HJ109" s="139"/>
      <c r="HK109" s="139"/>
      <c r="HL109" s="139"/>
      <c r="HM109" s="139"/>
      <c r="HN109" s="139"/>
      <c r="HO109" s="139"/>
      <c r="HP109" s="139"/>
      <c r="HQ109" s="139"/>
      <c r="HR109" s="139"/>
      <c r="HS109" s="139"/>
      <c r="HT109" s="139"/>
      <c r="HU109" s="139"/>
      <c r="HV109" s="139"/>
      <c r="HW109" s="139"/>
      <c r="HX109" s="139"/>
      <c r="HY109" s="139"/>
      <c r="HZ109" s="139"/>
      <c r="IA109" s="139"/>
      <c r="IB109" s="139"/>
      <c r="IC109" s="139"/>
      <c r="ID109" s="139"/>
      <c r="IE109" s="139"/>
      <c r="IF109" s="139"/>
      <c r="IG109" s="139"/>
      <c r="IH109" s="139"/>
      <c r="II109" s="139"/>
      <c r="IJ109" s="139"/>
      <c r="IK109" s="139"/>
      <c r="IL109" s="139"/>
      <c r="IM109" s="139"/>
      <c r="IN109" s="139"/>
      <c r="IO109" s="139"/>
      <c r="IP109" s="139"/>
      <c r="IQ109" s="139"/>
      <c r="IR109" s="139"/>
      <c r="IS109" s="139"/>
      <c r="IT109" s="139"/>
      <c r="IU109" s="139"/>
      <c r="IV109" s="139"/>
    </row>
    <row r="110" spans="1:256" ht="18" customHeight="1" thickTop="1" thickBot="1" x14ac:dyDescent="0.3">
      <c r="A110" s="148" t="str">
        <f t="shared" si="1"/>
        <v/>
      </c>
      <c r="B110" s="136"/>
      <c r="C110" s="149"/>
      <c r="D110" s="150"/>
      <c r="E110" s="150"/>
      <c r="F110" s="150"/>
      <c r="G110" s="150"/>
      <c r="H110" s="150"/>
      <c r="I110" s="150"/>
      <c r="J110" s="150"/>
      <c r="K110" s="150"/>
      <c r="L110" s="150"/>
      <c r="M110" s="151"/>
      <c r="N110" s="151"/>
      <c r="O110" s="151"/>
      <c r="P110" s="151"/>
      <c r="Q110" s="151"/>
      <c r="R110" s="151"/>
      <c r="S110" s="151"/>
      <c r="T110" s="171"/>
      <c r="U110" s="138"/>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39"/>
      <c r="BA110" s="139"/>
      <c r="BB110" s="139"/>
      <c r="BC110" s="139"/>
      <c r="BD110" s="139"/>
      <c r="BE110" s="139"/>
      <c r="BF110" s="139"/>
      <c r="BG110" s="139"/>
      <c r="BH110" s="139"/>
      <c r="BI110" s="139"/>
      <c r="BJ110" s="139"/>
      <c r="BK110" s="139"/>
      <c r="BL110" s="139"/>
      <c r="BM110" s="139"/>
      <c r="BN110" s="139"/>
      <c r="BO110" s="139"/>
      <c r="BP110" s="139"/>
      <c r="BQ110" s="139"/>
      <c r="BR110" s="139"/>
      <c r="BS110" s="139"/>
      <c r="BT110" s="139"/>
      <c r="BU110" s="139"/>
      <c r="BV110" s="139"/>
      <c r="BW110" s="139"/>
      <c r="BX110" s="139"/>
      <c r="BY110" s="139"/>
      <c r="BZ110" s="139"/>
      <c r="CA110" s="139"/>
      <c r="CB110" s="139"/>
      <c r="CC110" s="139"/>
      <c r="CD110" s="139"/>
      <c r="CE110" s="139"/>
      <c r="CF110" s="139"/>
      <c r="CG110" s="139"/>
      <c r="CH110" s="139"/>
      <c r="CI110" s="139"/>
      <c r="CJ110" s="139"/>
      <c r="CK110" s="139"/>
      <c r="CL110" s="139"/>
      <c r="CM110" s="139"/>
      <c r="CN110" s="139"/>
      <c r="CO110" s="139"/>
      <c r="CP110" s="139"/>
      <c r="CQ110" s="139"/>
      <c r="CR110" s="139"/>
      <c r="CS110" s="139"/>
      <c r="CT110" s="139"/>
      <c r="CU110" s="139"/>
      <c r="CV110" s="139"/>
      <c r="CW110" s="139"/>
      <c r="CX110" s="139"/>
      <c r="CY110" s="139"/>
      <c r="CZ110" s="139"/>
      <c r="DA110" s="139"/>
      <c r="DB110" s="139"/>
      <c r="DC110" s="139"/>
      <c r="DD110" s="139"/>
      <c r="DE110" s="139"/>
      <c r="DF110" s="139"/>
      <c r="DG110" s="139"/>
      <c r="DH110" s="139"/>
      <c r="DI110" s="139"/>
      <c r="DJ110" s="139"/>
      <c r="DK110" s="139"/>
      <c r="DL110" s="139"/>
      <c r="DM110" s="139"/>
      <c r="DN110" s="139"/>
      <c r="DO110" s="139"/>
      <c r="DP110" s="139"/>
      <c r="DQ110" s="139"/>
      <c r="DR110" s="139"/>
      <c r="DS110" s="139"/>
      <c r="DT110" s="139"/>
      <c r="DU110" s="139"/>
      <c r="DV110" s="139"/>
      <c r="DW110" s="139"/>
      <c r="DX110" s="139"/>
      <c r="DY110" s="139"/>
      <c r="DZ110" s="139"/>
      <c r="EA110" s="139"/>
      <c r="EB110" s="139"/>
      <c r="EC110" s="139"/>
      <c r="ED110" s="139"/>
      <c r="EE110" s="139"/>
      <c r="EF110" s="139"/>
      <c r="EG110" s="139"/>
      <c r="EH110" s="139"/>
      <c r="EI110" s="139"/>
      <c r="EJ110" s="139"/>
      <c r="EK110" s="139"/>
      <c r="EL110" s="139"/>
      <c r="EM110" s="139"/>
      <c r="EN110" s="139"/>
      <c r="EO110" s="139"/>
      <c r="EP110" s="139"/>
      <c r="EQ110" s="139"/>
      <c r="ER110" s="139"/>
      <c r="ES110" s="139"/>
      <c r="ET110" s="139"/>
      <c r="EU110" s="139"/>
      <c r="EV110" s="139"/>
      <c r="EW110" s="139"/>
      <c r="EX110" s="139"/>
      <c r="EY110" s="139"/>
      <c r="EZ110" s="139"/>
      <c r="FA110" s="139"/>
      <c r="FB110" s="139"/>
      <c r="FC110" s="139"/>
      <c r="FD110" s="139"/>
      <c r="FE110" s="139"/>
      <c r="FF110" s="139"/>
      <c r="FG110" s="139"/>
      <c r="FH110" s="139"/>
      <c r="FI110" s="139"/>
      <c r="FJ110" s="139"/>
      <c r="FK110" s="139"/>
      <c r="FL110" s="139"/>
      <c r="FM110" s="139"/>
      <c r="FN110" s="139"/>
      <c r="FO110" s="139"/>
      <c r="FP110" s="139"/>
      <c r="FQ110" s="139"/>
      <c r="FR110" s="139"/>
      <c r="FS110" s="139"/>
      <c r="FT110" s="139"/>
      <c r="FU110" s="139"/>
      <c r="FV110" s="139"/>
      <c r="FW110" s="139"/>
      <c r="FX110" s="139"/>
      <c r="FY110" s="139"/>
      <c r="FZ110" s="139"/>
      <c r="GA110" s="139"/>
      <c r="GB110" s="139"/>
      <c r="GC110" s="139"/>
      <c r="GD110" s="139"/>
      <c r="GE110" s="139"/>
      <c r="GF110" s="139"/>
      <c r="GG110" s="139"/>
      <c r="GH110" s="139"/>
      <c r="GI110" s="139"/>
      <c r="GJ110" s="139"/>
      <c r="GK110" s="139"/>
      <c r="GL110" s="139"/>
      <c r="GM110" s="139"/>
      <c r="GN110" s="139"/>
      <c r="GO110" s="139"/>
      <c r="GP110" s="139"/>
      <c r="GQ110" s="139"/>
      <c r="GR110" s="139"/>
      <c r="GS110" s="139"/>
      <c r="GT110" s="139"/>
      <c r="GU110" s="139"/>
      <c r="GV110" s="139"/>
      <c r="GW110" s="139"/>
      <c r="GX110" s="139"/>
      <c r="GY110" s="139"/>
      <c r="GZ110" s="139"/>
      <c r="HA110" s="139"/>
      <c r="HB110" s="139"/>
      <c r="HC110" s="139"/>
      <c r="HD110" s="139"/>
      <c r="HE110" s="139"/>
      <c r="HF110" s="139"/>
      <c r="HG110" s="139"/>
      <c r="HH110" s="139"/>
      <c r="HI110" s="139"/>
      <c r="HJ110" s="139"/>
      <c r="HK110" s="139"/>
      <c r="HL110" s="139"/>
      <c r="HM110" s="139"/>
      <c r="HN110" s="139"/>
      <c r="HO110" s="139"/>
      <c r="HP110" s="139"/>
      <c r="HQ110" s="139"/>
      <c r="HR110" s="139"/>
      <c r="HS110" s="139"/>
      <c r="HT110" s="139"/>
      <c r="HU110" s="139"/>
      <c r="HV110" s="139"/>
      <c r="HW110" s="139"/>
      <c r="HX110" s="139"/>
      <c r="HY110" s="139"/>
      <c r="HZ110" s="139"/>
      <c r="IA110" s="139"/>
      <c r="IB110" s="139"/>
      <c r="IC110" s="139"/>
      <c r="ID110" s="139"/>
      <c r="IE110" s="139"/>
      <c r="IF110" s="139"/>
      <c r="IG110" s="139"/>
      <c r="IH110" s="139"/>
      <c r="II110" s="139"/>
      <c r="IJ110" s="139"/>
      <c r="IK110" s="139"/>
      <c r="IL110" s="139"/>
      <c r="IM110" s="139"/>
      <c r="IN110" s="139"/>
      <c r="IO110" s="139"/>
      <c r="IP110" s="139"/>
      <c r="IQ110" s="139"/>
      <c r="IR110" s="139"/>
      <c r="IS110" s="139"/>
      <c r="IT110" s="139"/>
      <c r="IU110" s="139"/>
      <c r="IV110" s="139"/>
    </row>
    <row r="111" spans="1:256" ht="16.8" thickTop="1" thickBot="1" x14ac:dyDescent="0.3">
      <c r="A111" s="148" t="str">
        <f t="shared" si="1"/>
        <v/>
      </c>
      <c r="B111" s="136"/>
      <c r="C111" s="172" t="s">
        <v>1140</v>
      </c>
      <c r="D111" s="139"/>
      <c r="E111" s="139"/>
      <c r="F111" s="139"/>
      <c r="G111" s="139"/>
      <c r="H111" s="139"/>
      <c r="I111" s="139"/>
      <c r="J111" s="139"/>
      <c r="K111" s="139"/>
      <c r="L111" s="139"/>
      <c r="M111" s="153"/>
      <c r="N111" s="153"/>
      <c r="O111" s="153"/>
      <c r="P111" s="153"/>
      <c r="Q111" s="153"/>
      <c r="R111" s="153"/>
      <c r="S111" s="153"/>
      <c r="T111" s="153"/>
      <c r="U111" s="138"/>
      <c r="V111" s="139"/>
      <c r="W111" s="139"/>
      <c r="X111" s="139"/>
      <c r="Y111" s="139"/>
      <c r="Z111" s="139"/>
      <c r="AA111" s="139"/>
      <c r="AB111" s="139"/>
      <c r="AC111" s="139"/>
      <c r="AD111" s="139"/>
      <c r="AE111" s="139"/>
      <c r="AF111" s="139"/>
      <c r="AG111" s="139"/>
      <c r="AH111" s="139"/>
      <c r="AI111" s="139"/>
      <c r="AJ111" s="139"/>
      <c r="AK111" s="139"/>
      <c r="AL111" s="139"/>
      <c r="AM111" s="139"/>
      <c r="AN111" s="139"/>
      <c r="AO111" s="139"/>
      <c r="AP111" s="139"/>
      <c r="AQ111" s="139"/>
      <c r="AR111" s="139"/>
      <c r="AS111" s="139"/>
      <c r="AT111" s="139"/>
      <c r="AU111" s="139"/>
      <c r="AV111" s="139"/>
      <c r="AW111" s="139"/>
      <c r="AX111" s="139"/>
      <c r="AY111" s="139"/>
      <c r="AZ111" s="139"/>
      <c r="BA111" s="139"/>
      <c r="BB111" s="139"/>
      <c r="BC111" s="139"/>
      <c r="BD111" s="139"/>
      <c r="BE111" s="139"/>
      <c r="BF111" s="139"/>
      <c r="BG111" s="139"/>
      <c r="BH111" s="139"/>
      <c r="BI111" s="139"/>
      <c r="BJ111" s="139"/>
      <c r="BK111" s="139"/>
      <c r="BL111" s="139"/>
      <c r="BM111" s="139"/>
      <c r="BN111" s="139"/>
      <c r="BO111" s="139"/>
      <c r="BP111" s="139"/>
      <c r="BQ111" s="139"/>
      <c r="BR111" s="139"/>
      <c r="BS111" s="139"/>
      <c r="BT111" s="139"/>
      <c r="BU111" s="139"/>
      <c r="BV111" s="139"/>
      <c r="BW111" s="139"/>
      <c r="BX111" s="139"/>
      <c r="BY111" s="139"/>
      <c r="BZ111" s="139"/>
      <c r="CA111" s="139"/>
      <c r="CB111" s="139"/>
      <c r="CC111" s="139"/>
      <c r="CD111" s="139"/>
      <c r="CE111" s="139"/>
      <c r="CF111" s="139"/>
      <c r="CG111" s="139"/>
      <c r="CH111" s="139"/>
      <c r="CI111" s="139"/>
      <c r="CJ111" s="139"/>
      <c r="CK111" s="139"/>
      <c r="CL111" s="139"/>
      <c r="CM111" s="139"/>
      <c r="CN111" s="139"/>
      <c r="CO111" s="139"/>
      <c r="CP111" s="139"/>
      <c r="CQ111" s="139"/>
      <c r="CR111" s="139"/>
      <c r="CS111" s="139"/>
      <c r="CT111" s="139"/>
      <c r="CU111" s="139"/>
      <c r="CV111" s="139"/>
      <c r="CW111" s="139"/>
      <c r="CX111" s="139"/>
      <c r="CY111" s="139"/>
      <c r="CZ111" s="139"/>
      <c r="DA111" s="139"/>
      <c r="DB111" s="139"/>
      <c r="DC111" s="139"/>
      <c r="DD111" s="139"/>
      <c r="DE111" s="139"/>
      <c r="DF111" s="139"/>
      <c r="DG111" s="139"/>
      <c r="DH111" s="139"/>
      <c r="DI111" s="139"/>
      <c r="DJ111" s="139"/>
      <c r="DK111" s="139"/>
      <c r="DL111" s="139"/>
      <c r="DM111" s="139"/>
      <c r="DN111" s="139"/>
      <c r="DO111" s="139"/>
      <c r="DP111" s="139"/>
      <c r="DQ111" s="139"/>
      <c r="DR111" s="139"/>
      <c r="DS111" s="139"/>
      <c r="DT111" s="139"/>
      <c r="DU111" s="139"/>
      <c r="DV111" s="139"/>
      <c r="DW111" s="139"/>
      <c r="DX111" s="139"/>
      <c r="DY111" s="139"/>
      <c r="DZ111" s="139"/>
      <c r="EA111" s="139"/>
      <c r="EB111" s="139"/>
      <c r="EC111" s="139"/>
      <c r="ED111" s="139"/>
      <c r="EE111" s="139"/>
      <c r="EF111" s="139"/>
      <c r="EG111" s="139"/>
      <c r="EH111" s="139"/>
      <c r="EI111" s="139"/>
      <c r="EJ111" s="139"/>
      <c r="EK111" s="139"/>
      <c r="EL111" s="139"/>
      <c r="EM111" s="139"/>
      <c r="EN111" s="139"/>
      <c r="EO111" s="139"/>
      <c r="EP111" s="139"/>
      <c r="EQ111" s="139"/>
      <c r="ER111" s="139"/>
      <c r="ES111" s="139"/>
      <c r="ET111" s="139"/>
      <c r="EU111" s="139"/>
      <c r="EV111" s="139"/>
      <c r="EW111" s="139"/>
      <c r="EX111" s="139"/>
      <c r="EY111" s="139"/>
      <c r="EZ111" s="139"/>
      <c r="FA111" s="139"/>
      <c r="FB111" s="139"/>
      <c r="FC111" s="139"/>
      <c r="FD111" s="139"/>
      <c r="FE111" s="139"/>
      <c r="FF111" s="139"/>
      <c r="FG111" s="139"/>
      <c r="FH111" s="139"/>
      <c r="FI111" s="139"/>
      <c r="FJ111" s="139"/>
      <c r="FK111" s="139"/>
      <c r="FL111" s="139"/>
      <c r="FM111" s="139"/>
      <c r="FN111" s="139"/>
      <c r="FO111" s="139"/>
      <c r="FP111" s="139"/>
      <c r="FQ111" s="139"/>
      <c r="FR111" s="139"/>
      <c r="FS111" s="139"/>
      <c r="FT111" s="139"/>
      <c r="FU111" s="139"/>
      <c r="FV111" s="139"/>
      <c r="FW111" s="139"/>
      <c r="FX111" s="139"/>
      <c r="FY111" s="139"/>
      <c r="FZ111" s="139"/>
      <c r="GA111" s="139"/>
      <c r="GB111" s="139"/>
      <c r="GC111" s="139"/>
      <c r="GD111" s="139"/>
      <c r="GE111" s="139"/>
      <c r="GF111" s="139"/>
      <c r="GG111" s="139"/>
      <c r="GH111" s="139"/>
      <c r="GI111" s="139"/>
      <c r="GJ111" s="139"/>
      <c r="GK111" s="139"/>
      <c r="GL111" s="139"/>
      <c r="GM111" s="139"/>
      <c r="GN111" s="139"/>
      <c r="GO111" s="139"/>
      <c r="GP111" s="139"/>
      <c r="GQ111" s="139"/>
      <c r="GR111" s="139"/>
      <c r="GS111" s="139"/>
      <c r="GT111" s="139"/>
      <c r="GU111" s="139"/>
      <c r="GV111" s="139"/>
      <c r="GW111" s="139"/>
      <c r="GX111" s="139"/>
      <c r="GY111" s="139"/>
      <c r="GZ111" s="139"/>
      <c r="HA111" s="139"/>
      <c r="HB111" s="139"/>
      <c r="HC111" s="139"/>
      <c r="HD111" s="139"/>
      <c r="HE111" s="139"/>
      <c r="HF111" s="139"/>
      <c r="HG111" s="139"/>
      <c r="HH111" s="139"/>
      <c r="HI111" s="139"/>
      <c r="HJ111" s="139"/>
      <c r="HK111" s="139"/>
      <c r="HL111" s="139"/>
      <c r="HM111" s="139"/>
      <c r="HN111" s="139"/>
      <c r="HO111" s="139"/>
      <c r="HP111" s="139"/>
      <c r="HQ111" s="139"/>
      <c r="HR111" s="139"/>
      <c r="HS111" s="139"/>
      <c r="HT111" s="139"/>
      <c r="HU111" s="139"/>
      <c r="HV111" s="139"/>
      <c r="HW111" s="139"/>
      <c r="HX111" s="139"/>
      <c r="HY111" s="139"/>
      <c r="HZ111" s="139"/>
      <c r="IA111" s="139"/>
      <c r="IB111" s="139"/>
      <c r="IC111" s="139"/>
      <c r="ID111" s="139"/>
      <c r="IE111" s="139"/>
      <c r="IF111" s="139"/>
      <c r="IG111" s="139"/>
      <c r="IH111" s="139"/>
      <c r="II111" s="139"/>
      <c r="IJ111" s="139"/>
      <c r="IK111" s="139"/>
      <c r="IL111" s="139"/>
      <c r="IM111" s="139"/>
      <c r="IN111" s="139"/>
      <c r="IO111" s="139"/>
      <c r="IP111" s="139"/>
      <c r="IQ111" s="139"/>
      <c r="IR111" s="139"/>
      <c r="IS111" s="139"/>
      <c r="IT111" s="139"/>
      <c r="IU111" s="139"/>
      <c r="IV111" s="139"/>
    </row>
    <row r="112" spans="1:256" ht="18" customHeight="1" thickTop="1" thickBot="1" x14ac:dyDescent="0.3">
      <c r="A112" s="200" t="str">
        <f t="shared" si="1"/>
        <v>20GALV CORA</v>
      </c>
      <c r="B112" s="136"/>
      <c r="C112" s="170"/>
      <c r="D112" s="201" t="s">
        <v>1141</v>
      </c>
      <c r="E112" s="201">
        <v>20</v>
      </c>
      <c r="F112" s="202" t="s">
        <v>737</v>
      </c>
      <c r="G112" s="202" t="s">
        <v>737</v>
      </c>
      <c r="H112" s="203">
        <v>3.4029999999999998E-2</v>
      </c>
      <c r="I112" s="202" t="s">
        <v>704</v>
      </c>
      <c r="J112" s="202" t="s">
        <v>716</v>
      </c>
      <c r="K112" s="204" t="s">
        <v>1142</v>
      </c>
      <c r="L112" s="201" t="s">
        <v>1143</v>
      </c>
      <c r="M112" s="202" t="s">
        <v>708</v>
      </c>
      <c r="N112" s="200" t="s">
        <v>716</v>
      </c>
      <c r="O112" s="202" t="s">
        <v>1144</v>
      </c>
      <c r="P112" s="202" t="s">
        <v>711</v>
      </c>
      <c r="Q112" s="202" t="s">
        <v>1145</v>
      </c>
      <c r="R112" s="200" t="s">
        <v>1146</v>
      </c>
      <c r="S112" s="202" t="s">
        <v>1147</v>
      </c>
      <c r="T112" s="202" t="s">
        <v>713</v>
      </c>
      <c r="U112" s="138"/>
      <c r="V112" s="139"/>
      <c r="W112" s="139"/>
      <c r="X112" s="139"/>
      <c r="Y112" s="139"/>
      <c r="Z112" s="139"/>
      <c r="AA112" s="139"/>
      <c r="AB112" s="139"/>
      <c r="AC112" s="139"/>
      <c r="AD112" s="139"/>
      <c r="AE112" s="139"/>
      <c r="AF112" s="139"/>
      <c r="AG112" s="139"/>
      <c r="AH112" s="139"/>
      <c r="AI112" s="139"/>
      <c r="AJ112" s="139"/>
      <c r="AK112" s="139"/>
      <c r="AL112" s="139"/>
      <c r="AM112" s="139"/>
      <c r="AN112" s="139"/>
      <c r="AO112" s="139"/>
      <c r="AP112" s="139"/>
      <c r="AQ112" s="139"/>
      <c r="AR112" s="139"/>
      <c r="AS112" s="139"/>
      <c r="AT112" s="139"/>
      <c r="AU112" s="139"/>
      <c r="AV112" s="139"/>
      <c r="AW112" s="139"/>
      <c r="AX112" s="139"/>
      <c r="AY112" s="139"/>
      <c r="AZ112" s="139"/>
      <c r="BA112" s="139"/>
      <c r="BB112" s="139"/>
      <c r="BC112" s="139"/>
      <c r="BD112" s="139"/>
      <c r="BE112" s="139"/>
      <c r="BF112" s="139"/>
      <c r="BG112" s="139"/>
      <c r="BH112" s="139"/>
      <c r="BI112" s="139"/>
      <c r="BJ112" s="139"/>
      <c r="BK112" s="139"/>
      <c r="BL112" s="139"/>
      <c r="BM112" s="139"/>
      <c r="BN112" s="139"/>
      <c r="BO112" s="139"/>
      <c r="BP112" s="139"/>
      <c r="BQ112" s="139"/>
      <c r="BR112" s="139"/>
      <c r="BS112" s="139"/>
      <c r="BT112" s="139"/>
      <c r="BU112" s="139"/>
      <c r="BV112" s="139"/>
      <c r="BW112" s="139"/>
      <c r="BX112" s="139"/>
      <c r="BY112" s="139"/>
      <c r="BZ112" s="139"/>
      <c r="CA112" s="139"/>
      <c r="CB112" s="139"/>
      <c r="CC112" s="139"/>
      <c r="CD112" s="139"/>
      <c r="CE112" s="139"/>
      <c r="CF112" s="139"/>
      <c r="CG112" s="139"/>
      <c r="CH112" s="139"/>
      <c r="CI112" s="139"/>
      <c r="CJ112" s="139"/>
      <c r="CK112" s="139"/>
      <c r="CL112" s="139"/>
      <c r="CM112" s="139"/>
      <c r="CN112" s="139"/>
      <c r="CO112" s="139"/>
      <c r="CP112" s="139"/>
      <c r="CQ112" s="139"/>
      <c r="CR112" s="139"/>
      <c r="CS112" s="139"/>
      <c r="CT112" s="139"/>
      <c r="CU112" s="139"/>
      <c r="CV112" s="139"/>
      <c r="CW112" s="139"/>
      <c r="CX112" s="139"/>
      <c r="CY112" s="139"/>
      <c r="CZ112" s="139"/>
      <c r="DA112" s="139"/>
      <c r="DB112" s="139"/>
      <c r="DC112" s="139"/>
      <c r="DD112" s="139"/>
      <c r="DE112" s="139"/>
      <c r="DF112" s="139"/>
      <c r="DG112" s="139"/>
      <c r="DH112" s="139"/>
      <c r="DI112" s="139"/>
      <c r="DJ112" s="139"/>
      <c r="DK112" s="139"/>
      <c r="DL112" s="139"/>
      <c r="DM112" s="139"/>
      <c r="DN112" s="139"/>
      <c r="DO112" s="139"/>
      <c r="DP112" s="139"/>
      <c r="DQ112" s="139"/>
      <c r="DR112" s="139"/>
      <c r="DS112" s="139"/>
      <c r="DT112" s="139"/>
      <c r="DU112" s="139"/>
      <c r="DV112" s="139"/>
      <c r="DW112" s="139"/>
      <c r="DX112" s="139"/>
      <c r="DY112" s="139"/>
      <c r="DZ112" s="139"/>
      <c r="EA112" s="139"/>
      <c r="EB112" s="139"/>
      <c r="EC112" s="139"/>
      <c r="ED112" s="139"/>
      <c r="EE112" s="139"/>
      <c r="EF112" s="139"/>
      <c r="EG112" s="139"/>
      <c r="EH112" s="139"/>
      <c r="EI112" s="139"/>
      <c r="EJ112" s="139"/>
      <c r="EK112" s="139"/>
      <c r="EL112" s="139"/>
      <c r="EM112" s="139"/>
      <c r="EN112" s="139"/>
      <c r="EO112" s="139"/>
      <c r="EP112" s="139"/>
      <c r="EQ112" s="139"/>
      <c r="ER112" s="139"/>
      <c r="ES112" s="139"/>
      <c r="ET112" s="139"/>
      <c r="EU112" s="139"/>
      <c r="EV112" s="139"/>
      <c r="EW112" s="139"/>
      <c r="EX112" s="139"/>
      <c r="EY112" s="139"/>
      <c r="EZ112" s="139"/>
      <c r="FA112" s="139"/>
      <c r="FB112" s="139"/>
      <c r="FC112" s="139"/>
      <c r="FD112" s="139"/>
      <c r="FE112" s="139"/>
      <c r="FF112" s="139"/>
      <c r="FG112" s="139"/>
      <c r="FH112" s="139"/>
      <c r="FI112" s="139"/>
      <c r="FJ112" s="139"/>
      <c r="FK112" s="139"/>
      <c r="FL112" s="139"/>
      <c r="FM112" s="139"/>
      <c r="FN112" s="139"/>
      <c r="FO112" s="139"/>
      <c r="FP112" s="139"/>
      <c r="FQ112" s="139"/>
      <c r="FR112" s="139"/>
      <c r="FS112" s="139"/>
      <c r="FT112" s="139"/>
      <c r="FU112" s="139"/>
      <c r="FV112" s="139"/>
      <c r="FW112" s="139"/>
      <c r="FX112" s="139"/>
      <c r="FY112" s="139"/>
      <c r="FZ112" s="139"/>
      <c r="GA112" s="139"/>
      <c r="GB112" s="139"/>
      <c r="GC112" s="139"/>
      <c r="GD112" s="139"/>
      <c r="GE112" s="139"/>
      <c r="GF112" s="139"/>
      <c r="GG112" s="139"/>
      <c r="GH112" s="139"/>
      <c r="GI112" s="139"/>
      <c r="GJ112" s="139"/>
      <c r="GK112" s="139"/>
      <c r="GL112" s="139"/>
      <c r="GM112" s="139"/>
      <c r="GN112" s="139"/>
      <c r="GO112" s="139"/>
      <c r="GP112" s="139"/>
      <c r="GQ112" s="139"/>
      <c r="GR112" s="139"/>
      <c r="GS112" s="139"/>
      <c r="GT112" s="139"/>
      <c r="GU112" s="139"/>
      <c r="GV112" s="139"/>
      <c r="GW112" s="139"/>
      <c r="GX112" s="139"/>
      <c r="GY112" s="139"/>
      <c r="GZ112" s="139"/>
      <c r="HA112" s="139"/>
      <c r="HB112" s="139"/>
      <c r="HC112" s="139"/>
      <c r="HD112" s="139"/>
      <c r="HE112" s="139"/>
      <c r="HF112" s="139"/>
      <c r="HG112" s="139"/>
      <c r="HH112" s="139"/>
      <c r="HI112" s="139"/>
      <c r="HJ112" s="139"/>
      <c r="HK112" s="139"/>
      <c r="HL112" s="139"/>
      <c r="HM112" s="139"/>
      <c r="HN112" s="139"/>
      <c r="HO112" s="139"/>
      <c r="HP112" s="139"/>
      <c r="HQ112" s="139"/>
      <c r="HR112" s="139"/>
      <c r="HS112" s="139"/>
      <c r="HT112" s="139"/>
      <c r="HU112" s="139"/>
      <c r="HV112" s="139"/>
      <c r="HW112" s="139"/>
      <c r="HX112" s="139"/>
      <c r="HY112" s="139"/>
      <c r="HZ112" s="139"/>
      <c r="IA112" s="139"/>
      <c r="IB112" s="139"/>
      <c r="IC112" s="139"/>
      <c r="ID112" s="139"/>
      <c r="IE112" s="139"/>
      <c r="IF112" s="139"/>
      <c r="IG112" s="139"/>
      <c r="IH112" s="139"/>
      <c r="II112" s="139"/>
      <c r="IJ112" s="139"/>
      <c r="IK112" s="139"/>
      <c r="IL112" s="139"/>
      <c r="IM112" s="139"/>
      <c r="IN112" s="139"/>
      <c r="IO112" s="139"/>
      <c r="IP112" s="139"/>
      <c r="IQ112" s="139"/>
      <c r="IR112" s="139"/>
      <c r="IS112" s="139"/>
      <c r="IT112" s="139"/>
      <c r="IU112" s="139"/>
      <c r="IV112" s="139"/>
    </row>
    <row r="113" spans="1:256" ht="18" customHeight="1" thickTop="1" thickBot="1" x14ac:dyDescent="0.3">
      <c r="A113" s="148" t="str">
        <f t="shared" si="1"/>
        <v/>
      </c>
      <c r="B113" s="136"/>
      <c r="C113" s="149"/>
      <c r="D113" s="150"/>
      <c r="E113" s="150"/>
      <c r="F113" s="150"/>
      <c r="G113" s="150"/>
      <c r="H113" s="150"/>
      <c r="I113" s="150"/>
      <c r="J113" s="150"/>
      <c r="K113" s="150"/>
      <c r="L113" s="150"/>
      <c r="M113" s="151"/>
      <c r="N113" s="151"/>
      <c r="O113" s="151"/>
      <c r="P113" s="151"/>
      <c r="Q113" s="151"/>
      <c r="R113" s="151"/>
      <c r="S113" s="151"/>
      <c r="T113" s="171"/>
      <c r="U113" s="138"/>
      <c r="V113" s="139"/>
      <c r="W113" s="139"/>
      <c r="X113" s="139"/>
      <c r="Y113" s="139"/>
      <c r="Z113" s="139"/>
      <c r="AA113" s="139"/>
      <c r="AB113" s="139"/>
      <c r="AC113" s="139"/>
      <c r="AD113" s="139"/>
      <c r="AE113" s="139"/>
      <c r="AF113" s="139"/>
      <c r="AG113" s="139"/>
      <c r="AH113" s="139"/>
      <c r="AI113" s="139"/>
      <c r="AJ113" s="139"/>
      <c r="AK113" s="139"/>
      <c r="AL113" s="139"/>
      <c r="AM113" s="139"/>
      <c r="AN113" s="139"/>
      <c r="AO113" s="139"/>
      <c r="AP113" s="139"/>
      <c r="AQ113" s="139"/>
      <c r="AR113" s="139"/>
      <c r="AS113" s="139"/>
      <c r="AT113" s="139"/>
      <c r="AU113" s="139"/>
      <c r="AV113" s="139"/>
      <c r="AW113" s="139"/>
      <c r="AX113" s="139"/>
      <c r="AY113" s="139"/>
      <c r="AZ113" s="139"/>
      <c r="BA113" s="139"/>
      <c r="BB113" s="139"/>
      <c r="BC113" s="139"/>
      <c r="BD113" s="139"/>
      <c r="BE113" s="139"/>
      <c r="BF113" s="139"/>
      <c r="BG113" s="139"/>
      <c r="BH113" s="139"/>
      <c r="BI113" s="139"/>
      <c r="BJ113" s="139"/>
      <c r="BK113" s="139"/>
      <c r="BL113" s="139"/>
      <c r="BM113" s="139"/>
      <c r="BN113" s="139"/>
      <c r="BO113" s="139"/>
      <c r="BP113" s="139"/>
      <c r="BQ113" s="139"/>
      <c r="BR113" s="139"/>
      <c r="BS113" s="139"/>
      <c r="BT113" s="139"/>
      <c r="BU113" s="139"/>
      <c r="BV113" s="139"/>
      <c r="BW113" s="139"/>
      <c r="BX113" s="139"/>
      <c r="BY113" s="139"/>
      <c r="BZ113" s="139"/>
      <c r="CA113" s="139"/>
      <c r="CB113" s="139"/>
      <c r="CC113" s="139"/>
      <c r="CD113" s="139"/>
      <c r="CE113" s="139"/>
      <c r="CF113" s="139"/>
      <c r="CG113" s="139"/>
      <c r="CH113" s="139"/>
      <c r="CI113" s="139"/>
      <c r="CJ113" s="139"/>
      <c r="CK113" s="139"/>
      <c r="CL113" s="139"/>
      <c r="CM113" s="139"/>
      <c r="CN113" s="139"/>
      <c r="CO113" s="139"/>
      <c r="CP113" s="139"/>
      <c r="CQ113" s="139"/>
      <c r="CR113" s="139"/>
      <c r="CS113" s="139"/>
      <c r="CT113" s="139"/>
      <c r="CU113" s="139"/>
      <c r="CV113" s="139"/>
      <c r="CW113" s="139"/>
      <c r="CX113" s="139"/>
      <c r="CY113" s="139"/>
      <c r="CZ113" s="139"/>
      <c r="DA113" s="139"/>
      <c r="DB113" s="139"/>
      <c r="DC113" s="139"/>
      <c r="DD113" s="139"/>
      <c r="DE113" s="139"/>
      <c r="DF113" s="139"/>
      <c r="DG113" s="139"/>
      <c r="DH113" s="139"/>
      <c r="DI113" s="139"/>
      <c r="DJ113" s="139"/>
      <c r="DK113" s="139"/>
      <c r="DL113" s="139"/>
      <c r="DM113" s="139"/>
      <c r="DN113" s="139"/>
      <c r="DO113" s="139"/>
      <c r="DP113" s="139"/>
      <c r="DQ113" s="139"/>
      <c r="DR113" s="139"/>
      <c r="DS113" s="139"/>
      <c r="DT113" s="139"/>
      <c r="DU113" s="139"/>
      <c r="DV113" s="139"/>
      <c r="DW113" s="139"/>
      <c r="DX113" s="139"/>
      <c r="DY113" s="139"/>
      <c r="DZ113" s="139"/>
      <c r="EA113" s="139"/>
      <c r="EB113" s="139"/>
      <c r="EC113" s="139"/>
      <c r="ED113" s="139"/>
      <c r="EE113" s="139"/>
      <c r="EF113" s="139"/>
      <c r="EG113" s="139"/>
      <c r="EH113" s="139"/>
      <c r="EI113" s="139"/>
      <c r="EJ113" s="139"/>
      <c r="EK113" s="139"/>
      <c r="EL113" s="139"/>
      <c r="EM113" s="139"/>
      <c r="EN113" s="139"/>
      <c r="EO113" s="139"/>
      <c r="EP113" s="139"/>
      <c r="EQ113" s="139"/>
      <c r="ER113" s="139"/>
      <c r="ES113" s="139"/>
      <c r="ET113" s="139"/>
      <c r="EU113" s="139"/>
      <c r="EV113" s="139"/>
      <c r="EW113" s="139"/>
      <c r="EX113" s="139"/>
      <c r="EY113" s="139"/>
      <c r="EZ113" s="139"/>
      <c r="FA113" s="139"/>
      <c r="FB113" s="139"/>
      <c r="FC113" s="139"/>
      <c r="FD113" s="139"/>
      <c r="FE113" s="139"/>
      <c r="FF113" s="139"/>
      <c r="FG113" s="139"/>
      <c r="FH113" s="139"/>
      <c r="FI113" s="139"/>
      <c r="FJ113" s="139"/>
      <c r="FK113" s="139"/>
      <c r="FL113" s="139"/>
      <c r="FM113" s="139"/>
      <c r="FN113" s="139"/>
      <c r="FO113" s="139"/>
      <c r="FP113" s="139"/>
      <c r="FQ113" s="139"/>
      <c r="FR113" s="139"/>
      <c r="FS113" s="139"/>
      <c r="FT113" s="139"/>
      <c r="FU113" s="139"/>
      <c r="FV113" s="139"/>
      <c r="FW113" s="139"/>
      <c r="FX113" s="139"/>
      <c r="FY113" s="139"/>
      <c r="FZ113" s="139"/>
      <c r="GA113" s="139"/>
      <c r="GB113" s="139"/>
      <c r="GC113" s="139"/>
      <c r="GD113" s="139"/>
      <c r="GE113" s="139"/>
      <c r="GF113" s="139"/>
      <c r="GG113" s="139"/>
      <c r="GH113" s="139"/>
      <c r="GI113" s="139"/>
      <c r="GJ113" s="139"/>
      <c r="GK113" s="139"/>
      <c r="GL113" s="139"/>
      <c r="GM113" s="139"/>
      <c r="GN113" s="139"/>
      <c r="GO113" s="139"/>
      <c r="GP113" s="139"/>
      <c r="GQ113" s="139"/>
      <c r="GR113" s="139"/>
      <c r="GS113" s="139"/>
      <c r="GT113" s="139"/>
      <c r="GU113" s="139"/>
      <c r="GV113" s="139"/>
      <c r="GW113" s="139"/>
      <c r="GX113" s="139"/>
      <c r="GY113" s="139"/>
      <c r="GZ113" s="139"/>
      <c r="HA113" s="139"/>
      <c r="HB113" s="139"/>
      <c r="HC113" s="139"/>
      <c r="HD113" s="139"/>
      <c r="HE113" s="139"/>
      <c r="HF113" s="139"/>
      <c r="HG113" s="139"/>
      <c r="HH113" s="139"/>
      <c r="HI113" s="139"/>
      <c r="HJ113" s="139"/>
      <c r="HK113" s="139"/>
      <c r="HL113" s="139"/>
      <c r="HM113" s="139"/>
      <c r="HN113" s="139"/>
      <c r="HO113" s="139"/>
      <c r="HP113" s="139"/>
      <c r="HQ113" s="139"/>
      <c r="HR113" s="139"/>
      <c r="HS113" s="139"/>
      <c r="HT113" s="139"/>
      <c r="HU113" s="139"/>
      <c r="HV113" s="139"/>
      <c r="HW113" s="139"/>
      <c r="HX113" s="139"/>
      <c r="HY113" s="139"/>
      <c r="HZ113" s="139"/>
      <c r="IA113" s="139"/>
      <c r="IB113" s="139"/>
      <c r="IC113" s="139"/>
      <c r="ID113" s="139"/>
      <c r="IE113" s="139"/>
      <c r="IF113" s="139"/>
      <c r="IG113" s="139"/>
      <c r="IH113" s="139"/>
      <c r="II113" s="139"/>
      <c r="IJ113" s="139"/>
      <c r="IK113" s="139"/>
      <c r="IL113" s="139"/>
      <c r="IM113" s="139"/>
      <c r="IN113" s="139"/>
      <c r="IO113" s="139"/>
      <c r="IP113" s="139"/>
      <c r="IQ113" s="139"/>
      <c r="IR113" s="139"/>
      <c r="IS113" s="139"/>
      <c r="IT113" s="139"/>
      <c r="IU113" s="139"/>
      <c r="IV113" s="139"/>
    </row>
    <row r="114" spans="1:256" ht="16.8" thickTop="1" thickBot="1" x14ac:dyDescent="0.3">
      <c r="A114" s="148" t="str">
        <f t="shared" si="1"/>
        <v/>
      </c>
      <c r="B114" s="136"/>
      <c r="C114" s="172" t="s">
        <v>1148</v>
      </c>
      <c r="D114" s="139"/>
      <c r="E114" s="139"/>
      <c r="F114" s="139"/>
      <c r="G114" s="139"/>
      <c r="H114" s="139"/>
      <c r="I114" s="139"/>
      <c r="J114" s="139"/>
      <c r="K114" s="139"/>
      <c r="L114" s="139"/>
      <c r="M114" s="153"/>
      <c r="N114" s="153"/>
      <c r="O114" s="153"/>
      <c r="P114" s="153"/>
      <c r="Q114" s="153"/>
      <c r="R114" s="153"/>
      <c r="S114" s="153"/>
      <c r="T114" s="153"/>
      <c r="U114" s="138"/>
      <c r="V114" s="139"/>
      <c r="W114" s="139"/>
      <c r="X114" s="139"/>
      <c r="Y114" s="139"/>
      <c r="Z114" s="139"/>
      <c r="AA114" s="139"/>
      <c r="AB114" s="139"/>
      <c r="AC114" s="139"/>
      <c r="AD114" s="139"/>
      <c r="AE114" s="139"/>
      <c r="AF114" s="139"/>
      <c r="AG114" s="139"/>
      <c r="AH114" s="139"/>
      <c r="AI114" s="139"/>
      <c r="AJ114" s="139"/>
      <c r="AK114" s="139"/>
      <c r="AL114" s="139"/>
      <c r="AM114" s="139"/>
      <c r="AN114" s="139"/>
      <c r="AO114" s="139"/>
      <c r="AP114" s="139"/>
      <c r="AQ114" s="139"/>
      <c r="AR114" s="139"/>
      <c r="AS114" s="139"/>
      <c r="AT114" s="139"/>
      <c r="AU114" s="139"/>
      <c r="AV114" s="139"/>
      <c r="AW114" s="139"/>
      <c r="AX114" s="139"/>
      <c r="AY114" s="139"/>
      <c r="AZ114" s="139"/>
      <c r="BA114" s="139"/>
      <c r="BB114" s="139"/>
      <c r="BC114" s="139"/>
      <c r="BD114" s="139"/>
      <c r="BE114" s="139"/>
      <c r="BF114" s="139"/>
      <c r="BG114" s="139"/>
      <c r="BH114" s="139"/>
      <c r="BI114" s="139"/>
      <c r="BJ114" s="139"/>
      <c r="BK114" s="139"/>
      <c r="BL114" s="139"/>
      <c r="BM114" s="139"/>
      <c r="BN114" s="139"/>
      <c r="BO114" s="139"/>
      <c r="BP114" s="139"/>
      <c r="BQ114" s="139"/>
      <c r="BR114" s="139"/>
      <c r="BS114" s="139"/>
      <c r="BT114" s="139"/>
      <c r="BU114" s="139"/>
      <c r="BV114" s="139"/>
      <c r="BW114" s="139"/>
      <c r="BX114" s="139"/>
      <c r="BY114" s="139"/>
      <c r="BZ114" s="139"/>
      <c r="CA114" s="139"/>
      <c r="CB114" s="139"/>
      <c r="CC114" s="139"/>
      <c r="CD114" s="139"/>
      <c r="CE114" s="139"/>
      <c r="CF114" s="139"/>
      <c r="CG114" s="139"/>
      <c r="CH114" s="139"/>
      <c r="CI114" s="139"/>
      <c r="CJ114" s="139"/>
      <c r="CK114" s="139"/>
      <c r="CL114" s="139"/>
      <c r="CM114" s="139"/>
      <c r="CN114" s="139"/>
      <c r="CO114" s="139"/>
      <c r="CP114" s="139"/>
      <c r="CQ114" s="139"/>
      <c r="CR114" s="139"/>
      <c r="CS114" s="139"/>
      <c r="CT114" s="139"/>
      <c r="CU114" s="139"/>
      <c r="CV114" s="139"/>
      <c r="CW114" s="139"/>
      <c r="CX114" s="139"/>
      <c r="CY114" s="139"/>
      <c r="CZ114" s="139"/>
      <c r="DA114" s="139"/>
      <c r="DB114" s="139"/>
      <c r="DC114" s="139"/>
      <c r="DD114" s="139"/>
      <c r="DE114" s="139"/>
      <c r="DF114" s="139"/>
      <c r="DG114" s="139"/>
      <c r="DH114" s="139"/>
      <c r="DI114" s="139"/>
      <c r="DJ114" s="139"/>
      <c r="DK114" s="139"/>
      <c r="DL114" s="139"/>
      <c r="DM114" s="139"/>
      <c r="DN114" s="139"/>
      <c r="DO114" s="139"/>
      <c r="DP114" s="139"/>
      <c r="DQ114" s="139"/>
      <c r="DR114" s="139"/>
      <c r="DS114" s="139"/>
      <c r="DT114" s="139"/>
      <c r="DU114" s="139"/>
      <c r="DV114" s="139"/>
      <c r="DW114" s="139"/>
      <c r="DX114" s="139"/>
      <c r="DY114" s="139"/>
      <c r="DZ114" s="139"/>
      <c r="EA114" s="139"/>
      <c r="EB114" s="139"/>
      <c r="EC114" s="139"/>
      <c r="ED114" s="139"/>
      <c r="EE114" s="139"/>
      <c r="EF114" s="139"/>
      <c r="EG114" s="139"/>
      <c r="EH114" s="139"/>
      <c r="EI114" s="139"/>
      <c r="EJ114" s="139"/>
      <c r="EK114" s="139"/>
      <c r="EL114" s="139"/>
      <c r="EM114" s="139"/>
      <c r="EN114" s="139"/>
      <c r="EO114" s="139"/>
      <c r="EP114" s="139"/>
      <c r="EQ114" s="139"/>
      <c r="ER114" s="139"/>
      <c r="ES114" s="139"/>
      <c r="ET114" s="139"/>
      <c r="EU114" s="139"/>
      <c r="EV114" s="139"/>
      <c r="EW114" s="139"/>
      <c r="EX114" s="139"/>
      <c r="EY114" s="139"/>
      <c r="EZ114" s="139"/>
      <c r="FA114" s="139"/>
      <c r="FB114" s="139"/>
      <c r="FC114" s="139"/>
      <c r="FD114" s="139"/>
      <c r="FE114" s="139"/>
      <c r="FF114" s="139"/>
      <c r="FG114" s="139"/>
      <c r="FH114" s="139"/>
      <c r="FI114" s="139"/>
      <c r="FJ114" s="139"/>
      <c r="FK114" s="139"/>
      <c r="FL114" s="139"/>
      <c r="FM114" s="139"/>
      <c r="FN114" s="139"/>
      <c r="FO114" s="139"/>
      <c r="FP114" s="139"/>
      <c r="FQ114" s="139"/>
      <c r="FR114" s="139"/>
      <c r="FS114" s="139"/>
      <c r="FT114" s="139"/>
      <c r="FU114" s="139"/>
      <c r="FV114" s="139"/>
      <c r="FW114" s="139"/>
      <c r="FX114" s="139"/>
      <c r="FY114" s="139"/>
      <c r="FZ114" s="139"/>
      <c r="GA114" s="139"/>
      <c r="GB114" s="139"/>
      <c r="GC114" s="139"/>
      <c r="GD114" s="139"/>
      <c r="GE114" s="139"/>
      <c r="GF114" s="139"/>
      <c r="GG114" s="139"/>
      <c r="GH114" s="139"/>
      <c r="GI114" s="139"/>
      <c r="GJ114" s="139"/>
      <c r="GK114" s="139"/>
      <c r="GL114" s="139"/>
      <c r="GM114" s="139"/>
      <c r="GN114" s="139"/>
      <c r="GO114" s="139"/>
      <c r="GP114" s="139"/>
      <c r="GQ114" s="139"/>
      <c r="GR114" s="139"/>
      <c r="GS114" s="139"/>
      <c r="GT114" s="139"/>
      <c r="GU114" s="139"/>
      <c r="GV114" s="139"/>
      <c r="GW114" s="139"/>
      <c r="GX114" s="139"/>
      <c r="GY114" s="139"/>
      <c r="GZ114" s="139"/>
      <c r="HA114" s="139"/>
      <c r="HB114" s="139"/>
      <c r="HC114" s="139"/>
      <c r="HD114" s="139"/>
      <c r="HE114" s="139"/>
      <c r="HF114" s="139"/>
      <c r="HG114" s="139"/>
      <c r="HH114" s="139"/>
      <c r="HI114" s="139"/>
      <c r="HJ114" s="139"/>
      <c r="HK114" s="139"/>
      <c r="HL114" s="139"/>
      <c r="HM114" s="139"/>
      <c r="HN114" s="139"/>
      <c r="HO114" s="139"/>
      <c r="HP114" s="139"/>
      <c r="HQ114" s="139"/>
      <c r="HR114" s="139"/>
      <c r="HS114" s="139"/>
      <c r="HT114" s="139"/>
      <c r="HU114" s="139"/>
      <c r="HV114" s="139"/>
      <c r="HW114" s="139"/>
      <c r="HX114" s="139"/>
      <c r="HY114" s="139"/>
      <c r="HZ114" s="139"/>
      <c r="IA114" s="139"/>
      <c r="IB114" s="139"/>
      <c r="IC114" s="139"/>
      <c r="ID114" s="139"/>
      <c r="IE114" s="139"/>
      <c r="IF114" s="139"/>
      <c r="IG114" s="139"/>
      <c r="IH114" s="139"/>
      <c r="II114" s="139"/>
      <c r="IJ114" s="139"/>
      <c r="IK114" s="139"/>
      <c r="IL114" s="139"/>
      <c r="IM114" s="139"/>
      <c r="IN114" s="139"/>
      <c r="IO114" s="139"/>
      <c r="IP114" s="139"/>
      <c r="IQ114" s="139"/>
      <c r="IR114" s="139"/>
      <c r="IS114" s="139"/>
      <c r="IT114" s="139"/>
      <c r="IU114" s="139"/>
      <c r="IV114" s="139"/>
    </row>
    <row r="115" spans="1:256" ht="13.8" thickTop="1" x14ac:dyDescent="0.25">
      <c r="A115" s="154" t="str">
        <f t="shared" si="1"/>
        <v>7SST304</v>
      </c>
      <c r="B115" s="136"/>
      <c r="C115" s="170"/>
      <c r="D115" s="155" t="s">
        <v>1149</v>
      </c>
      <c r="E115" s="155" t="s">
        <v>1104</v>
      </c>
      <c r="F115" s="156" t="s">
        <v>954</v>
      </c>
      <c r="G115" s="156" t="s">
        <v>954</v>
      </c>
      <c r="H115" s="157">
        <v>0.18803</v>
      </c>
      <c r="I115" s="156" t="s">
        <v>716</v>
      </c>
      <c r="J115" s="156" t="s">
        <v>705</v>
      </c>
      <c r="K115" s="179" t="s">
        <v>1150</v>
      </c>
      <c r="L115" s="178" t="s">
        <v>1151</v>
      </c>
      <c r="M115" s="156" t="s">
        <v>860</v>
      </c>
      <c r="N115" s="205" t="s">
        <v>861</v>
      </c>
      <c r="O115" s="156" t="s">
        <v>722</v>
      </c>
      <c r="P115" s="156" t="s">
        <v>711</v>
      </c>
      <c r="Q115" s="156" t="s">
        <v>862</v>
      </c>
      <c r="R115" s="154" t="s">
        <v>1152</v>
      </c>
      <c r="S115" s="154" t="s">
        <v>713</v>
      </c>
      <c r="T115" s="154" t="s">
        <v>713</v>
      </c>
      <c r="U115" s="138"/>
      <c r="V115" s="139"/>
      <c r="W115" s="139"/>
      <c r="X115" s="139"/>
      <c r="Y115" s="139"/>
      <c r="Z115" s="139"/>
      <c r="AA115" s="139"/>
      <c r="AB115" s="139"/>
      <c r="AC115" s="139"/>
      <c r="AD115" s="139"/>
      <c r="AE115" s="139"/>
      <c r="AF115" s="139"/>
      <c r="AG115" s="139"/>
      <c r="AH115" s="139"/>
      <c r="AI115" s="139"/>
      <c r="AJ115" s="139"/>
      <c r="AK115" s="139"/>
      <c r="AL115" s="139"/>
      <c r="AM115" s="139"/>
      <c r="AN115" s="139"/>
      <c r="AO115" s="139"/>
      <c r="AP115" s="139"/>
      <c r="AQ115" s="139"/>
      <c r="AR115" s="139"/>
      <c r="AS115" s="139"/>
      <c r="AT115" s="139"/>
      <c r="AU115" s="139"/>
      <c r="AV115" s="139"/>
      <c r="AW115" s="139"/>
      <c r="AX115" s="139"/>
      <c r="AY115" s="139"/>
      <c r="AZ115" s="139"/>
      <c r="BA115" s="139"/>
      <c r="BB115" s="139"/>
      <c r="BC115" s="139"/>
      <c r="BD115" s="139"/>
      <c r="BE115" s="139"/>
      <c r="BF115" s="139"/>
      <c r="BG115" s="139"/>
      <c r="BH115" s="139"/>
      <c r="BI115" s="139"/>
      <c r="BJ115" s="139"/>
      <c r="BK115" s="139"/>
      <c r="BL115" s="139"/>
      <c r="BM115" s="139"/>
      <c r="BN115" s="139"/>
      <c r="BO115" s="139"/>
      <c r="BP115" s="139"/>
      <c r="BQ115" s="139"/>
      <c r="BR115" s="139"/>
      <c r="BS115" s="139"/>
      <c r="BT115" s="139"/>
      <c r="BU115" s="139"/>
      <c r="BV115" s="139"/>
      <c r="BW115" s="139"/>
      <c r="BX115" s="139"/>
      <c r="BY115" s="139"/>
      <c r="BZ115" s="139"/>
      <c r="CA115" s="139"/>
      <c r="CB115" s="139"/>
      <c r="CC115" s="139"/>
      <c r="CD115" s="139"/>
      <c r="CE115" s="139"/>
      <c r="CF115" s="139"/>
      <c r="CG115" s="139"/>
      <c r="CH115" s="139"/>
      <c r="CI115" s="139"/>
      <c r="CJ115" s="139"/>
      <c r="CK115" s="139"/>
      <c r="CL115" s="139"/>
      <c r="CM115" s="139"/>
      <c r="CN115" s="139"/>
      <c r="CO115" s="139"/>
      <c r="CP115" s="139"/>
      <c r="CQ115" s="139"/>
      <c r="CR115" s="139"/>
      <c r="CS115" s="139"/>
      <c r="CT115" s="139"/>
      <c r="CU115" s="139"/>
      <c r="CV115" s="139"/>
      <c r="CW115" s="139"/>
      <c r="CX115" s="139"/>
      <c r="CY115" s="139"/>
      <c r="CZ115" s="139"/>
      <c r="DA115" s="139"/>
      <c r="DB115" s="139"/>
      <c r="DC115" s="139"/>
      <c r="DD115" s="139"/>
      <c r="DE115" s="139"/>
      <c r="DF115" s="139"/>
      <c r="DG115" s="139"/>
      <c r="DH115" s="139"/>
      <c r="DI115" s="139"/>
      <c r="DJ115" s="139"/>
      <c r="DK115" s="139"/>
      <c r="DL115" s="139"/>
      <c r="DM115" s="139"/>
      <c r="DN115" s="139"/>
      <c r="DO115" s="139"/>
      <c r="DP115" s="139"/>
      <c r="DQ115" s="139"/>
      <c r="DR115" s="139"/>
      <c r="DS115" s="139"/>
      <c r="DT115" s="139"/>
      <c r="DU115" s="139"/>
      <c r="DV115" s="139"/>
      <c r="DW115" s="139"/>
      <c r="DX115" s="139"/>
      <c r="DY115" s="139"/>
      <c r="DZ115" s="139"/>
      <c r="EA115" s="139"/>
      <c r="EB115" s="139"/>
      <c r="EC115" s="139"/>
      <c r="ED115" s="139"/>
      <c r="EE115" s="139"/>
      <c r="EF115" s="139"/>
      <c r="EG115" s="139"/>
      <c r="EH115" s="139"/>
      <c r="EI115" s="139"/>
      <c r="EJ115" s="139"/>
      <c r="EK115" s="139"/>
      <c r="EL115" s="139"/>
      <c r="EM115" s="139"/>
      <c r="EN115" s="139"/>
      <c r="EO115" s="139"/>
      <c r="EP115" s="139"/>
      <c r="EQ115" s="139"/>
      <c r="ER115" s="139"/>
      <c r="ES115" s="139"/>
      <c r="ET115" s="139"/>
      <c r="EU115" s="139"/>
      <c r="EV115" s="139"/>
      <c r="EW115" s="139"/>
      <c r="EX115" s="139"/>
      <c r="EY115" s="139"/>
      <c r="EZ115" s="139"/>
      <c r="FA115" s="139"/>
      <c r="FB115" s="139"/>
      <c r="FC115" s="139"/>
      <c r="FD115" s="139"/>
      <c r="FE115" s="139"/>
      <c r="FF115" s="139"/>
      <c r="FG115" s="139"/>
      <c r="FH115" s="139"/>
      <c r="FI115" s="139"/>
      <c r="FJ115" s="139"/>
      <c r="FK115" s="139"/>
      <c r="FL115" s="139"/>
      <c r="FM115" s="139"/>
      <c r="FN115" s="139"/>
      <c r="FO115" s="139"/>
      <c r="FP115" s="139"/>
      <c r="FQ115" s="139"/>
      <c r="FR115" s="139"/>
      <c r="FS115" s="139"/>
      <c r="FT115" s="139"/>
      <c r="FU115" s="139"/>
      <c r="FV115" s="139"/>
      <c r="FW115" s="139"/>
      <c r="FX115" s="139"/>
      <c r="FY115" s="139"/>
      <c r="FZ115" s="139"/>
      <c r="GA115" s="139"/>
      <c r="GB115" s="139"/>
      <c r="GC115" s="139"/>
      <c r="GD115" s="139"/>
      <c r="GE115" s="139"/>
      <c r="GF115" s="139"/>
      <c r="GG115" s="139"/>
      <c r="GH115" s="139"/>
      <c r="GI115" s="139"/>
      <c r="GJ115" s="139"/>
      <c r="GK115" s="139"/>
      <c r="GL115" s="139"/>
      <c r="GM115" s="139"/>
      <c r="GN115" s="139"/>
      <c r="GO115" s="139"/>
      <c r="GP115" s="139"/>
      <c r="GQ115" s="139"/>
      <c r="GR115" s="139"/>
      <c r="GS115" s="139"/>
      <c r="GT115" s="139"/>
      <c r="GU115" s="139"/>
      <c r="GV115" s="139"/>
      <c r="GW115" s="139"/>
      <c r="GX115" s="139"/>
      <c r="GY115" s="139"/>
      <c r="GZ115" s="139"/>
      <c r="HA115" s="139"/>
      <c r="HB115" s="139"/>
      <c r="HC115" s="139"/>
      <c r="HD115" s="139"/>
      <c r="HE115" s="139"/>
      <c r="HF115" s="139"/>
      <c r="HG115" s="139"/>
      <c r="HH115" s="139"/>
      <c r="HI115" s="139"/>
      <c r="HJ115" s="139"/>
      <c r="HK115" s="139"/>
      <c r="HL115" s="139"/>
      <c r="HM115" s="139"/>
      <c r="HN115" s="139"/>
      <c r="HO115" s="139"/>
      <c r="HP115" s="139"/>
      <c r="HQ115" s="139"/>
      <c r="HR115" s="139"/>
      <c r="HS115" s="139"/>
      <c r="HT115" s="139"/>
      <c r="HU115" s="139"/>
      <c r="HV115" s="139"/>
      <c r="HW115" s="139"/>
      <c r="HX115" s="139"/>
      <c r="HY115" s="139"/>
      <c r="HZ115" s="139"/>
      <c r="IA115" s="139"/>
      <c r="IB115" s="139"/>
      <c r="IC115" s="139"/>
      <c r="ID115" s="139"/>
      <c r="IE115" s="139"/>
      <c r="IF115" s="139"/>
      <c r="IG115" s="139"/>
      <c r="IH115" s="139"/>
      <c r="II115" s="139"/>
      <c r="IJ115" s="139"/>
      <c r="IK115" s="139"/>
      <c r="IL115" s="139"/>
      <c r="IM115" s="139"/>
      <c r="IN115" s="139"/>
      <c r="IO115" s="139"/>
      <c r="IP115" s="139"/>
      <c r="IQ115" s="139"/>
      <c r="IR115" s="139"/>
      <c r="IS115" s="139"/>
      <c r="IT115" s="139"/>
      <c r="IU115" s="139"/>
      <c r="IV115" s="139"/>
    </row>
    <row r="116" spans="1:256" x14ac:dyDescent="0.25">
      <c r="A116" s="118" t="str">
        <f t="shared" si="1"/>
        <v>1/4SST304</v>
      </c>
      <c r="B116" s="136"/>
      <c r="C116" s="170"/>
      <c r="D116" s="122" t="s">
        <v>1149</v>
      </c>
      <c r="E116" s="122" t="s">
        <v>943</v>
      </c>
      <c r="F116" s="123" t="s">
        <v>1128</v>
      </c>
      <c r="G116" s="123" t="s">
        <v>1128</v>
      </c>
      <c r="H116" s="124">
        <v>0.25002000000000002</v>
      </c>
      <c r="I116" s="123" t="s">
        <v>716</v>
      </c>
      <c r="J116" s="123" t="s">
        <v>705</v>
      </c>
      <c r="K116" s="130" t="s">
        <v>1153</v>
      </c>
      <c r="L116" s="121" t="s">
        <v>1154</v>
      </c>
      <c r="M116" s="123" t="s">
        <v>860</v>
      </c>
      <c r="N116" s="173" t="s">
        <v>861</v>
      </c>
      <c r="O116" s="130" t="s">
        <v>722</v>
      </c>
      <c r="P116" s="130" t="s">
        <v>711</v>
      </c>
      <c r="Q116" s="123" t="s">
        <v>862</v>
      </c>
      <c r="R116" s="118" t="s">
        <v>1155</v>
      </c>
      <c r="S116" s="118" t="s">
        <v>713</v>
      </c>
      <c r="T116" s="118" t="s">
        <v>713</v>
      </c>
      <c r="U116" s="138"/>
      <c r="V116" s="139"/>
      <c r="W116" s="139"/>
      <c r="X116" s="139"/>
      <c r="Y116" s="139"/>
      <c r="Z116" s="139"/>
      <c r="AA116" s="139"/>
      <c r="AB116" s="139"/>
      <c r="AC116" s="139"/>
      <c r="AD116" s="139"/>
      <c r="AE116" s="139"/>
      <c r="AF116" s="139"/>
      <c r="AG116" s="139"/>
      <c r="AH116" s="139"/>
      <c r="AI116" s="139"/>
      <c r="AJ116" s="139"/>
      <c r="AK116" s="139"/>
      <c r="AL116" s="139"/>
      <c r="AM116" s="139"/>
      <c r="AN116" s="139"/>
      <c r="AO116" s="139"/>
      <c r="AP116" s="139"/>
      <c r="AQ116" s="139"/>
      <c r="AR116" s="139"/>
      <c r="AS116" s="139"/>
      <c r="AT116" s="139"/>
      <c r="AU116" s="139"/>
      <c r="AV116" s="139"/>
      <c r="AW116" s="139"/>
      <c r="AX116" s="139"/>
      <c r="AY116" s="139"/>
      <c r="AZ116" s="139"/>
      <c r="BA116" s="139"/>
      <c r="BB116" s="139"/>
      <c r="BC116" s="139"/>
      <c r="BD116" s="139"/>
      <c r="BE116" s="139"/>
      <c r="BF116" s="139"/>
      <c r="BG116" s="139"/>
      <c r="BH116" s="139"/>
      <c r="BI116" s="139"/>
      <c r="BJ116" s="139"/>
      <c r="BK116" s="139"/>
      <c r="BL116" s="139"/>
      <c r="BM116" s="139"/>
      <c r="BN116" s="139"/>
      <c r="BO116" s="139"/>
      <c r="BP116" s="139"/>
      <c r="BQ116" s="139"/>
      <c r="BR116" s="139"/>
      <c r="BS116" s="139"/>
      <c r="BT116" s="139"/>
      <c r="BU116" s="139"/>
      <c r="BV116" s="139"/>
      <c r="BW116" s="139"/>
      <c r="BX116" s="139"/>
      <c r="BY116" s="139"/>
      <c r="BZ116" s="139"/>
      <c r="CA116" s="139"/>
      <c r="CB116" s="139"/>
      <c r="CC116" s="139"/>
      <c r="CD116" s="139"/>
      <c r="CE116" s="139"/>
      <c r="CF116" s="139"/>
      <c r="CG116" s="139"/>
      <c r="CH116" s="139"/>
      <c r="CI116" s="139"/>
      <c r="CJ116" s="139"/>
      <c r="CK116" s="139"/>
      <c r="CL116" s="139"/>
      <c r="CM116" s="139"/>
      <c r="CN116" s="139"/>
      <c r="CO116" s="139"/>
      <c r="CP116" s="139"/>
      <c r="CQ116" s="139"/>
      <c r="CR116" s="139"/>
      <c r="CS116" s="139"/>
      <c r="CT116" s="139"/>
      <c r="CU116" s="139"/>
      <c r="CV116" s="139"/>
      <c r="CW116" s="139"/>
      <c r="CX116" s="139"/>
      <c r="CY116" s="139"/>
      <c r="CZ116" s="139"/>
      <c r="DA116" s="139"/>
      <c r="DB116" s="139"/>
      <c r="DC116" s="139"/>
      <c r="DD116" s="139"/>
      <c r="DE116" s="139"/>
      <c r="DF116" s="139"/>
      <c r="DG116" s="139"/>
      <c r="DH116" s="139"/>
      <c r="DI116" s="139"/>
      <c r="DJ116" s="139"/>
      <c r="DK116" s="139"/>
      <c r="DL116" s="139"/>
      <c r="DM116" s="139"/>
      <c r="DN116" s="139"/>
      <c r="DO116" s="139"/>
      <c r="DP116" s="139"/>
      <c r="DQ116" s="139"/>
      <c r="DR116" s="139"/>
      <c r="DS116" s="139"/>
      <c r="DT116" s="139"/>
      <c r="DU116" s="139"/>
      <c r="DV116" s="139"/>
      <c r="DW116" s="139"/>
      <c r="DX116" s="139"/>
      <c r="DY116" s="139"/>
      <c r="DZ116" s="139"/>
      <c r="EA116" s="139"/>
      <c r="EB116" s="139"/>
      <c r="EC116" s="139"/>
      <c r="ED116" s="139"/>
      <c r="EE116" s="139"/>
      <c r="EF116" s="139"/>
      <c r="EG116" s="139"/>
      <c r="EH116" s="139"/>
      <c r="EI116" s="139"/>
      <c r="EJ116" s="139"/>
      <c r="EK116" s="139"/>
      <c r="EL116" s="139"/>
      <c r="EM116" s="139"/>
      <c r="EN116" s="139"/>
      <c r="EO116" s="139"/>
      <c r="EP116" s="139"/>
      <c r="EQ116" s="139"/>
      <c r="ER116" s="139"/>
      <c r="ES116" s="139"/>
      <c r="ET116" s="139"/>
      <c r="EU116" s="139"/>
      <c r="EV116" s="139"/>
      <c r="EW116" s="139"/>
      <c r="EX116" s="139"/>
      <c r="EY116" s="139"/>
      <c r="EZ116" s="139"/>
      <c r="FA116" s="139"/>
      <c r="FB116" s="139"/>
      <c r="FC116" s="139"/>
      <c r="FD116" s="139"/>
      <c r="FE116" s="139"/>
      <c r="FF116" s="139"/>
      <c r="FG116" s="139"/>
      <c r="FH116" s="139"/>
      <c r="FI116" s="139"/>
      <c r="FJ116" s="139"/>
      <c r="FK116" s="139"/>
      <c r="FL116" s="139"/>
      <c r="FM116" s="139"/>
      <c r="FN116" s="139"/>
      <c r="FO116" s="139"/>
      <c r="FP116" s="139"/>
      <c r="FQ116" s="139"/>
      <c r="FR116" s="139"/>
      <c r="FS116" s="139"/>
      <c r="FT116" s="139"/>
      <c r="FU116" s="139"/>
      <c r="FV116" s="139"/>
      <c r="FW116" s="139"/>
      <c r="FX116" s="139"/>
      <c r="FY116" s="139"/>
      <c r="FZ116" s="139"/>
      <c r="GA116" s="139"/>
      <c r="GB116" s="139"/>
      <c r="GC116" s="139"/>
      <c r="GD116" s="139"/>
      <c r="GE116" s="139"/>
      <c r="GF116" s="139"/>
      <c r="GG116" s="139"/>
      <c r="GH116" s="139"/>
      <c r="GI116" s="139"/>
      <c r="GJ116" s="139"/>
      <c r="GK116" s="139"/>
      <c r="GL116" s="139"/>
      <c r="GM116" s="139"/>
      <c r="GN116" s="139"/>
      <c r="GO116" s="139"/>
      <c r="GP116" s="139"/>
      <c r="GQ116" s="139"/>
      <c r="GR116" s="139"/>
      <c r="GS116" s="139"/>
      <c r="GT116" s="139"/>
      <c r="GU116" s="139"/>
      <c r="GV116" s="139"/>
      <c r="GW116" s="139"/>
      <c r="GX116" s="139"/>
      <c r="GY116" s="139"/>
      <c r="GZ116" s="139"/>
      <c r="HA116" s="139"/>
      <c r="HB116" s="139"/>
      <c r="HC116" s="139"/>
      <c r="HD116" s="139"/>
      <c r="HE116" s="139"/>
      <c r="HF116" s="139"/>
      <c r="HG116" s="139"/>
      <c r="HH116" s="139"/>
      <c r="HI116" s="139"/>
      <c r="HJ116" s="139"/>
      <c r="HK116" s="139"/>
      <c r="HL116" s="139"/>
      <c r="HM116" s="139"/>
      <c r="HN116" s="139"/>
      <c r="HO116" s="139"/>
      <c r="HP116" s="139"/>
      <c r="HQ116" s="139"/>
      <c r="HR116" s="139"/>
      <c r="HS116" s="139"/>
      <c r="HT116" s="139"/>
      <c r="HU116" s="139"/>
      <c r="HV116" s="139"/>
      <c r="HW116" s="139"/>
      <c r="HX116" s="139"/>
      <c r="HY116" s="139"/>
      <c r="HZ116" s="139"/>
      <c r="IA116" s="139"/>
      <c r="IB116" s="139"/>
      <c r="IC116" s="139"/>
      <c r="ID116" s="139"/>
      <c r="IE116" s="139"/>
      <c r="IF116" s="139"/>
      <c r="IG116" s="139"/>
      <c r="IH116" s="139"/>
      <c r="II116" s="139"/>
      <c r="IJ116" s="139"/>
      <c r="IK116" s="139"/>
      <c r="IL116" s="139"/>
      <c r="IM116" s="139"/>
      <c r="IN116" s="139"/>
      <c r="IO116" s="139"/>
      <c r="IP116" s="139"/>
      <c r="IQ116" s="139"/>
      <c r="IR116" s="139"/>
      <c r="IS116" s="139"/>
      <c r="IT116" s="139"/>
      <c r="IU116" s="139"/>
      <c r="IV116" s="139"/>
    </row>
    <row r="117" spans="1:256" x14ac:dyDescent="0.25">
      <c r="A117" s="118" t="str">
        <f t="shared" si="1"/>
        <v>3/16STL PLATE</v>
      </c>
      <c r="B117" s="136"/>
      <c r="C117" s="170"/>
      <c r="D117" s="121" t="s">
        <v>1156</v>
      </c>
      <c r="E117" s="122" t="s">
        <v>1117</v>
      </c>
      <c r="F117" s="123" t="s">
        <v>954</v>
      </c>
      <c r="G117" s="206" t="s">
        <v>954</v>
      </c>
      <c r="H117" s="207">
        <v>0.18806</v>
      </c>
      <c r="I117" s="123" t="s">
        <v>716</v>
      </c>
      <c r="J117" s="123" t="s">
        <v>705</v>
      </c>
      <c r="K117" s="130" t="s">
        <v>1157</v>
      </c>
      <c r="L117" s="121" t="s">
        <v>1158</v>
      </c>
      <c r="M117" s="123" t="s">
        <v>1159</v>
      </c>
      <c r="N117" s="123" t="s">
        <v>716</v>
      </c>
      <c r="O117" s="123" t="s">
        <v>1020</v>
      </c>
      <c r="P117" s="123" t="s">
        <v>711</v>
      </c>
      <c r="Q117" s="123" t="s">
        <v>1160</v>
      </c>
      <c r="R117" s="123" t="s">
        <v>1161</v>
      </c>
      <c r="S117" s="123" t="s">
        <v>713</v>
      </c>
      <c r="T117" s="123" t="s">
        <v>713</v>
      </c>
      <c r="U117" s="138"/>
      <c r="V117" s="139"/>
      <c r="W117" s="139"/>
      <c r="X117" s="139"/>
      <c r="Y117" s="139"/>
      <c r="Z117" s="139"/>
      <c r="AA117" s="139"/>
      <c r="AB117" s="139"/>
      <c r="AC117" s="139"/>
      <c r="AD117" s="139"/>
      <c r="AE117" s="139"/>
      <c r="AF117" s="139"/>
      <c r="AG117" s="139"/>
      <c r="AH117" s="139"/>
      <c r="AI117" s="139"/>
      <c r="AJ117" s="139"/>
      <c r="AK117" s="139"/>
      <c r="AL117" s="139"/>
      <c r="AM117" s="139"/>
      <c r="AN117" s="139"/>
      <c r="AO117" s="139"/>
      <c r="AP117" s="139"/>
      <c r="AQ117" s="139"/>
      <c r="AR117" s="139"/>
      <c r="AS117" s="139"/>
      <c r="AT117" s="139"/>
      <c r="AU117" s="139"/>
      <c r="AV117" s="139"/>
      <c r="AW117" s="139"/>
      <c r="AX117" s="139"/>
      <c r="AY117" s="139"/>
      <c r="AZ117" s="139"/>
      <c r="BA117" s="139"/>
      <c r="BB117" s="139"/>
      <c r="BC117" s="139"/>
      <c r="BD117" s="139"/>
      <c r="BE117" s="139"/>
      <c r="BF117" s="139"/>
      <c r="BG117" s="139"/>
      <c r="BH117" s="139"/>
      <c r="BI117" s="139"/>
      <c r="BJ117" s="139"/>
      <c r="BK117" s="139"/>
      <c r="BL117" s="139"/>
      <c r="BM117" s="139"/>
      <c r="BN117" s="139"/>
      <c r="BO117" s="139"/>
      <c r="BP117" s="139"/>
      <c r="BQ117" s="139"/>
      <c r="BR117" s="139"/>
      <c r="BS117" s="139"/>
      <c r="BT117" s="139"/>
      <c r="BU117" s="139"/>
      <c r="BV117" s="139"/>
      <c r="BW117" s="139"/>
      <c r="BX117" s="139"/>
      <c r="BY117" s="139"/>
      <c r="BZ117" s="139"/>
      <c r="CA117" s="139"/>
      <c r="CB117" s="139"/>
      <c r="CC117" s="139"/>
      <c r="CD117" s="139"/>
      <c r="CE117" s="139"/>
      <c r="CF117" s="139"/>
      <c r="CG117" s="139"/>
      <c r="CH117" s="139"/>
      <c r="CI117" s="139"/>
      <c r="CJ117" s="139"/>
      <c r="CK117" s="139"/>
      <c r="CL117" s="139"/>
      <c r="CM117" s="139"/>
      <c r="CN117" s="139"/>
      <c r="CO117" s="139"/>
      <c r="CP117" s="139"/>
      <c r="CQ117" s="139"/>
      <c r="CR117" s="139"/>
      <c r="CS117" s="139"/>
      <c r="CT117" s="139"/>
      <c r="CU117" s="139"/>
      <c r="CV117" s="139"/>
      <c r="CW117" s="139"/>
      <c r="CX117" s="139"/>
      <c r="CY117" s="139"/>
      <c r="CZ117" s="139"/>
      <c r="DA117" s="139"/>
      <c r="DB117" s="139"/>
      <c r="DC117" s="139"/>
      <c r="DD117" s="139"/>
      <c r="DE117" s="139"/>
      <c r="DF117" s="139"/>
      <c r="DG117" s="139"/>
      <c r="DH117" s="139"/>
      <c r="DI117" s="139"/>
      <c r="DJ117" s="139"/>
      <c r="DK117" s="139"/>
      <c r="DL117" s="139"/>
      <c r="DM117" s="139"/>
      <c r="DN117" s="139"/>
      <c r="DO117" s="139"/>
      <c r="DP117" s="139"/>
      <c r="DQ117" s="139"/>
      <c r="DR117" s="139"/>
      <c r="DS117" s="139"/>
      <c r="DT117" s="139"/>
      <c r="DU117" s="139"/>
      <c r="DV117" s="139"/>
      <c r="DW117" s="139"/>
      <c r="DX117" s="139"/>
      <c r="DY117" s="139"/>
      <c r="DZ117" s="139"/>
      <c r="EA117" s="139"/>
      <c r="EB117" s="139"/>
      <c r="EC117" s="139"/>
      <c r="ED117" s="139"/>
      <c r="EE117" s="139"/>
      <c r="EF117" s="139"/>
      <c r="EG117" s="139"/>
      <c r="EH117" s="139"/>
      <c r="EI117" s="139"/>
      <c r="EJ117" s="139"/>
      <c r="EK117" s="139"/>
      <c r="EL117" s="139"/>
      <c r="EM117" s="139"/>
      <c r="EN117" s="139"/>
      <c r="EO117" s="139"/>
      <c r="EP117" s="139"/>
      <c r="EQ117" s="139"/>
      <c r="ER117" s="139"/>
      <c r="ES117" s="139"/>
      <c r="ET117" s="139"/>
      <c r="EU117" s="139"/>
      <c r="EV117" s="139"/>
      <c r="EW117" s="139"/>
      <c r="EX117" s="139"/>
      <c r="EY117" s="139"/>
      <c r="EZ117" s="139"/>
      <c r="FA117" s="139"/>
      <c r="FB117" s="139"/>
      <c r="FC117" s="139"/>
      <c r="FD117" s="139"/>
      <c r="FE117" s="139"/>
      <c r="FF117" s="139"/>
      <c r="FG117" s="139"/>
      <c r="FH117" s="139"/>
      <c r="FI117" s="139"/>
      <c r="FJ117" s="139"/>
      <c r="FK117" s="139"/>
      <c r="FL117" s="139"/>
      <c r="FM117" s="139"/>
      <c r="FN117" s="139"/>
      <c r="FO117" s="139"/>
      <c r="FP117" s="139"/>
      <c r="FQ117" s="139"/>
      <c r="FR117" s="139"/>
      <c r="FS117" s="139"/>
      <c r="FT117" s="139"/>
      <c r="FU117" s="139"/>
      <c r="FV117" s="139"/>
      <c r="FW117" s="139"/>
      <c r="FX117" s="139"/>
      <c r="FY117" s="139"/>
      <c r="FZ117" s="139"/>
      <c r="GA117" s="139"/>
      <c r="GB117" s="139"/>
      <c r="GC117" s="139"/>
      <c r="GD117" s="139"/>
      <c r="GE117" s="139"/>
      <c r="GF117" s="139"/>
      <c r="GG117" s="139"/>
      <c r="GH117" s="139"/>
      <c r="GI117" s="139"/>
      <c r="GJ117" s="139"/>
      <c r="GK117" s="139"/>
      <c r="GL117" s="139"/>
      <c r="GM117" s="139"/>
      <c r="GN117" s="139"/>
      <c r="GO117" s="139"/>
      <c r="GP117" s="139"/>
      <c r="GQ117" s="139"/>
      <c r="GR117" s="139"/>
      <c r="GS117" s="139"/>
      <c r="GT117" s="139"/>
      <c r="GU117" s="139"/>
      <c r="GV117" s="139"/>
      <c r="GW117" s="139"/>
      <c r="GX117" s="139"/>
      <c r="GY117" s="139"/>
      <c r="GZ117" s="139"/>
      <c r="HA117" s="139"/>
      <c r="HB117" s="139"/>
      <c r="HC117" s="139"/>
      <c r="HD117" s="139"/>
      <c r="HE117" s="139"/>
      <c r="HF117" s="139"/>
      <c r="HG117" s="139"/>
      <c r="HH117" s="139"/>
      <c r="HI117" s="139"/>
      <c r="HJ117" s="139"/>
      <c r="HK117" s="139"/>
      <c r="HL117" s="139"/>
      <c r="HM117" s="139"/>
      <c r="HN117" s="139"/>
      <c r="HO117" s="139"/>
      <c r="HP117" s="139"/>
      <c r="HQ117" s="139"/>
      <c r="HR117" s="139"/>
      <c r="HS117" s="139"/>
      <c r="HT117" s="139"/>
      <c r="HU117" s="139"/>
      <c r="HV117" s="139"/>
      <c r="HW117" s="139"/>
      <c r="HX117" s="139"/>
      <c r="HY117" s="139"/>
      <c r="HZ117" s="139"/>
      <c r="IA117" s="139"/>
      <c r="IB117" s="139"/>
      <c r="IC117" s="139"/>
      <c r="ID117" s="139"/>
      <c r="IE117" s="139"/>
      <c r="IF117" s="139"/>
      <c r="IG117" s="139"/>
      <c r="IH117" s="139"/>
      <c r="II117" s="139"/>
      <c r="IJ117" s="139"/>
      <c r="IK117" s="139"/>
      <c r="IL117" s="139"/>
      <c r="IM117" s="139"/>
      <c r="IN117" s="139"/>
      <c r="IO117" s="139"/>
      <c r="IP117" s="139"/>
      <c r="IQ117" s="139"/>
      <c r="IR117" s="139"/>
      <c r="IS117" s="139"/>
      <c r="IT117" s="139"/>
      <c r="IU117" s="139"/>
      <c r="IV117" s="139"/>
    </row>
    <row r="118" spans="1:256" x14ac:dyDescent="0.25">
      <c r="A118" s="118" t="str">
        <f t="shared" si="1"/>
        <v>1/4STL PLATE</v>
      </c>
      <c r="B118" s="136"/>
      <c r="C118" s="170"/>
      <c r="D118" s="121" t="s">
        <v>1156</v>
      </c>
      <c r="E118" s="122" t="s">
        <v>943</v>
      </c>
      <c r="F118" s="123" t="s">
        <v>1128</v>
      </c>
      <c r="G118" s="123" t="s">
        <v>1128</v>
      </c>
      <c r="H118" s="207">
        <v>0.25001000000000001</v>
      </c>
      <c r="I118" s="123" t="s">
        <v>716</v>
      </c>
      <c r="J118" s="123" t="s">
        <v>705</v>
      </c>
      <c r="K118" s="130" t="s">
        <v>1162</v>
      </c>
      <c r="L118" s="121" t="s">
        <v>1163</v>
      </c>
      <c r="M118" s="123" t="s">
        <v>1159</v>
      </c>
      <c r="N118" s="123" t="s">
        <v>716</v>
      </c>
      <c r="O118" s="123" t="s">
        <v>1020</v>
      </c>
      <c r="P118" s="123" t="s">
        <v>711</v>
      </c>
      <c r="Q118" s="123" t="s">
        <v>1160</v>
      </c>
      <c r="R118" s="123" t="s">
        <v>1164</v>
      </c>
      <c r="S118" s="123" t="s">
        <v>713</v>
      </c>
      <c r="T118" s="123" t="s">
        <v>713</v>
      </c>
      <c r="U118" s="138"/>
      <c r="V118" s="139"/>
      <c r="W118" s="139"/>
      <c r="X118" s="139"/>
      <c r="Y118" s="139"/>
      <c r="Z118" s="139"/>
      <c r="AA118" s="139"/>
      <c r="AB118" s="139"/>
      <c r="AC118" s="139"/>
      <c r="AD118" s="139"/>
      <c r="AE118" s="139"/>
      <c r="AF118" s="139"/>
      <c r="AG118" s="139"/>
      <c r="AH118" s="139"/>
      <c r="AI118" s="139"/>
      <c r="AJ118" s="139"/>
      <c r="AK118" s="139"/>
      <c r="AL118" s="139"/>
      <c r="AM118" s="139"/>
      <c r="AN118" s="139"/>
      <c r="AO118" s="139"/>
      <c r="AP118" s="139"/>
      <c r="AQ118" s="139"/>
      <c r="AR118" s="139"/>
      <c r="AS118" s="139"/>
      <c r="AT118" s="139"/>
      <c r="AU118" s="139"/>
      <c r="AV118" s="139"/>
      <c r="AW118" s="139"/>
      <c r="AX118" s="139"/>
      <c r="AY118" s="139"/>
      <c r="AZ118" s="139"/>
      <c r="BA118" s="139"/>
      <c r="BB118" s="139"/>
      <c r="BC118" s="139"/>
      <c r="BD118" s="139"/>
      <c r="BE118" s="139"/>
      <c r="BF118" s="139"/>
      <c r="BG118" s="139"/>
      <c r="BH118" s="139"/>
      <c r="BI118" s="139"/>
      <c r="BJ118" s="139"/>
      <c r="BK118" s="139"/>
      <c r="BL118" s="139"/>
      <c r="BM118" s="139"/>
      <c r="BN118" s="139"/>
      <c r="BO118" s="139"/>
      <c r="BP118" s="139"/>
      <c r="BQ118" s="139"/>
      <c r="BR118" s="139"/>
      <c r="BS118" s="139"/>
      <c r="BT118" s="139"/>
      <c r="BU118" s="139"/>
      <c r="BV118" s="139"/>
      <c r="BW118" s="139"/>
      <c r="BX118" s="139"/>
      <c r="BY118" s="139"/>
      <c r="BZ118" s="139"/>
      <c r="CA118" s="139"/>
      <c r="CB118" s="139"/>
      <c r="CC118" s="139"/>
      <c r="CD118" s="139"/>
      <c r="CE118" s="139"/>
      <c r="CF118" s="139"/>
      <c r="CG118" s="139"/>
      <c r="CH118" s="139"/>
      <c r="CI118" s="139"/>
      <c r="CJ118" s="139"/>
      <c r="CK118" s="139"/>
      <c r="CL118" s="139"/>
      <c r="CM118" s="139"/>
      <c r="CN118" s="139"/>
      <c r="CO118" s="139"/>
      <c r="CP118" s="139"/>
      <c r="CQ118" s="139"/>
      <c r="CR118" s="139"/>
      <c r="CS118" s="139"/>
      <c r="CT118" s="139"/>
      <c r="CU118" s="139"/>
      <c r="CV118" s="139"/>
      <c r="CW118" s="139"/>
      <c r="CX118" s="139"/>
      <c r="CY118" s="139"/>
      <c r="CZ118" s="139"/>
      <c r="DA118" s="139"/>
      <c r="DB118" s="139"/>
      <c r="DC118" s="139"/>
      <c r="DD118" s="139"/>
      <c r="DE118" s="139"/>
      <c r="DF118" s="139"/>
      <c r="DG118" s="139"/>
      <c r="DH118" s="139"/>
      <c r="DI118" s="139"/>
      <c r="DJ118" s="139"/>
      <c r="DK118" s="139"/>
      <c r="DL118" s="139"/>
      <c r="DM118" s="139"/>
      <c r="DN118" s="139"/>
      <c r="DO118" s="139"/>
      <c r="DP118" s="139"/>
      <c r="DQ118" s="139"/>
      <c r="DR118" s="139"/>
      <c r="DS118" s="139"/>
      <c r="DT118" s="139"/>
      <c r="DU118" s="139"/>
      <c r="DV118" s="139"/>
      <c r="DW118" s="139"/>
      <c r="DX118" s="139"/>
      <c r="DY118" s="139"/>
      <c r="DZ118" s="139"/>
      <c r="EA118" s="139"/>
      <c r="EB118" s="139"/>
      <c r="EC118" s="139"/>
      <c r="ED118" s="139"/>
      <c r="EE118" s="139"/>
      <c r="EF118" s="139"/>
      <c r="EG118" s="139"/>
      <c r="EH118" s="139"/>
      <c r="EI118" s="139"/>
      <c r="EJ118" s="139"/>
      <c r="EK118" s="139"/>
      <c r="EL118" s="139"/>
      <c r="EM118" s="139"/>
      <c r="EN118" s="139"/>
      <c r="EO118" s="139"/>
      <c r="EP118" s="139"/>
      <c r="EQ118" s="139"/>
      <c r="ER118" s="139"/>
      <c r="ES118" s="139"/>
      <c r="ET118" s="139"/>
      <c r="EU118" s="139"/>
      <c r="EV118" s="139"/>
      <c r="EW118" s="139"/>
      <c r="EX118" s="139"/>
      <c r="EY118" s="139"/>
      <c r="EZ118" s="139"/>
      <c r="FA118" s="139"/>
      <c r="FB118" s="139"/>
      <c r="FC118" s="139"/>
      <c r="FD118" s="139"/>
      <c r="FE118" s="139"/>
      <c r="FF118" s="139"/>
      <c r="FG118" s="139"/>
      <c r="FH118" s="139"/>
      <c r="FI118" s="139"/>
      <c r="FJ118" s="139"/>
      <c r="FK118" s="139"/>
      <c r="FL118" s="139"/>
      <c r="FM118" s="139"/>
      <c r="FN118" s="139"/>
      <c r="FO118" s="139"/>
      <c r="FP118" s="139"/>
      <c r="FQ118" s="139"/>
      <c r="FR118" s="139"/>
      <c r="FS118" s="139"/>
      <c r="FT118" s="139"/>
      <c r="FU118" s="139"/>
      <c r="FV118" s="139"/>
      <c r="FW118" s="139"/>
      <c r="FX118" s="139"/>
      <c r="FY118" s="139"/>
      <c r="FZ118" s="139"/>
      <c r="GA118" s="139"/>
      <c r="GB118" s="139"/>
      <c r="GC118" s="139"/>
      <c r="GD118" s="139"/>
      <c r="GE118" s="139"/>
      <c r="GF118" s="139"/>
      <c r="GG118" s="139"/>
      <c r="GH118" s="139"/>
      <c r="GI118" s="139"/>
      <c r="GJ118" s="139"/>
      <c r="GK118" s="139"/>
      <c r="GL118" s="139"/>
      <c r="GM118" s="139"/>
      <c r="GN118" s="139"/>
      <c r="GO118" s="139"/>
      <c r="GP118" s="139"/>
      <c r="GQ118" s="139"/>
      <c r="GR118" s="139"/>
      <c r="GS118" s="139"/>
      <c r="GT118" s="139"/>
      <c r="GU118" s="139"/>
      <c r="GV118" s="139"/>
      <c r="GW118" s="139"/>
      <c r="GX118" s="139"/>
      <c r="GY118" s="139"/>
      <c r="GZ118" s="139"/>
      <c r="HA118" s="139"/>
      <c r="HB118" s="139"/>
      <c r="HC118" s="139"/>
      <c r="HD118" s="139"/>
      <c r="HE118" s="139"/>
      <c r="HF118" s="139"/>
      <c r="HG118" s="139"/>
      <c r="HH118" s="139"/>
      <c r="HI118" s="139"/>
      <c r="HJ118" s="139"/>
      <c r="HK118" s="139"/>
      <c r="HL118" s="139"/>
      <c r="HM118" s="139"/>
      <c r="HN118" s="139"/>
      <c r="HO118" s="139"/>
      <c r="HP118" s="139"/>
      <c r="HQ118" s="139"/>
      <c r="HR118" s="139"/>
      <c r="HS118" s="139"/>
      <c r="HT118" s="139"/>
      <c r="HU118" s="139"/>
      <c r="HV118" s="139"/>
      <c r="HW118" s="139"/>
      <c r="HX118" s="139"/>
      <c r="HY118" s="139"/>
      <c r="HZ118" s="139"/>
      <c r="IA118" s="139"/>
      <c r="IB118" s="139"/>
      <c r="IC118" s="139"/>
      <c r="ID118" s="139"/>
      <c r="IE118" s="139"/>
      <c r="IF118" s="139"/>
      <c r="IG118" s="139"/>
      <c r="IH118" s="139"/>
      <c r="II118" s="139"/>
      <c r="IJ118" s="139"/>
      <c r="IK118" s="139"/>
      <c r="IL118" s="139"/>
      <c r="IM118" s="139"/>
      <c r="IN118" s="139"/>
      <c r="IO118" s="139"/>
      <c r="IP118" s="139"/>
      <c r="IQ118" s="139"/>
      <c r="IR118" s="139"/>
      <c r="IS118" s="139"/>
      <c r="IT118" s="139"/>
      <c r="IU118" s="139"/>
      <c r="IV118" s="139"/>
    </row>
    <row r="119" spans="1:256" x14ac:dyDescent="0.25">
      <c r="A119" s="118" t="str">
        <f t="shared" si="1"/>
        <v>5/16STL PLATE</v>
      </c>
      <c r="B119" s="136"/>
      <c r="C119" s="170"/>
      <c r="D119" s="122" t="s">
        <v>1156</v>
      </c>
      <c r="E119" s="122" t="s">
        <v>938</v>
      </c>
      <c r="F119" s="123" t="s">
        <v>1165</v>
      </c>
      <c r="G119" s="123" t="s">
        <v>1165</v>
      </c>
      <c r="H119" s="124">
        <v>0.31301000000000001</v>
      </c>
      <c r="I119" s="123" t="s">
        <v>716</v>
      </c>
      <c r="J119" s="123" t="s">
        <v>705</v>
      </c>
      <c r="K119" s="123" t="s">
        <v>1166</v>
      </c>
      <c r="L119" s="122" t="s">
        <v>1167</v>
      </c>
      <c r="M119" s="123" t="s">
        <v>1159</v>
      </c>
      <c r="N119" s="123" t="s">
        <v>716</v>
      </c>
      <c r="O119" s="130" t="s">
        <v>1168</v>
      </c>
      <c r="P119" s="130" t="s">
        <v>711</v>
      </c>
      <c r="Q119" s="123" t="s">
        <v>1160</v>
      </c>
      <c r="R119" s="123" t="s">
        <v>1169</v>
      </c>
      <c r="S119" s="123" t="s">
        <v>713</v>
      </c>
      <c r="T119" s="123" t="s">
        <v>713</v>
      </c>
      <c r="U119" s="138"/>
      <c r="V119" s="139"/>
      <c r="W119" s="139"/>
      <c r="X119" s="139"/>
      <c r="Y119" s="139"/>
      <c r="Z119" s="139"/>
      <c r="AA119" s="139"/>
      <c r="AB119" s="139"/>
      <c r="AC119" s="139"/>
      <c r="AD119" s="139"/>
      <c r="AE119" s="139"/>
      <c r="AF119" s="139"/>
      <c r="AG119" s="139"/>
      <c r="AH119" s="139"/>
      <c r="AI119" s="139"/>
      <c r="AJ119" s="139"/>
      <c r="AK119" s="139"/>
      <c r="AL119" s="139"/>
      <c r="AM119" s="139"/>
      <c r="AN119" s="139"/>
      <c r="AO119" s="139"/>
      <c r="AP119" s="139"/>
      <c r="AQ119" s="139"/>
      <c r="AR119" s="139"/>
      <c r="AS119" s="139"/>
      <c r="AT119" s="139"/>
      <c r="AU119" s="139"/>
      <c r="AV119" s="139"/>
      <c r="AW119" s="139"/>
      <c r="AX119" s="139"/>
      <c r="AY119" s="139"/>
      <c r="AZ119" s="139"/>
      <c r="BA119" s="139"/>
      <c r="BB119" s="139"/>
      <c r="BC119" s="139"/>
      <c r="BD119" s="139"/>
      <c r="BE119" s="139"/>
      <c r="BF119" s="139"/>
      <c r="BG119" s="139"/>
      <c r="BH119" s="139"/>
      <c r="BI119" s="139"/>
      <c r="BJ119" s="139"/>
      <c r="BK119" s="139"/>
      <c r="BL119" s="139"/>
      <c r="BM119" s="139"/>
      <c r="BN119" s="139"/>
      <c r="BO119" s="139"/>
      <c r="BP119" s="139"/>
      <c r="BQ119" s="139"/>
      <c r="BR119" s="139"/>
      <c r="BS119" s="139"/>
      <c r="BT119" s="139"/>
      <c r="BU119" s="139"/>
      <c r="BV119" s="139"/>
      <c r="BW119" s="139"/>
      <c r="BX119" s="139"/>
      <c r="BY119" s="139"/>
      <c r="BZ119" s="139"/>
      <c r="CA119" s="139"/>
      <c r="CB119" s="139"/>
      <c r="CC119" s="139"/>
      <c r="CD119" s="139"/>
      <c r="CE119" s="139"/>
      <c r="CF119" s="139"/>
      <c r="CG119" s="139"/>
      <c r="CH119" s="139"/>
      <c r="CI119" s="139"/>
      <c r="CJ119" s="139"/>
      <c r="CK119" s="139"/>
      <c r="CL119" s="139"/>
      <c r="CM119" s="139"/>
      <c r="CN119" s="139"/>
      <c r="CO119" s="139"/>
      <c r="CP119" s="139"/>
      <c r="CQ119" s="139"/>
      <c r="CR119" s="139"/>
      <c r="CS119" s="139"/>
      <c r="CT119" s="139"/>
      <c r="CU119" s="139"/>
      <c r="CV119" s="139"/>
      <c r="CW119" s="139"/>
      <c r="CX119" s="139"/>
      <c r="CY119" s="139"/>
      <c r="CZ119" s="139"/>
      <c r="DA119" s="139"/>
      <c r="DB119" s="139"/>
      <c r="DC119" s="139"/>
      <c r="DD119" s="139"/>
      <c r="DE119" s="139"/>
      <c r="DF119" s="139"/>
      <c r="DG119" s="139"/>
      <c r="DH119" s="139"/>
      <c r="DI119" s="139"/>
      <c r="DJ119" s="139"/>
      <c r="DK119" s="139"/>
      <c r="DL119" s="139"/>
      <c r="DM119" s="139"/>
      <c r="DN119" s="139"/>
      <c r="DO119" s="139"/>
      <c r="DP119" s="139"/>
      <c r="DQ119" s="139"/>
      <c r="DR119" s="139"/>
      <c r="DS119" s="139"/>
      <c r="DT119" s="139"/>
      <c r="DU119" s="139"/>
      <c r="DV119" s="139"/>
      <c r="DW119" s="139"/>
      <c r="DX119" s="139"/>
      <c r="DY119" s="139"/>
      <c r="DZ119" s="139"/>
      <c r="EA119" s="139"/>
      <c r="EB119" s="139"/>
      <c r="EC119" s="139"/>
      <c r="ED119" s="139"/>
      <c r="EE119" s="139"/>
      <c r="EF119" s="139"/>
      <c r="EG119" s="139"/>
      <c r="EH119" s="139"/>
      <c r="EI119" s="139"/>
      <c r="EJ119" s="139"/>
      <c r="EK119" s="139"/>
      <c r="EL119" s="139"/>
      <c r="EM119" s="139"/>
      <c r="EN119" s="139"/>
      <c r="EO119" s="139"/>
      <c r="EP119" s="139"/>
      <c r="EQ119" s="139"/>
      <c r="ER119" s="139"/>
      <c r="ES119" s="139"/>
      <c r="ET119" s="139"/>
      <c r="EU119" s="139"/>
      <c r="EV119" s="139"/>
      <c r="EW119" s="139"/>
      <c r="EX119" s="139"/>
      <c r="EY119" s="139"/>
      <c r="EZ119" s="139"/>
      <c r="FA119" s="139"/>
      <c r="FB119" s="139"/>
      <c r="FC119" s="139"/>
      <c r="FD119" s="139"/>
      <c r="FE119" s="139"/>
      <c r="FF119" s="139"/>
      <c r="FG119" s="139"/>
      <c r="FH119" s="139"/>
      <c r="FI119" s="139"/>
      <c r="FJ119" s="139"/>
      <c r="FK119" s="139"/>
      <c r="FL119" s="139"/>
      <c r="FM119" s="139"/>
      <c r="FN119" s="139"/>
      <c r="FO119" s="139"/>
      <c r="FP119" s="139"/>
      <c r="FQ119" s="139"/>
      <c r="FR119" s="139"/>
      <c r="FS119" s="139"/>
      <c r="FT119" s="139"/>
      <c r="FU119" s="139"/>
      <c r="FV119" s="139"/>
      <c r="FW119" s="139"/>
      <c r="FX119" s="139"/>
      <c r="FY119" s="139"/>
      <c r="FZ119" s="139"/>
      <c r="GA119" s="139"/>
      <c r="GB119" s="139"/>
      <c r="GC119" s="139"/>
      <c r="GD119" s="139"/>
      <c r="GE119" s="139"/>
      <c r="GF119" s="139"/>
      <c r="GG119" s="139"/>
      <c r="GH119" s="139"/>
      <c r="GI119" s="139"/>
      <c r="GJ119" s="139"/>
      <c r="GK119" s="139"/>
      <c r="GL119" s="139"/>
      <c r="GM119" s="139"/>
      <c r="GN119" s="139"/>
      <c r="GO119" s="139"/>
      <c r="GP119" s="139"/>
      <c r="GQ119" s="139"/>
      <c r="GR119" s="139"/>
      <c r="GS119" s="139"/>
      <c r="GT119" s="139"/>
      <c r="GU119" s="139"/>
      <c r="GV119" s="139"/>
      <c r="GW119" s="139"/>
      <c r="GX119" s="139"/>
      <c r="GY119" s="139"/>
      <c r="GZ119" s="139"/>
      <c r="HA119" s="139"/>
      <c r="HB119" s="139"/>
      <c r="HC119" s="139"/>
      <c r="HD119" s="139"/>
      <c r="HE119" s="139"/>
      <c r="HF119" s="139"/>
      <c r="HG119" s="139"/>
      <c r="HH119" s="139"/>
      <c r="HI119" s="139"/>
      <c r="HJ119" s="139"/>
      <c r="HK119" s="139"/>
      <c r="HL119" s="139"/>
      <c r="HM119" s="139"/>
      <c r="HN119" s="139"/>
      <c r="HO119" s="139"/>
      <c r="HP119" s="139"/>
      <c r="HQ119" s="139"/>
      <c r="HR119" s="139"/>
      <c r="HS119" s="139"/>
      <c r="HT119" s="139"/>
      <c r="HU119" s="139"/>
      <c r="HV119" s="139"/>
      <c r="HW119" s="139"/>
      <c r="HX119" s="139"/>
      <c r="HY119" s="139"/>
      <c r="HZ119" s="139"/>
      <c r="IA119" s="139"/>
      <c r="IB119" s="139"/>
      <c r="IC119" s="139"/>
      <c r="ID119" s="139"/>
      <c r="IE119" s="139"/>
      <c r="IF119" s="139"/>
      <c r="IG119" s="139"/>
      <c r="IH119" s="139"/>
      <c r="II119" s="139"/>
      <c r="IJ119" s="139"/>
      <c r="IK119" s="139"/>
      <c r="IL119" s="139"/>
      <c r="IM119" s="139"/>
      <c r="IN119" s="139"/>
      <c r="IO119" s="139"/>
      <c r="IP119" s="139"/>
      <c r="IQ119" s="139"/>
      <c r="IR119" s="139"/>
      <c r="IS119" s="139"/>
      <c r="IT119" s="139"/>
      <c r="IU119" s="139"/>
      <c r="IV119" s="139"/>
    </row>
    <row r="120" spans="1:256" x14ac:dyDescent="0.25">
      <c r="A120" s="118" t="str">
        <f t="shared" si="1"/>
        <v>3/8STL PLATE</v>
      </c>
      <c r="B120" s="136"/>
      <c r="C120" s="170"/>
      <c r="D120" s="122" t="s">
        <v>1156</v>
      </c>
      <c r="E120" s="122" t="s">
        <v>939</v>
      </c>
      <c r="F120" s="123" t="s">
        <v>1170</v>
      </c>
      <c r="G120" s="206" t="s">
        <v>1170</v>
      </c>
      <c r="H120" s="124">
        <v>0.37501000000000001</v>
      </c>
      <c r="I120" s="123" t="s">
        <v>716</v>
      </c>
      <c r="J120" s="123" t="s">
        <v>705</v>
      </c>
      <c r="K120" s="123" t="s">
        <v>1171</v>
      </c>
      <c r="L120" s="122" t="s">
        <v>1172</v>
      </c>
      <c r="M120" s="123" t="s">
        <v>1159</v>
      </c>
      <c r="N120" s="123" t="s">
        <v>716</v>
      </c>
      <c r="O120" s="130" t="s">
        <v>1020</v>
      </c>
      <c r="P120" s="130" t="s">
        <v>711</v>
      </c>
      <c r="Q120" s="123" t="s">
        <v>1160</v>
      </c>
      <c r="R120" s="123" t="s">
        <v>1173</v>
      </c>
      <c r="S120" s="123" t="s">
        <v>713</v>
      </c>
      <c r="T120" s="123" t="s">
        <v>713</v>
      </c>
      <c r="U120" s="138"/>
      <c r="V120" s="139"/>
      <c r="W120" s="139"/>
      <c r="X120" s="139"/>
      <c r="Y120" s="139"/>
      <c r="Z120" s="139"/>
      <c r="AA120" s="139"/>
      <c r="AB120" s="139"/>
      <c r="AC120" s="139"/>
      <c r="AD120" s="139"/>
      <c r="AE120" s="139"/>
      <c r="AF120" s="139"/>
      <c r="AG120" s="139"/>
      <c r="AH120" s="139"/>
      <c r="AI120" s="139"/>
      <c r="AJ120" s="139"/>
      <c r="AK120" s="139"/>
      <c r="AL120" s="139"/>
      <c r="AM120" s="139"/>
      <c r="AN120" s="139"/>
      <c r="AO120" s="139"/>
      <c r="AP120" s="139"/>
      <c r="AQ120" s="139"/>
      <c r="AR120" s="139"/>
      <c r="AS120" s="139"/>
      <c r="AT120" s="139"/>
      <c r="AU120" s="139"/>
      <c r="AV120" s="139"/>
      <c r="AW120" s="139"/>
      <c r="AX120" s="139"/>
      <c r="AY120" s="139"/>
      <c r="AZ120" s="139"/>
      <c r="BA120" s="139"/>
      <c r="BB120" s="139"/>
      <c r="BC120" s="139"/>
      <c r="BD120" s="139"/>
      <c r="BE120" s="139"/>
      <c r="BF120" s="139"/>
      <c r="BG120" s="139"/>
      <c r="BH120" s="139"/>
      <c r="BI120" s="139"/>
      <c r="BJ120" s="139"/>
      <c r="BK120" s="139"/>
      <c r="BL120" s="139"/>
      <c r="BM120" s="139"/>
      <c r="BN120" s="139"/>
      <c r="BO120" s="139"/>
      <c r="BP120" s="139"/>
      <c r="BQ120" s="139"/>
      <c r="BR120" s="139"/>
      <c r="BS120" s="139"/>
      <c r="BT120" s="139"/>
      <c r="BU120" s="139"/>
      <c r="BV120" s="139"/>
      <c r="BW120" s="139"/>
      <c r="BX120" s="139"/>
      <c r="BY120" s="139"/>
      <c r="BZ120" s="139"/>
      <c r="CA120" s="139"/>
      <c r="CB120" s="139"/>
      <c r="CC120" s="139"/>
      <c r="CD120" s="139"/>
      <c r="CE120" s="139"/>
      <c r="CF120" s="139"/>
      <c r="CG120" s="139"/>
      <c r="CH120" s="139"/>
      <c r="CI120" s="139"/>
      <c r="CJ120" s="139"/>
      <c r="CK120" s="139"/>
      <c r="CL120" s="139"/>
      <c r="CM120" s="139"/>
      <c r="CN120" s="139"/>
      <c r="CO120" s="139"/>
      <c r="CP120" s="139"/>
      <c r="CQ120" s="139"/>
      <c r="CR120" s="139"/>
      <c r="CS120" s="139"/>
      <c r="CT120" s="139"/>
      <c r="CU120" s="139"/>
      <c r="CV120" s="139"/>
      <c r="CW120" s="139"/>
      <c r="CX120" s="139"/>
      <c r="CY120" s="139"/>
      <c r="CZ120" s="139"/>
      <c r="DA120" s="139"/>
      <c r="DB120" s="139"/>
      <c r="DC120" s="139"/>
      <c r="DD120" s="139"/>
      <c r="DE120" s="139"/>
      <c r="DF120" s="139"/>
      <c r="DG120" s="139"/>
      <c r="DH120" s="139"/>
      <c r="DI120" s="139"/>
      <c r="DJ120" s="139"/>
      <c r="DK120" s="139"/>
      <c r="DL120" s="139"/>
      <c r="DM120" s="139"/>
      <c r="DN120" s="139"/>
      <c r="DO120" s="139"/>
      <c r="DP120" s="139"/>
      <c r="DQ120" s="139"/>
      <c r="DR120" s="139"/>
      <c r="DS120" s="139"/>
      <c r="DT120" s="139"/>
      <c r="DU120" s="139"/>
      <c r="DV120" s="139"/>
      <c r="DW120" s="139"/>
      <c r="DX120" s="139"/>
      <c r="DY120" s="139"/>
      <c r="DZ120" s="139"/>
      <c r="EA120" s="139"/>
      <c r="EB120" s="139"/>
      <c r="EC120" s="139"/>
      <c r="ED120" s="139"/>
      <c r="EE120" s="139"/>
      <c r="EF120" s="139"/>
      <c r="EG120" s="139"/>
      <c r="EH120" s="139"/>
      <c r="EI120" s="139"/>
      <c r="EJ120" s="139"/>
      <c r="EK120" s="139"/>
      <c r="EL120" s="139"/>
      <c r="EM120" s="139"/>
      <c r="EN120" s="139"/>
      <c r="EO120" s="139"/>
      <c r="EP120" s="139"/>
      <c r="EQ120" s="139"/>
      <c r="ER120" s="139"/>
      <c r="ES120" s="139"/>
      <c r="ET120" s="139"/>
      <c r="EU120" s="139"/>
      <c r="EV120" s="139"/>
      <c r="EW120" s="139"/>
      <c r="EX120" s="139"/>
      <c r="EY120" s="139"/>
      <c r="EZ120" s="139"/>
      <c r="FA120" s="139"/>
      <c r="FB120" s="139"/>
      <c r="FC120" s="139"/>
      <c r="FD120" s="139"/>
      <c r="FE120" s="139"/>
      <c r="FF120" s="139"/>
      <c r="FG120" s="139"/>
      <c r="FH120" s="139"/>
      <c r="FI120" s="139"/>
      <c r="FJ120" s="139"/>
      <c r="FK120" s="139"/>
      <c r="FL120" s="139"/>
      <c r="FM120" s="139"/>
      <c r="FN120" s="139"/>
      <c r="FO120" s="139"/>
      <c r="FP120" s="139"/>
      <c r="FQ120" s="139"/>
      <c r="FR120" s="139"/>
      <c r="FS120" s="139"/>
      <c r="FT120" s="139"/>
      <c r="FU120" s="139"/>
      <c r="FV120" s="139"/>
      <c r="FW120" s="139"/>
      <c r="FX120" s="139"/>
      <c r="FY120" s="139"/>
      <c r="FZ120" s="139"/>
      <c r="GA120" s="139"/>
      <c r="GB120" s="139"/>
      <c r="GC120" s="139"/>
      <c r="GD120" s="139"/>
      <c r="GE120" s="139"/>
      <c r="GF120" s="139"/>
      <c r="GG120" s="139"/>
      <c r="GH120" s="139"/>
      <c r="GI120" s="139"/>
      <c r="GJ120" s="139"/>
      <c r="GK120" s="139"/>
      <c r="GL120" s="139"/>
      <c r="GM120" s="139"/>
      <c r="GN120" s="139"/>
      <c r="GO120" s="139"/>
      <c r="GP120" s="139"/>
      <c r="GQ120" s="139"/>
      <c r="GR120" s="139"/>
      <c r="GS120" s="139"/>
      <c r="GT120" s="139"/>
      <c r="GU120" s="139"/>
      <c r="GV120" s="139"/>
      <c r="GW120" s="139"/>
      <c r="GX120" s="139"/>
      <c r="GY120" s="139"/>
      <c r="GZ120" s="139"/>
      <c r="HA120" s="139"/>
      <c r="HB120" s="139"/>
      <c r="HC120" s="139"/>
      <c r="HD120" s="139"/>
      <c r="HE120" s="139"/>
      <c r="HF120" s="139"/>
      <c r="HG120" s="139"/>
      <c r="HH120" s="139"/>
      <c r="HI120" s="139"/>
      <c r="HJ120" s="139"/>
      <c r="HK120" s="139"/>
      <c r="HL120" s="139"/>
      <c r="HM120" s="139"/>
      <c r="HN120" s="139"/>
      <c r="HO120" s="139"/>
      <c r="HP120" s="139"/>
      <c r="HQ120" s="139"/>
      <c r="HR120" s="139"/>
      <c r="HS120" s="139"/>
      <c r="HT120" s="139"/>
      <c r="HU120" s="139"/>
      <c r="HV120" s="139"/>
      <c r="HW120" s="139"/>
      <c r="HX120" s="139"/>
      <c r="HY120" s="139"/>
      <c r="HZ120" s="139"/>
      <c r="IA120" s="139"/>
      <c r="IB120" s="139"/>
      <c r="IC120" s="139"/>
      <c r="ID120" s="139"/>
      <c r="IE120" s="139"/>
      <c r="IF120" s="139"/>
      <c r="IG120" s="139"/>
      <c r="IH120" s="139"/>
      <c r="II120" s="139"/>
      <c r="IJ120" s="139"/>
      <c r="IK120" s="139"/>
      <c r="IL120" s="139"/>
      <c r="IM120" s="139"/>
      <c r="IN120" s="139"/>
      <c r="IO120" s="139"/>
      <c r="IP120" s="139"/>
      <c r="IQ120" s="139"/>
      <c r="IR120" s="139"/>
      <c r="IS120" s="139"/>
      <c r="IT120" s="139"/>
      <c r="IU120" s="139"/>
      <c r="IV120" s="139"/>
    </row>
    <row r="121" spans="1:256" ht="18" customHeight="1" thickBot="1" x14ac:dyDescent="0.3">
      <c r="A121" s="141" t="str">
        <f t="shared" si="1"/>
        <v>1/2STL PLATE</v>
      </c>
      <c r="B121" s="136"/>
      <c r="C121" s="137"/>
      <c r="D121" s="143" t="s">
        <v>1156</v>
      </c>
      <c r="E121" s="208" t="s">
        <v>1174</v>
      </c>
      <c r="F121" s="144" t="s">
        <v>1175</v>
      </c>
      <c r="G121" s="144" t="s">
        <v>1175</v>
      </c>
      <c r="H121" s="145">
        <v>0.5</v>
      </c>
      <c r="I121" s="144" t="s">
        <v>716</v>
      </c>
      <c r="J121" s="144" t="s">
        <v>705</v>
      </c>
      <c r="K121" s="144" t="s">
        <v>1176</v>
      </c>
      <c r="L121" s="143" t="s">
        <v>1177</v>
      </c>
      <c r="M121" s="144" t="s">
        <v>1159</v>
      </c>
      <c r="N121" s="144" t="s">
        <v>716</v>
      </c>
      <c r="O121" s="161" t="s">
        <v>1020</v>
      </c>
      <c r="P121" s="161" t="s">
        <v>711</v>
      </c>
      <c r="Q121" s="144" t="s">
        <v>1160</v>
      </c>
      <c r="R121" s="144" t="s">
        <v>1178</v>
      </c>
      <c r="S121" s="144" t="s">
        <v>713</v>
      </c>
      <c r="T121" s="144" t="s">
        <v>713</v>
      </c>
      <c r="U121" s="138"/>
      <c r="V121" s="139"/>
      <c r="W121" s="139"/>
      <c r="X121" s="139"/>
      <c r="Y121" s="139"/>
      <c r="Z121" s="139"/>
      <c r="AA121" s="139"/>
      <c r="AB121" s="139"/>
      <c r="AC121" s="139"/>
      <c r="AD121" s="139"/>
      <c r="AE121" s="139"/>
      <c r="AF121" s="139"/>
      <c r="AG121" s="139"/>
      <c r="AH121" s="139"/>
      <c r="AI121" s="139"/>
      <c r="AJ121" s="139"/>
      <c r="AK121" s="139"/>
      <c r="AL121" s="139"/>
      <c r="AM121" s="139"/>
      <c r="AN121" s="139"/>
      <c r="AO121" s="139"/>
      <c r="AP121" s="139"/>
      <c r="AQ121" s="139"/>
      <c r="AR121" s="139"/>
      <c r="AS121" s="139"/>
      <c r="AT121" s="139"/>
      <c r="AU121" s="139"/>
      <c r="AV121" s="139"/>
      <c r="AW121" s="139"/>
      <c r="AX121" s="139"/>
      <c r="AY121" s="139"/>
      <c r="AZ121" s="139"/>
      <c r="BA121" s="139"/>
      <c r="BB121" s="139"/>
      <c r="BC121" s="139"/>
      <c r="BD121" s="139"/>
      <c r="BE121" s="139"/>
      <c r="BF121" s="139"/>
      <c r="BG121" s="139"/>
      <c r="BH121" s="139"/>
      <c r="BI121" s="139"/>
      <c r="BJ121" s="139"/>
      <c r="BK121" s="139"/>
      <c r="BL121" s="139"/>
      <c r="BM121" s="139"/>
      <c r="BN121" s="139"/>
      <c r="BO121" s="139"/>
      <c r="BP121" s="139"/>
      <c r="BQ121" s="139"/>
      <c r="BR121" s="139"/>
      <c r="BS121" s="139"/>
      <c r="BT121" s="139"/>
      <c r="BU121" s="139"/>
      <c r="BV121" s="139"/>
      <c r="BW121" s="139"/>
      <c r="BX121" s="139"/>
      <c r="BY121" s="139"/>
      <c r="BZ121" s="139"/>
      <c r="CA121" s="139"/>
      <c r="CB121" s="139"/>
      <c r="CC121" s="139"/>
      <c r="CD121" s="139"/>
      <c r="CE121" s="139"/>
      <c r="CF121" s="139"/>
      <c r="CG121" s="139"/>
      <c r="CH121" s="139"/>
      <c r="CI121" s="139"/>
      <c r="CJ121" s="139"/>
      <c r="CK121" s="139"/>
      <c r="CL121" s="139"/>
      <c r="CM121" s="139"/>
      <c r="CN121" s="139"/>
      <c r="CO121" s="139"/>
      <c r="CP121" s="139"/>
      <c r="CQ121" s="139"/>
      <c r="CR121" s="139"/>
      <c r="CS121" s="139"/>
      <c r="CT121" s="139"/>
      <c r="CU121" s="139"/>
      <c r="CV121" s="139"/>
      <c r="CW121" s="139"/>
      <c r="CX121" s="139"/>
      <c r="CY121" s="139"/>
      <c r="CZ121" s="139"/>
      <c r="DA121" s="139"/>
      <c r="DB121" s="139"/>
      <c r="DC121" s="139"/>
      <c r="DD121" s="139"/>
      <c r="DE121" s="139"/>
      <c r="DF121" s="139"/>
      <c r="DG121" s="139"/>
      <c r="DH121" s="139"/>
      <c r="DI121" s="139"/>
      <c r="DJ121" s="139"/>
      <c r="DK121" s="139"/>
      <c r="DL121" s="139"/>
      <c r="DM121" s="139"/>
      <c r="DN121" s="139"/>
      <c r="DO121" s="139"/>
      <c r="DP121" s="139"/>
      <c r="DQ121" s="139"/>
      <c r="DR121" s="139"/>
      <c r="DS121" s="139"/>
      <c r="DT121" s="139"/>
      <c r="DU121" s="139"/>
      <c r="DV121" s="139"/>
      <c r="DW121" s="139"/>
      <c r="DX121" s="139"/>
      <c r="DY121" s="139"/>
      <c r="DZ121" s="139"/>
      <c r="EA121" s="139"/>
      <c r="EB121" s="139"/>
      <c r="EC121" s="139"/>
      <c r="ED121" s="139"/>
      <c r="EE121" s="139"/>
      <c r="EF121" s="139"/>
      <c r="EG121" s="139"/>
      <c r="EH121" s="139"/>
      <c r="EI121" s="139"/>
      <c r="EJ121" s="139"/>
      <c r="EK121" s="139"/>
      <c r="EL121" s="139"/>
      <c r="EM121" s="139"/>
      <c r="EN121" s="139"/>
      <c r="EO121" s="139"/>
      <c r="EP121" s="139"/>
      <c r="EQ121" s="139"/>
      <c r="ER121" s="139"/>
      <c r="ES121" s="139"/>
      <c r="ET121" s="139"/>
      <c r="EU121" s="139"/>
      <c r="EV121" s="139"/>
      <c r="EW121" s="139"/>
      <c r="EX121" s="139"/>
      <c r="EY121" s="139"/>
      <c r="EZ121" s="139"/>
      <c r="FA121" s="139"/>
      <c r="FB121" s="139"/>
      <c r="FC121" s="139"/>
      <c r="FD121" s="139"/>
      <c r="FE121" s="139"/>
      <c r="FF121" s="139"/>
      <c r="FG121" s="139"/>
      <c r="FH121" s="139"/>
      <c r="FI121" s="139"/>
      <c r="FJ121" s="139"/>
      <c r="FK121" s="139"/>
      <c r="FL121" s="139"/>
      <c r="FM121" s="139"/>
      <c r="FN121" s="139"/>
      <c r="FO121" s="139"/>
      <c r="FP121" s="139"/>
      <c r="FQ121" s="139"/>
      <c r="FR121" s="139"/>
      <c r="FS121" s="139"/>
      <c r="FT121" s="139"/>
      <c r="FU121" s="139"/>
      <c r="FV121" s="139"/>
      <c r="FW121" s="139"/>
      <c r="FX121" s="139"/>
      <c r="FY121" s="139"/>
      <c r="FZ121" s="139"/>
      <c r="GA121" s="139"/>
      <c r="GB121" s="139"/>
      <c r="GC121" s="139"/>
      <c r="GD121" s="139"/>
      <c r="GE121" s="139"/>
      <c r="GF121" s="139"/>
      <c r="GG121" s="139"/>
      <c r="GH121" s="139"/>
      <c r="GI121" s="139"/>
      <c r="GJ121" s="139"/>
      <c r="GK121" s="139"/>
      <c r="GL121" s="139"/>
      <c r="GM121" s="139"/>
      <c r="GN121" s="139"/>
      <c r="GO121" s="139"/>
      <c r="GP121" s="139"/>
      <c r="GQ121" s="139"/>
      <c r="GR121" s="139"/>
      <c r="GS121" s="139"/>
      <c r="GT121" s="139"/>
      <c r="GU121" s="139"/>
      <c r="GV121" s="139"/>
      <c r="GW121" s="139"/>
      <c r="GX121" s="139"/>
      <c r="GY121" s="139"/>
      <c r="GZ121" s="139"/>
      <c r="HA121" s="139"/>
      <c r="HB121" s="139"/>
      <c r="HC121" s="139"/>
      <c r="HD121" s="139"/>
      <c r="HE121" s="139"/>
      <c r="HF121" s="139"/>
      <c r="HG121" s="139"/>
      <c r="HH121" s="139"/>
      <c r="HI121" s="139"/>
      <c r="HJ121" s="139"/>
      <c r="HK121" s="139"/>
      <c r="HL121" s="139"/>
      <c r="HM121" s="139"/>
      <c r="HN121" s="139"/>
      <c r="HO121" s="139"/>
      <c r="HP121" s="139"/>
      <c r="HQ121" s="139"/>
      <c r="HR121" s="139"/>
      <c r="HS121" s="139"/>
      <c r="HT121" s="139"/>
      <c r="HU121" s="139"/>
      <c r="HV121" s="139"/>
      <c r="HW121" s="139"/>
      <c r="HX121" s="139"/>
      <c r="HY121" s="139"/>
      <c r="HZ121" s="139"/>
      <c r="IA121" s="139"/>
      <c r="IB121" s="139"/>
      <c r="IC121" s="139"/>
      <c r="ID121" s="139"/>
      <c r="IE121" s="139"/>
      <c r="IF121" s="139"/>
      <c r="IG121" s="139"/>
      <c r="IH121" s="139"/>
      <c r="II121" s="139"/>
      <c r="IJ121" s="139"/>
      <c r="IK121" s="139"/>
      <c r="IL121" s="139"/>
      <c r="IM121" s="139"/>
      <c r="IN121" s="139"/>
      <c r="IO121" s="139"/>
      <c r="IP121" s="139"/>
      <c r="IQ121" s="139"/>
      <c r="IR121" s="139"/>
      <c r="IS121" s="139"/>
      <c r="IT121" s="139"/>
      <c r="IU121" s="139"/>
      <c r="IV121" s="139"/>
    </row>
    <row r="122" spans="1:256" ht="18" customHeight="1" thickTop="1" thickBot="1" x14ac:dyDescent="0.3">
      <c r="A122" s="209"/>
      <c r="B122" s="136"/>
      <c r="C122" s="149"/>
      <c r="D122" s="164"/>
      <c r="E122" s="150"/>
      <c r="F122" s="150"/>
      <c r="G122" s="150"/>
      <c r="H122" s="150"/>
      <c r="I122" s="150"/>
      <c r="J122" s="150"/>
      <c r="K122" s="150"/>
      <c r="L122" s="150"/>
      <c r="M122" s="150"/>
      <c r="N122" s="150"/>
      <c r="O122" s="150"/>
      <c r="P122" s="150"/>
      <c r="Q122" s="150"/>
      <c r="R122" s="150"/>
      <c r="S122" s="150"/>
      <c r="T122" s="210"/>
      <c r="U122" s="138"/>
      <c r="V122" s="139"/>
      <c r="W122" s="139"/>
      <c r="X122" s="139"/>
      <c r="Y122" s="139"/>
      <c r="Z122" s="139"/>
      <c r="AA122" s="139"/>
      <c r="AB122" s="139"/>
      <c r="AC122" s="139"/>
      <c r="AD122" s="139"/>
      <c r="AE122" s="139"/>
      <c r="AF122" s="139"/>
      <c r="AG122" s="139"/>
      <c r="AH122" s="139"/>
      <c r="AI122" s="139"/>
      <c r="AJ122" s="139"/>
      <c r="AK122" s="139"/>
      <c r="AL122" s="139"/>
      <c r="AM122" s="139"/>
      <c r="AN122" s="139"/>
      <c r="AO122" s="139"/>
      <c r="AP122" s="139"/>
      <c r="AQ122" s="139"/>
      <c r="AR122" s="139"/>
      <c r="AS122" s="139"/>
      <c r="AT122" s="139"/>
      <c r="AU122" s="139"/>
      <c r="AV122" s="139"/>
      <c r="AW122" s="139"/>
      <c r="AX122" s="139"/>
      <c r="AY122" s="139"/>
      <c r="AZ122" s="139"/>
      <c r="BA122" s="139"/>
      <c r="BB122" s="139"/>
      <c r="BC122" s="139"/>
      <c r="BD122" s="139"/>
      <c r="BE122" s="139"/>
      <c r="BF122" s="139"/>
      <c r="BG122" s="139"/>
      <c r="BH122" s="139"/>
      <c r="BI122" s="139"/>
      <c r="BJ122" s="139"/>
      <c r="BK122" s="139"/>
      <c r="BL122" s="139"/>
      <c r="BM122" s="139"/>
      <c r="BN122" s="139"/>
      <c r="BO122" s="139"/>
      <c r="BP122" s="139"/>
      <c r="BQ122" s="139"/>
      <c r="BR122" s="139"/>
      <c r="BS122" s="139"/>
      <c r="BT122" s="139"/>
      <c r="BU122" s="139"/>
      <c r="BV122" s="139"/>
      <c r="BW122" s="139"/>
      <c r="BX122" s="139"/>
      <c r="BY122" s="139"/>
      <c r="BZ122" s="139"/>
      <c r="CA122" s="139"/>
      <c r="CB122" s="139"/>
      <c r="CC122" s="139"/>
      <c r="CD122" s="139"/>
      <c r="CE122" s="139"/>
      <c r="CF122" s="139"/>
      <c r="CG122" s="139"/>
      <c r="CH122" s="139"/>
      <c r="CI122" s="139"/>
      <c r="CJ122" s="139"/>
      <c r="CK122" s="139"/>
      <c r="CL122" s="139"/>
      <c r="CM122" s="139"/>
      <c r="CN122" s="139"/>
      <c r="CO122" s="139"/>
      <c r="CP122" s="139"/>
      <c r="CQ122" s="139"/>
      <c r="CR122" s="139"/>
      <c r="CS122" s="139"/>
      <c r="CT122" s="139"/>
      <c r="CU122" s="139"/>
      <c r="CV122" s="139"/>
      <c r="CW122" s="139"/>
      <c r="CX122" s="139"/>
      <c r="CY122" s="139"/>
      <c r="CZ122" s="139"/>
      <c r="DA122" s="139"/>
      <c r="DB122" s="139"/>
      <c r="DC122" s="139"/>
      <c r="DD122" s="139"/>
      <c r="DE122" s="139"/>
      <c r="DF122" s="139"/>
      <c r="DG122" s="139"/>
      <c r="DH122" s="139"/>
      <c r="DI122" s="139"/>
      <c r="DJ122" s="139"/>
      <c r="DK122" s="139"/>
      <c r="DL122" s="139"/>
      <c r="DM122" s="139"/>
      <c r="DN122" s="139"/>
      <c r="DO122" s="139"/>
      <c r="DP122" s="139"/>
      <c r="DQ122" s="139"/>
      <c r="DR122" s="139"/>
      <c r="DS122" s="139"/>
      <c r="DT122" s="139"/>
      <c r="DU122" s="139"/>
      <c r="DV122" s="139"/>
      <c r="DW122" s="139"/>
      <c r="DX122" s="139"/>
      <c r="DY122" s="139"/>
      <c r="DZ122" s="139"/>
      <c r="EA122" s="139"/>
      <c r="EB122" s="139"/>
      <c r="EC122" s="139"/>
      <c r="ED122" s="139"/>
      <c r="EE122" s="139"/>
      <c r="EF122" s="139"/>
      <c r="EG122" s="139"/>
      <c r="EH122" s="139"/>
      <c r="EI122" s="139"/>
      <c r="EJ122" s="139"/>
      <c r="EK122" s="139"/>
      <c r="EL122" s="139"/>
      <c r="EM122" s="139"/>
      <c r="EN122" s="139"/>
      <c r="EO122" s="139"/>
      <c r="EP122" s="139"/>
      <c r="EQ122" s="139"/>
      <c r="ER122" s="139"/>
      <c r="ES122" s="139"/>
      <c r="ET122" s="139"/>
      <c r="EU122" s="139"/>
      <c r="EV122" s="139"/>
      <c r="EW122" s="139"/>
      <c r="EX122" s="139"/>
      <c r="EY122" s="139"/>
      <c r="EZ122" s="139"/>
      <c r="FA122" s="139"/>
      <c r="FB122" s="139"/>
      <c r="FC122" s="139"/>
      <c r="FD122" s="139"/>
      <c r="FE122" s="139"/>
      <c r="FF122" s="139"/>
      <c r="FG122" s="139"/>
      <c r="FH122" s="139"/>
      <c r="FI122" s="139"/>
      <c r="FJ122" s="139"/>
      <c r="FK122" s="139"/>
      <c r="FL122" s="139"/>
      <c r="FM122" s="139"/>
      <c r="FN122" s="139"/>
      <c r="FO122" s="139"/>
      <c r="FP122" s="139"/>
      <c r="FQ122" s="139"/>
      <c r="FR122" s="139"/>
      <c r="FS122" s="139"/>
      <c r="FT122" s="139"/>
      <c r="FU122" s="139"/>
      <c r="FV122" s="139"/>
      <c r="FW122" s="139"/>
      <c r="FX122" s="139"/>
      <c r="FY122" s="139"/>
      <c r="FZ122" s="139"/>
      <c r="GA122" s="139"/>
      <c r="GB122" s="139"/>
      <c r="GC122" s="139"/>
      <c r="GD122" s="139"/>
      <c r="GE122" s="139"/>
      <c r="GF122" s="139"/>
      <c r="GG122" s="139"/>
      <c r="GH122" s="139"/>
      <c r="GI122" s="139"/>
      <c r="GJ122" s="139"/>
      <c r="GK122" s="139"/>
      <c r="GL122" s="139"/>
      <c r="GM122" s="139"/>
      <c r="GN122" s="139"/>
      <c r="GO122" s="139"/>
      <c r="GP122" s="139"/>
      <c r="GQ122" s="139"/>
      <c r="GR122" s="139"/>
      <c r="GS122" s="139"/>
      <c r="GT122" s="139"/>
      <c r="GU122" s="139"/>
      <c r="GV122" s="139"/>
      <c r="GW122" s="139"/>
      <c r="GX122" s="139"/>
      <c r="GY122" s="139"/>
      <c r="GZ122" s="139"/>
      <c r="HA122" s="139"/>
      <c r="HB122" s="139"/>
      <c r="HC122" s="139"/>
      <c r="HD122" s="139"/>
      <c r="HE122" s="139"/>
      <c r="HF122" s="139"/>
      <c r="HG122" s="139"/>
      <c r="HH122" s="139"/>
      <c r="HI122" s="139"/>
      <c r="HJ122" s="139"/>
      <c r="HK122" s="139"/>
      <c r="HL122" s="139"/>
      <c r="HM122" s="139"/>
      <c r="HN122" s="139"/>
      <c r="HO122" s="139"/>
      <c r="HP122" s="139"/>
      <c r="HQ122" s="139"/>
      <c r="HR122" s="139"/>
      <c r="HS122" s="139"/>
      <c r="HT122" s="139"/>
      <c r="HU122" s="139"/>
      <c r="HV122" s="139"/>
      <c r="HW122" s="139"/>
      <c r="HX122" s="139"/>
      <c r="HY122" s="139"/>
      <c r="HZ122" s="139"/>
      <c r="IA122" s="139"/>
      <c r="IB122" s="139"/>
      <c r="IC122" s="139"/>
      <c r="ID122" s="139"/>
      <c r="IE122" s="139"/>
      <c r="IF122" s="139"/>
      <c r="IG122" s="139"/>
      <c r="IH122" s="139"/>
      <c r="II122" s="139"/>
      <c r="IJ122" s="139"/>
      <c r="IK122" s="139"/>
      <c r="IL122" s="139"/>
      <c r="IM122" s="139"/>
      <c r="IN122" s="139"/>
      <c r="IO122" s="139"/>
      <c r="IP122" s="139"/>
      <c r="IQ122" s="139"/>
      <c r="IR122" s="139"/>
      <c r="IS122" s="139"/>
      <c r="IT122" s="139"/>
      <c r="IU122" s="139"/>
      <c r="IV122" s="139"/>
    </row>
    <row r="123" spans="1:256" ht="13.8" thickTop="1" x14ac:dyDescent="0.25">
      <c r="A123" s="136"/>
      <c r="B123" s="136"/>
      <c r="C123" s="170"/>
      <c r="D123" s="139"/>
      <c r="E123" s="139"/>
      <c r="F123" s="139"/>
      <c r="G123" s="139"/>
      <c r="H123" s="139"/>
      <c r="I123" s="139"/>
      <c r="J123" s="139"/>
      <c r="K123" s="139"/>
      <c r="L123" s="139"/>
      <c r="M123" s="139"/>
      <c r="N123" s="139"/>
      <c r="O123" s="139"/>
      <c r="P123" s="139"/>
      <c r="Q123" s="139"/>
      <c r="R123" s="139"/>
      <c r="S123" s="139"/>
      <c r="T123" s="139"/>
      <c r="U123" s="138"/>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39"/>
      <c r="BA123" s="139"/>
      <c r="BB123" s="139"/>
      <c r="BC123" s="139"/>
      <c r="BD123" s="139"/>
      <c r="BE123" s="139"/>
      <c r="BF123" s="139"/>
      <c r="BG123" s="139"/>
      <c r="BH123" s="139"/>
      <c r="BI123" s="139"/>
      <c r="BJ123" s="139"/>
      <c r="BK123" s="139"/>
      <c r="BL123" s="139"/>
      <c r="BM123" s="139"/>
      <c r="BN123" s="139"/>
      <c r="BO123" s="139"/>
      <c r="BP123" s="139"/>
      <c r="BQ123" s="139"/>
      <c r="BR123" s="139"/>
      <c r="BS123" s="139"/>
      <c r="BT123" s="139"/>
      <c r="BU123" s="139"/>
      <c r="BV123" s="139"/>
      <c r="BW123" s="139"/>
      <c r="BX123" s="139"/>
      <c r="BY123" s="139"/>
      <c r="BZ123" s="139"/>
      <c r="CA123" s="139"/>
      <c r="CB123" s="139"/>
      <c r="CC123" s="139"/>
      <c r="CD123" s="139"/>
      <c r="CE123" s="139"/>
      <c r="CF123" s="139"/>
      <c r="CG123" s="139"/>
      <c r="CH123" s="139"/>
      <c r="CI123" s="139"/>
      <c r="CJ123" s="139"/>
      <c r="CK123" s="139"/>
      <c r="CL123" s="139"/>
      <c r="CM123" s="139"/>
      <c r="CN123" s="139"/>
      <c r="CO123" s="139"/>
      <c r="CP123" s="139"/>
      <c r="CQ123" s="139"/>
      <c r="CR123" s="139"/>
      <c r="CS123" s="139"/>
      <c r="CT123" s="139"/>
      <c r="CU123" s="139"/>
      <c r="CV123" s="139"/>
      <c r="CW123" s="139"/>
      <c r="CX123" s="139"/>
      <c r="CY123" s="139"/>
      <c r="CZ123" s="139"/>
      <c r="DA123" s="139"/>
      <c r="DB123" s="139"/>
      <c r="DC123" s="139"/>
      <c r="DD123" s="139"/>
      <c r="DE123" s="139"/>
      <c r="DF123" s="139"/>
      <c r="DG123" s="139"/>
      <c r="DH123" s="139"/>
      <c r="DI123" s="139"/>
      <c r="DJ123" s="139"/>
      <c r="DK123" s="139"/>
      <c r="DL123" s="139"/>
      <c r="DM123" s="139"/>
      <c r="DN123" s="139"/>
      <c r="DO123" s="139"/>
      <c r="DP123" s="139"/>
      <c r="DQ123" s="139"/>
      <c r="DR123" s="139"/>
      <c r="DS123" s="139"/>
      <c r="DT123" s="139"/>
      <c r="DU123" s="139"/>
      <c r="DV123" s="139"/>
      <c r="DW123" s="139"/>
      <c r="DX123" s="139"/>
      <c r="DY123" s="139"/>
      <c r="DZ123" s="139"/>
      <c r="EA123" s="139"/>
      <c r="EB123" s="139"/>
      <c r="EC123" s="139"/>
      <c r="ED123" s="139"/>
      <c r="EE123" s="139"/>
      <c r="EF123" s="139"/>
      <c r="EG123" s="139"/>
      <c r="EH123" s="139"/>
      <c r="EI123" s="139"/>
      <c r="EJ123" s="139"/>
      <c r="EK123" s="139"/>
      <c r="EL123" s="139"/>
      <c r="EM123" s="139"/>
      <c r="EN123" s="139"/>
      <c r="EO123" s="139"/>
      <c r="EP123" s="139"/>
      <c r="EQ123" s="139"/>
      <c r="ER123" s="139"/>
      <c r="ES123" s="139"/>
      <c r="ET123" s="139"/>
      <c r="EU123" s="139"/>
      <c r="EV123" s="139"/>
      <c r="EW123" s="139"/>
      <c r="EX123" s="139"/>
      <c r="EY123" s="139"/>
      <c r="EZ123" s="139"/>
      <c r="FA123" s="139"/>
      <c r="FB123" s="139"/>
      <c r="FC123" s="139"/>
      <c r="FD123" s="139"/>
      <c r="FE123" s="139"/>
      <c r="FF123" s="139"/>
      <c r="FG123" s="139"/>
      <c r="FH123" s="139"/>
      <c r="FI123" s="139"/>
      <c r="FJ123" s="139"/>
      <c r="FK123" s="139"/>
      <c r="FL123" s="139"/>
      <c r="FM123" s="139"/>
      <c r="FN123" s="139"/>
      <c r="FO123" s="139"/>
      <c r="FP123" s="139"/>
      <c r="FQ123" s="139"/>
      <c r="FR123" s="139"/>
      <c r="FS123" s="139"/>
      <c r="FT123" s="139"/>
      <c r="FU123" s="139"/>
      <c r="FV123" s="139"/>
      <c r="FW123" s="139"/>
      <c r="FX123" s="139"/>
      <c r="FY123" s="139"/>
      <c r="FZ123" s="139"/>
      <c r="GA123" s="139"/>
      <c r="GB123" s="139"/>
      <c r="GC123" s="139"/>
      <c r="GD123" s="139"/>
      <c r="GE123" s="139"/>
      <c r="GF123" s="139"/>
      <c r="GG123" s="139"/>
      <c r="GH123" s="139"/>
      <c r="GI123" s="139"/>
      <c r="GJ123" s="139"/>
      <c r="GK123" s="139"/>
      <c r="GL123" s="139"/>
      <c r="GM123" s="139"/>
      <c r="GN123" s="139"/>
      <c r="GO123" s="139"/>
      <c r="GP123" s="139"/>
      <c r="GQ123" s="139"/>
      <c r="GR123" s="139"/>
      <c r="GS123" s="139"/>
      <c r="GT123" s="139"/>
      <c r="GU123" s="139"/>
      <c r="GV123" s="139"/>
      <c r="GW123" s="139"/>
      <c r="GX123" s="139"/>
      <c r="GY123" s="139"/>
      <c r="GZ123" s="139"/>
      <c r="HA123" s="139"/>
      <c r="HB123" s="139"/>
      <c r="HC123" s="139"/>
      <c r="HD123" s="139"/>
      <c r="HE123" s="139"/>
      <c r="HF123" s="139"/>
      <c r="HG123" s="139"/>
      <c r="HH123" s="139"/>
      <c r="HI123" s="139"/>
      <c r="HJ123" s="139"/>
      <c r="HK123" s="139"/>
      <c r="HL123" s="139"/>
      <c r="HM123" s="139"/>
      <c r="HN123" s="139"/>
      <c r="HO123" s="139"/>
      <c r="HP123" s="139"/>
      <c r="HQ123" s="139"/>
      <c r="HR123" s="139"/>
      <c r="HS123" s="139"/>
      <c r="HT123" s="139"/>
      <c r="HU123" s="139"/>
      <c r="HV123" s="139"/>
      <c r="HW123" s="139"/>
      <c r="HX123" s="139"/>
      <c r="HY123" s="139"/>
      <c r="HZ123" s="139"/>
      <c r="IA123" s="139"/>
      <c r="IB123" s="139"/>
      <c r="IC123" s="139"/>
      <c r="ID123" s="139"/>
      <c r="IE123" s="139"/>
      <c r="IF123" s="139"/>
      <c r="IG123" s="139"/>
      <c r="IH123" s="139"/>
      <c r="II123" s="139"/>
      <c r="IJ123" s="139"/>
      <c r="IK123" s="139"/>
      <c r="IL123" s="139"/>
      <c r="IM123" s="139"/>
      <c r="IN123" s="139"/>
      <c r="IO123" s="139"/>
      <c r="IP123" s="139"/>
      <c r="IQ123" s="139"/>
      <c r="IR123" s="139"/>
      <c r="IS123" s="139"/>
      <c r="IT123" s="139"/>
      <c r="IU123" s="139"/>
      <c r="IV123" s="139"/>
    </row>
    <row r="124" spans="1:256" x14ac:dyDescent="0.25">
      <c r="A124" s="136"/>
      <c r="B124" s="136"/>
      <c r="C124" s="211"/>
      <c r="D124" s="212" t="s">
        <v>1179</v>
      </c>
      <c r="E124" s="139"/>
      <c r="F124" s="213"/>
      <c r="G124" s="213"/>
      <c r="H124" s="214"/>
      <c r="I124" s="213"/>
      <c r="J124" s="213"/>
      <c r="K124" s="213"/>
      <c r="L124" s="215"/>
      <c r="M124" s="215"/>
      <c r="N124" s="215"/>
      <c r="O124" s="215"/>
      <c r="P124" s="213"/>
      <c r="Q124" s="215"/>
      <c r="R124" s="215"/>
      <c r="S124" s="215"/>
      <c r="T124" s="215"/>
      <c r="U124" s="138"/>
      <c r="V124" s="139"/>
      <c r="W124" s="139"/>
      <c r="X124" s="139"/>
      <c r="Y124" s="139"/>
      <c r="Z124" s="139"/>
      <c r="AA124" s="139"/>
      <c r="AB124" s="139"/>
      <c r="AC124" s="139"/>
      <c r="AD124" s="139"/>
      <c r="AE124" s="139"/>
      <c r="AF124" s="139"/>
      <c r="AG124" s="139"/>
      <c r="AH124" s="139"/>
      <c r="AI124" s="139"/>
      <c r="AJ124" s="139"/>
      <c r="AK124" s="139"/>
      <c r="AL124" s="139"/>
      <c r="AM124" s="139"/>
      <c r="AN124" s="139"/>
      <c r="AO124" s="139"/>
      <c r="AP124" s="139"/>
      <c r="AQ124" s="139"/>
      <c r="AR124" s="139"/>
      <c r="AS124" s="139"/>
      <c r="AT124" s="139"/>
      <c r="AU124" s="139"/>
      <c r="AV124" s="139"/>
      <c r="AW124" s="139"/>
      <c r="AX124" s="139"/>
      <c r="AY124" s="139"/>
      <c r="AZ124" s="139"/>
      <c r="BA124" s="139"/>
      <c r="BB124" s="139"/>
      <c r="BC124" s="139"/>
      <c r="BD124" s="139"/>
      <c r="BE124" s="139"/>
      <c r="BF124" s="139"/>
      <c r="BG124" s="139"/>
      <c r="BH124" s="139"/>
      <c r="BI124" s="139"/>
      <c r="BJ124" s="139"/>
      <c r="BK124" s="139"/>
      <c r="BL124" s="139"/>
      <c r="BM124" s="139"/>
      <c r="BN124" s="139"/>
      <c r="BO124" s="139"/>
      <c r="BP124" s="139"/>
      <c r="BQ124" s="139"/>
      <c r="BR124" s="139"/>
      <c r="BS124" s="139"/>
      <c r="BT124" s="139"/>
      <c r="BU124" s="139"/>
      <c r="BV124" s="139"/>
      <c r="BW124" s="139"/>
      <c r="BX124" s="139"/>
      <c r="BY124" s="139"/>
      <c r="BZ124" s="139"/>
      <c r="CA124" s="139"/>
      <c r="CB124" s="139"/>
      <c r="CC124" s="139"/>
      <c r="CD124" s="139"/>
      <c r="CE124" s="139"/>
      <c r="CF124" s="139"/>
      <c r="CG124" s="139"/>
      <c r="CH124" s="139"/>
      <c r="CI124" s="139"/>
      <c r="CJ124" s="139"/>
      <c r="CK124" s="139"/>
      <c r="CL124" s="139"/>
      <c r="CM124" s="139"/>
      <c r="CN124" s="139"/>
      <c r="CO124" s="139"/>
      <c r="CP124" s="139"/>
      <c r="CQ124" s="139"/>
      <c r="CR124" s="139"/>
      <c r="CS124" s="139"/>
      <c r="CT124" s="139"/>
      <c r="CU124" s="139"/>
      <c r="CV124" s="139"/>
      <c r="CW124" s="139"/>
      <c r="CX124" s="139"/>
      <c r="CY124" s="139"/>
      <c r="CZ124" s="139"/>
      <c r="DA124" s="139"/>
      <c r="DB124" s="139"/>
      <c r="DC124" s="139"/>
      <c r="DD124" s="139"/>
      <c r="DE124" s="139"/>
      <c r="DF124" s="139"/>
      <c r="DG124" s="139"/>
      <c r="DH124" s="139"/>
      <c r="DI124" s="139"/>
      <c r="DJ124" s="139"/>
      <c r="DK124" s="139"/>
      <c r="DL124" s="139"/>
      <c r="DM124" s="139"/>
      <c r="DN124" s="139"/>
      <c r="DO124" s="139"/>
      <c r="DP124" s="139"/>
      <c r="DQ124" s="139"/>
      <c r="DR124" s="139"/>
      <c r="DS124" s="139"/>
      <c r="DT124" s="139"/>
      <c r="DU124" s="139"/>
      <c r="DV124" s="139"/>
      <c r="DW124" s="139"/>
      <c r="DX124" s="139"/>
      <c r="DY124" s="139"/>
      <c r="DZ124" s="139"/>
      <c r="EA124" s="139"/>
      <c r="EB124" s="139"/>
      <c r="EC124" s="139"/>
      <c r="ED124" s="139"/>
      <c r="EE124" s="139"/>
      <c r="EF124" s="139"/>
      <c r="EG124" s="139"/>
      <c r="EH124" s="139"/>
      <c r="EI124" s="139"/>
      <c r="EJ124" s="139"/>
      <c r="EK124" s="139"/>
      <c r="EL124" s="139"/>
      <c r="EM124" s="139"/>
      <c r="EN124" s="139"/>
      <c r="EO124" s="139"/>
      <c r="EP124" s="139"/>
      <c r="EQ124" s="139"/>
      <c r="ER124" s="139"/>
      <c r="ES124" s="139"/>
      <c r="ET124" s="139"/>
      <c r="EU124" s="139"/>
      <c r="EV124" s="139"/>
      <c r="EW124" s="139"/>
      <c r="EX124" s="139"/>
      <c r="EY124" s="139"/>
      <c r="EZ124" s="139"/>
      <c r="FA124" s="139"/>
      <c r="FB124" s="139"/>
      <c r="FC124" s="139"/>
      <c r="FD124" s="139"/>
      <c r="FE124" s="139"/>
      <c r="FF124" s="139"/>
      <c r="FG124" s="139"/>
      <c r="FH124" s="139"/>
      <c r="FI124" s="139"/>
      <c r="FJ124" s="139"/>
      <c r="FK124" s="139"/>
      <c r="FL124" s="139"/>
      <c r="FM124" s="139"/>
      <c r="FN124" s="139"/>
      <c r="FO124" s="139"/>
      <c r="FP124" s="139"/>
      <c r="FQ124" s="139"/>
      <c r="FR124" s="139"/>
      <c r="FS124" s="139"/>
      <c r="FT124" s="139"/>
      <c r="FU124" s="139"/>
      <c r="FV124" s="139"/>
      <c r="FW124" s="139"/>
      <c r="FX124" s="139"/>
      <c r="FY124" s="139"/>
      <c r="FZ124" s="139"/>
      <c r="GA124" s="139"/>
      <c r="GB124" s="139"/>
      <c r="GC124" s="139"/>
      <c r="GD124" s="139"/>
      <c r="GE124" s="139"/>
      <c r="GF124" s="139"/>
      <c r="GG124" s="139"/>
      <c r="GH124" s="139"/>
      <c r="GI124" s="139"/>
      <c r="GJ124" s="139"/>
      <c r="GK124" s="139"/>
      <c r="GL124" s="139"/>
      <c r="GM124" s="139"/>
      <c r="GN124" s="139"/>
      <c r="GO124" s="139"/>
      <c r="GP124" s="139"/>
      <c r="GQ124" s="139"/>
      <c r="GR124" s="139"/>
      <c r="GS124" s="139"/>
      <c r="GT124" s="139"/>
      <c r="GU124" s="139"/>
      <c r="GV124" s="139"/>
      <c r="GW124" s="139"/>
      <c r="GX124" s="139"/>
      <c r="GY124" s="139"/>
      <c r="GZ124" s="139"/>
      <c r="HA124" s="139"/>
      <c r="HB124" s="139"/>
      <c r="HC124" s="139"/>
      <c r="HD124" s="139"/>
      <c r="HE124" s="139"/>
      <c r="HF124" s="139"/>
      <c r="HG124" s="139"/>
      <c r="HH124" s="139"/>
      <c r="HI124" s="139"/>
      <c r="HJ124" s="139"/>
      <c r="HK124" s="139"/>
      <c r="HL124" s="139"/>
      <c r="HM124" s="139"/>
      <c r="HN124" s="139"/>
      <c r="HO124" s="139"/>
      <c r="HP124" s="139"/>
      <c r="HQ124" s="139"/>
      <c r="HR124" s="139"/>
      <c r="HS124" s="139"/>
      <c r="HT124" s="139"/>
      <c r="HU124" s="139"/>
      <c r="HV124" s="139"/>
      <c r="HW124" s="139"/>
      <c r="HX124" s="139"/>
      <c r="HY124" s="139"/>
      <c r="HZ124" s="139"/>
      <c r="IA124" s="139"/>
      <c r="IB124" s="139"/>
      <c r="IC124" s="139"/>
      <c r="ID124" s="139"/>
      <c r="IE124" s="139"/>
      <c r="IF124" s="139"/>
      <c r="IG124" s="139"/>
      <c r="IH124" s="139"/>
      <c r="II124" s="139"/>
      <c r="IJ124" s="139"/>
      <c r="IK124" s="139"/>
      <c r="IL124" s="139"/>
      <c r="IM124" s="139"/>
      <c r="IN124" s="139"/>
      <c r="IO124" s="139"/>
      <c r="IP124" s="139"/>
      <c r="IQ124" s="139"/>
      <c r="IR124" s="139"/>
      <c r="IS124" s="139"/>
      <c r="IT124" s="139"/>
      <c r="IU124" s="139"/>
      <c r="IV124" s="139"/>
    </row>
    <row r="125" spans="1:256" x14ac:dyDescent="0.25">
      <c r="A125" s="136"/>
      <c r="B125" s="136"/>
      <c r="C125" s="216"/>
      <c r="D125" s="217" t="s">
        <v>1180</v>
      </c>
      <c r="E125" s="139"/>
      <c r="F125" s="134"/>
      <c r="G125" s="134"/>
      <c r="H125" s="218"/>
      <c r="I125" s="134"/>
      <c r="J125" s="134"/>
      <c r="K125" s="134"/>
      <c r="L125" s="217"/>
      <c r="M125" s="217"/>
      <c r="N125" s="217"/>
      <c r="O125" s="217"/>
      <c r="P125" s="134"/>
      <c r="Q125" s="217"/>
      <c r="R125" s="217"/>
      <c r="S125" s="217"/>
      <c r="T125" s="217"/>
      <c r="U125" s="138"/>
      <c r="V125" s="139"/>
      <c r="W125" s="139"/>
      <c r="X125" s="139"/>
      <c r="Y125" s="139"/>
      <c r="Z125" s="139"/>
      <c r="AA125" s="139"/>
      <c r="AB125" s="139"/>
      <c r="AC125" s="139"/>
      <c r="AD125" s="139"/>
      <c r="AE125" s="139"/>
      <c r="AF125" s="139"/>
      <c r="AG125" s="139"/>
      <c r="AH125" s="139"/>
      <c r="AI125" s="139"/>
      <c r="AJ125" s="139"/>
      <c r="AK125" s="139"/>
      <c r="AL125" s="139"/>
      <c r="AM125" s="139"/>
      <c r="AN125" s="139"/>
      <c r="AO125" s="139"/>
      <c r="AP125" s="139"/>
      <c r="AQ125" s="139"/>
      <c r="AR125" s="139"/>
      <c r="AS125" s="139"/>
      <c r="AT125" s="139"/>
      <c r="AU125" s="139"/>
      <c r="AV125" s="139"/>
      <c r="AW125" s="139"/>
      <c r="AX125" s="139"/>
      <c r="AY125" s="139"/>
      <c r="AZ125" s="139"/>
      <c r="BA125" s="139"/>
      <c r="BB125" s="139"/>
      <c r="BC125" s="139"/>
      <c r="BD125" s="139"/>
      <c r="BE125" s="139"/>
      <c r="BF125" s="139"/>
      <c r="BG125" s="139"/>
      <c r="BH125" s="139"/>
      <c r="BI125" s="139"/>
      <c r="BJ125" s="139"/>
      <c r="BK125" s="139"/>
      <c r="BL125" s="139"/>
      <c r="BM125" s="139"/>
      <c r="BN125" s="139"/>
      <c r="BO125" s="139"/>
      <c r="BP125" s="139"/>
      <c r="BQ125" s="139"/>
      <c r="BR125" s="139"/>
      <c r="BS125" s="139"/>
      <c r="BT125" s="139"/>
      <c r="BU125" s="139"/>
      <c r="BV125" s="139"/>
      <c r="BW125" s="139"/>
      <c r="BX125" s="139"/>
      <c r="BY125" s="139"/>
      <c r="BZ125" s="139"/>
      <c r="CA125" s="139"/>
      <c r="CB125" s="139"/>
      <c r="CC125" s="139"/>
      <c r="CD125" s="139"/>
      <c r="CE125" s="139"/>
      <c r="CF125" s="139"/>
      <c r="CG125" s="139"/>
      <c r="CH125" s="139"/>
      <c r="CI125" s="139"/>
      <c r="CJ125" s="139"/>
      <c r="CK125" s="139"/>
      <c r="CL125" s="139"/>
      <c r="CM125" s="139"/>
      <c r="CN125" s="139"/>
      <c r="CO125" s="139"/>
      <c r="CP125" s="139"/>
      <c r="CQ125" s="139"/>
      <c r="CR125" s="139"/>
      <c r="CS125" s="139"/>
      <c r="CT125" s="139"/>
      <c r="CU125" s="139"/>
      <c r="CV125" s="139"/>
      <c r="CW125" s="139"/>
      <c r="CX125" s="139"/>
      <c r="CY125" s="139"/>
      <c r="CZ125" s="139"/>
      <c r="DA125" s="139"/>
      <c r="DB125" s="139"/>
      <c r="DC125" s="139"/>
      <c r="DD125" s="139"/>
      <c r="DE125" s="139"/>
      <c r="DF125" s="139"/>
      <c r="DG125" s="139"/>
      <c r="DH125" s="139"/>
      <c r="DI125" s="139"/>
      <c r="DJ125" s="139"/>
      <c r="DK125" s="139"/>
      <c r="DL125" s="139"/>
      <c r="DM125" s="139"/>
      <c r="DN125" s="139"/>
      <c r="DO125" s="139"/>
      <c r="DP125" s="139"/>
      <c r="DQ125" s="139"/>
      <c r="DR125" s="139"/>
      <c r="DS125" s="139"/>
      <c r="DT125" s="139"/>
      <c r="DU125" s="139"/>
      <c r="DV125" s="139"/>
      <c r="DW125" s="139"/>
      <c r="DX125" s="139"/>
      <c r="DY125" s="139"/>
      <c r="DZ125" s="139"/>
      <c r="EA125" s="139"/>
      <c r="EB125" s="139"/>
      <c r="EC125" s="139"/>
      <c r="ED125" s="139"/>
      <c r="EE125" s="139"/>
      <c r="EF125" s="139"/>
      <c r="EG125" s="139"/>
      <c r="EH125" s="139"/>
      <c r="EI125" s="139"/>
      <c r="EJ125" s="139"/>
      <c r="EK125" s="139"/>
      <c r="EL125" s="139"/>
      <c r="EM125" s="139"/>
      <c r="EN125" s="139"/>
      <c r="EO125" s="139"/>
      <c r="EP125" s="139"/>
      <c r="EQ125" s="139"/>
      <c r="ER125" s="139"/>
      <c r="ES125" s="139"/>
      <c r="ET125" s="139"/>
      <c r="EU125" s="139"/>
      <c r="EV125" s="139"/>
      <c r="EW125" s="139"/>
      <c r="EX125" s="139"/>
      <c r="EY125" s="139"/>
      <c r="EZ125" s="139"/>
      <c r="FA125" s="139"/>
      <c r="FB125" s="139"/>
      <c r="FC125" s="139"/>
      <c r="FD125" s="139"/>
      <c r="FE125" s="139"/>
      <c r="FF125" s="139"/>
      <c r="FG125" s="139"/>
      <c r="FH125" s="139"/>
      <c r="FI125" s="139"/>
      <c r="FJ125" s="139"/>
      <c r="FK125" s="139"/>
      <c r="FL125" s="139"/>
      <c r="FM125" s="139"/>
      <c r="FN125" s="139"/>
      <c r="FO125" s="139"/>
      <c r="FP125" s="139"/>
      <c r="FQ125" s="139"/>
      <c r="FR125" s="139"/>
      <c r="FS125" s="139"/>
      <c r="FT125" s="139"/>
      <c r="FU125" s="139"/>
      <c r="FV125" s="139"/>
      <c r="FW125" s="139"/>
      <c r="FX125" s="139"/>
      <c r="FY125" s="139"/>
      <c r="FZ125" s="139"/>
      <c r="GA125" s="139"/>
      <c r="GB125" s="139"/>
      <c r="GC125" s="139"/>
      <c r="GD125" s="139"/>
      <c r="GE125" s="139"/>
      <c r="GF125" s="139"/>
      <c r="GG125" s="139"/>
      <c r="GH125" s="139"/>
      <c r="GI125" s="139"/>
      <c r="GJ125" s="139"/>
      <c r="GK125" s="139"/>
      <c r="GL125" s="139"/>
      <c r="GM125" s="139"/>
      <c r="GN125" s="139"/>
      <c r="GO125" s="139"/>
      <c r="GP125" s="139"/>
      <c r="GQ125" s="139"/>
      <c r="GR125" s="139"/>
      <c r="GS125" s="139"/>
      <c r="GT125" s="139"/>
      <c r="GU125" s="139"/>
      <c r="GV125" s="139"/>
      <c r="GW125" s="139"/>
      <c r="GX125" s="139"/>
      <c r="GY125" s="139"/>
      <c r="GZ125" s="139"/>
      <c r="HA125" s="139"/>
      <c r="HB125" s="139"/>
      <c r="HC125" s="139"/>
      <c r="HD125" s="139"/>
      <c r="HE125" s="139"/>
      <c r="HF125" s="139"/>
      <c r="HG125" s="139"/>
      <c r="HH125" s="139"/>
      <c r="HI125" s="139"/>
      <c r="HJ125" s="139"/>
      <c r="HK125" s="139"/>
      <c r="HL125" s="139"/>
      <c r="HM125" s="139"/>
      <c r="HN125" s="139"/>
      <c r="HO125" s="139"/>
      <c r="HP125" s="139"/>
      <c r="HQ125" s="139"/>
      <c r="HR125" s="139"/>
      <c r="HS125" s="139"/>
      <c r="HT125" s="139"/>
      <c r="HU125" s="139"/>
      <c r="HV125" s="139"/>
      <c r="HW125" s="139"/>
      <c r="HX125" s="139"/>
      <c r="HY125" s="139"/>
      <c r="HZ125" s="139"/>
      <c r="IA125" s="139"/>
      <c r="IB125" s="139"/>
      <c r="IC125" s="139"/>
      <c r="ID125" s="139"/>
      <c r="IE125" s="139"/>
      <c r="IF125" s="139"/>
      <c r="IG125" s="139"/>
      <c r="IH125" s="139"/>
      <c r="II125" s="139"/>
      <c r="IJ125" s="139"/>
      <c r="IK125" s="139"/>
      <c r="IL125" s="139"/>
      <c r="IM125" s="139"/>
      <c r="IN125" s="139"/>
      <c r="IO125" s="139"/>
      <c r="IP125" s="139"/>
      <c r="IQ125" s="139"/>
      <c r="IR125" s="139"/>
      <c r="IS125" s="139"/>
      <c r="IT125" s="139"/>
      <c r="IU125" s="139"/>
      <c r="IV125" s="139"/>
    </row>
    <row r="126" spans="1:256" x14ac:dyDescent="0.25">
      <c r="A126" s="136"/>
      <c r="B126" s="136"/>
      <c r="C126" s="138"/>
      <c r="D126" s="139" t="s">
        <v>1181</v>
      </c>
      <c r="E126" s="139"/>
      <c r="F126" s="134"/>
      <c r="G126" s="134"/>
      <c r="H126" s="218"/>
      <c r="I126" s="134"/>
      <c r="J126" s="134"/>
      <c r="K126" s="134"/>
      <c r="L126" s="217"/>
      <c r="M126" s="217"/>
      <c r="N126" s="217"/>
      <c r="O126" s="217"/>
      <c r="P126" s="134"/>
      <c r="Q126" s="217"/>
      <c r="R126" s="217"/>
      <c r="S126" s="217"/>
      <c r="T126" s="217"/>
      <c r="U126" s="138"/>
      <c r="V126" s="139"/>
      <c r="W126" s="139"/>
      <c r="X126" s="139"/>
      <c r="Y126" s="139"/>
      <c r="Z126" s="139"/>
      <c r="AA126" s="139"/>
      <c r="AB126" s="139"/>
      <c r="AC126" s="139"/>
      <c r="AD126" s="139"/>
      <c r="AE126" s="139"/>
      <c r="AF126" s="139"/>
      <c r="AG126" s="139"/>
      <c r="AH126" s="139"/>
      <c r="AI126" s="139"/>
      <c r="AJ126" s="139"/>
      <c r="AK126" s="139"/>
      <c r="AL126" s="139"/>
      <c r="AM126" s="139"/>
      <c r="AN126" s="139"/>
      <c r="AO126" s="139"/>
      <c r="AP126" s="139"/>
      <c r="AQ126" s="139"/>
      <c r="AR126" s="139"/>
      <c r="AS126" s="139"/>
      <c r="AT126" s="139"/>
      <c r="AU126" s="139"/>
      <c r="AV126" s="139"/>
      <c r="AW126" s="139"/>
      <c r="AX126" s="139"/>
      <c r="AY126" s="139"/>
      <c r="AZ126" s="139"/>
      <c r="BA126" s="139"/>
      <c r="BB126" s="139"/>
      <c r="BC126" s="139"/>
      <c r="BD126" s="139"/>
      <c r="BE126" s="139"/>
      <c r="BF126" s="139"/>
      <c r="BG126" s="139"/>
      <c r="BH126" s="139"/>
      <c r="BI126" s="139"/>
      <c r="BJ126" s="139"/>
      <c r="BK126" s="139"/>
      <c r="BL126" s="139"/>
      <c r="BM126" s="139"/>
      <c r="BN126" s="139"/>
      <c r="BO126" s="139"/>
      <c r="BP126" s="139"/>
      <c r="BQ126" s="139"/>
      <c r="BR126" s="139"/>
      <c r="BS126" s="139"/>
      <c r="BT126" s="139"/>
      <c r="BU126" s="139"/>
      <c r="BV126" s="139"/>
      <c r="BW126" s="139"/>
      <c r="BX126" s="139"/>
      <c r="BY126" s="139"/>
      <c r="BZ126" s="139"/>
      <c r="CA126" s="139"/>
      <c r="CB126" s="139"/>
      <c r="CC126" s="139"/>
      <c r="CD126" s="139"/>
      <c r="CE126" s="139"/>
      <c r="CF126" s="139"/>
      <c r="CG126" s="139"/>
      <c r="CH126" s="139"/>
      <c r="CI126" s="139"/>
      <c r="CJ126" s="139"/>
      <c r="CK126" s="139"/>
      <c r="CL126" s="139"/>
      <c r="CM126" s="139"/>
      <c r="CN126" s="139"/>
      <c r="CO126" s="139"/>
      <c r="CP126" s="139"/>
      <c r="CQ126" s="139"/>
      <c r="CR126" s="139"/>
      <c r="CS126" s="139"/>
      <c r="CT126" s="139"/>
      <c r="CU126" s="139"/>
      <c r="CV126" s="139"/>
      <c r="CW126" s="139"/>
      <c r="CX126" s="139"/>
      <c r="CY126" s="139"/>
      <c r="CZ126" s="139"/>
      <c r="DA126" s="139"/>
      <c r="DB126" s="139"/>
      <c r="DC126" s="139"/>
      <c r="DD126" s="139"/>
      <c r="DE126" s="139"/>
      <c r="DF126" s="139"/>
      <c r="DG126" s="139"/>
      <c r="DH126" s="139"/>
      <c r="DI126" s="139"/>
      <c r="DJ126" s="139"/>
      <c r="DK126" s="139"/>
      <c r="DL126" s="139"/>
      <c r="DM126" s="139"/>
      <c r="DN126" s="139"/>
      <c r="DO126" s="139"/>
      <c r="DP126" s="139"/>
      <c r="DQ126" s="139"/>
      <c r="DR126" s="139"/>
      <c r="DS126" s="139"/>
      <c r="DT126" s="139"/>
      <c r="DU126" s="139"/>
      <c r="DV126" s="139"/>
      <c r="DW126" s="139"/>
      <c r="DX126" s="139"/>
      <c r="DY126" s="139"/>
      <c r="DZ126" s="139"/>
      <c r="EA126" s="139"/>
      <c r="EB126" s="139"/>
      <c r="EC126" s="139"/>
      <c r="ED126" s="139"/>
      <c r="EE126" s="139"/>
      <c r="EF126" s="139"/>
      <c r="EG126" s="139"/>
      <c r="EH126" s="139"/>
      <c r="EI126" s="139"/>
      <c r="EJ126" s="139"/>
      <c r="EK126" s="139"/>
      <c r="EL126" s="139"/>
      <c r="EM126" s="139"/>
      <c r="EN126" s="139"/>
      <c r="EO126" s="139"/>
      <c r="EP126" s="139"/>
      <c r="EQ126" s="139"/>
      <c r="ER126" s="139"/>
      <c r="ES126" s="139"/>
      <c r="ET126" s="139"/>
      <c r="EU126" s="139"/>
      <c r="EV126" s="139"/>
      <c r="EW126" s="139"/>
      <c r="EX126" s="139"/>
      <c r="EY126" s="139"/>
      <c r="EZ126" s="139"/>
      <c r="FA126" s="139"/>
      <c r="FB126" s="139"/>
      <c r="FC126" s="139"/>
      <c r="FD126" s="139"/>
      <c r="FE126" s="139"/>
      <c r="FF126" s="139"/>
      <c r="FG126" s="139"/>
      <c r="FH126" s="139"/>
      <c r="FI126" s="139"/>
      <c r="FJ126" s="139"/>
      <c r="FK126" s="139"/>
      <c r="FL126" s="139"/>
      <c r="FM126" s="139"/>
      <c r="FN126" s="139"/>
      <c r="FO126" s="139"/>
      <c r="FP126" s="139"/>
      <c r="FQ126" s="139"/>
      <c r="FR126" s="139"/>
      <c r="FS126" s="139"/>
      <c r="FT126" s="139"/>
      <c r="FU126" s="139"/>
      <c r="FV126" s="139"/>
      <c r="FW126" s="139"/>
      <c r="FX126" s="139"/>
      <c r="FY126" s="139"/>
      <c r="FZ126" s="139"/>
      <c r="GA126" s="139"/>
      <c r="GB126" s="139"/>
      <c r="GC126" s="139"/>
      <c r="GD126" s="139"/>
      <c r="GE126" s="139"/>
      <c r="GF126" s="139"/>
      <c r="GG126" s="139"/>
      <c r="GH126" s="139"/>
      <c r="GI126" s="139"/>
      <c r="GJ126" s="139"/>
      <c r="GK126" s="139"/>
      <c r="GL126" s="139"/>
      <c r="GM126" s="139"/>
      <c r="GN126" s="139"/>
      <c r="GO126" s="139"/>
      <c r="GP126" s="139"/>
      <c r="GQ126" s="139"/>
      <c r="GR126" s="139"/>
      <c r="GS126" s="139"/>
      <c r="GT126" s="139"/>
      <c r="GU126" s="139"/>
      <c r="GV126" s="139"/>
      <c r="GW126" s="139"/>
      <c r="GX126" s="139"/>
      <c r="GY126" s="139"/>
      <c r="GZ126" s="139"/>
      <c r="HA126" s="139"/>
      <c r="HB126" s="139"/>
      <c r="HC126" s="139"/>
      <c r="HD126" s="139"/>
      <c r="HE126" s="139"/>
      <c r="HF126" s="139"/>
      <c r="HG126" s="139"/>
      <c r="HH126" s="139"/>
      <c r="HI126" s="139"/>
      <c r="HJ126" s="139"/>
      <c r="HK126" s="139"/>
      <c r="HL126" s="139"/>
      <c r="HM126" s="139"/>
      <c r="HN126" s="139"/>
      <c r="HO126" s="139"/>
      <c r="HP126" s="139"/>
      <c r="HQ126" s="139"/>
      <c r="HR126" s="139"/>
      <c r="HS126" s="139"/>
      <c r="HT126" s="139"/>
      <c r="HU126" s="139"/>
      <c r="HV126" s="139"/>
      <c r="HW126" s="139"/>
      <c r="HX126" s="139"/>
      <c r="HY126" s="139"/>
      <c r="HZ126" s="139"/>
      <c r="IA126" s="139"/>
      <c r="IB126" s="139"/>
      <c r="IC126" s="139"/>
      <c r="ID126" s="139"/>
      <c r="IE126" s="139"/>
      <c r="IF126" s="139"/>
      <c r="IG126" s="139"/>
      <c r="IH126" s="139"/>
      <c r="II126" s="139"/>
      <c r="IJ126" s="139"/>
      <c r="IK126" s="139"/>
      <c r="IL126" s="139"/>
      <c r="IM126" s="139"/>
      <c r="IN126" s="139"/>
      <c r="IO126" s="139"/>
      <c r="IP126" s="139"/>
      <c r="IQ126" s="139"/>
      <c r="IR126" s="139"/>
      <c r="IS126" s="139"/>
      <c r="IT126" s="139"/>
      <c r="IU126" s="139"/>
      <c r="IV126" s="139"/>
    </row>
    <row r="127" spans="1:256" x14ac:dyDescent="0.25">
      <c r="A127" s="136"/>
      <c r="B127" s="136"/>
      <c r="C127" s="216"/>
      <c r="D127" s="217" t="s">
        <v>1182</v>
      </c>
      <c r="E127" s="139"/>
      <c r="F127" s="134"/>
      <c r="G127" s="134"/>
      <c r="H127" s="218"/>
      <c r="I127" s="134"/>
      <c r="J127" s="134"/>
      <c r="K127" s="134"/>
      <c r="L127" s="217"/>
      <c r="M127" s="217"/>
      <c r="N127" s="217"/>
      <c r="O127" s="217"/>
      <c r="P127" s="134"/>
      <c r="Q127" s="217"/>
      <c r="R127" s="217"/>
      <c r="S127" s="217"/>
      <c r="T127" s="217"/>
      <c r="U127" s="138"/>
      <c r="V127" s="139"/>
      <c r="W127" s="139"/>
      <c r="X127" s="139"/>
      <c r="Y127" s="139"/>
      <c r="Z127" s="139"/>
      <c r="AA127" s="139"/>
      <c r="AB127" s="139"/>
      <c r="AC127" s="139"/>
      <c r="AD127" s="139"/>
      <c r="AE127" s="139"/>
      <c r="AF127" s="139"/>
      <c r="AG127" s="139"/>
      <c r="AH127" s="139"/>
      <c r="AI127" s="139"/>
      <c r="AJ127" s="139"/>
      <c r="AK127" s="139"/>
      <c r="AL127" s="139"/>
      <c r="AM127" s="139"/>
      <c r="AN127" s="139"/>
      <c r="AO127" s="139"/>
      <c r="AP127" s="139"/>
      <c r="AQ127" s="139"/>
      <c r="AR127" s="139"/>
      <c r="AS127" s="139"/>
      <c r="AT127" s="139"/>
      <c r="AU127" s="139"/>
      <c r="AV127" s="139"/>
      <c r="AW127" s="139"/>
      <c r="AX127" s="139"/>
      <c r="AY127" s="139"/>
      <c r="AZ127" s="139"/>
      <c r="BA127" s="139"/>
      <c r="BB127" s="139"/>
      <c r="BC127" s="139"/>
      <c r="BD127" s="139"/>
      <c r="BE127" s="139"/>
      <c r="BF127" s="139"/>
      <c r="BG127" s="139"/>
      <c r="BH127" s="139"/>
      <c r="BI127" s="139"/>
      <c r="BJ127" s="139"/>
      <c r="BK127" s="139"/>
      <c r="BL127" s="139"/>
      <c r="BM127" s="139"/>
      <c r="BN127" s="139"/>
      <c r="BO127" s="139"/>
      <c r="BP127" s="139"/>
      <c r="BQ127" s="139"/>
      <c r="BR127" s="139"/>
      <c r="BS127" s="139"/>
      <c r="BT127" s="139"/>
      <c r="BU127" s="139"/>
      <c r="BV127" s="139"/>
      <c r="BW127" s="139"/>
      <c r="BX127" s="139"/>
      <c r="BY127" s="139"/>
      <c r="BZ127" s="139"/>
      <c r="CA127" s="139"/>
      <c r="CB127" s="139"/>
      <c r="CC127" s="139"/>
      <c r="CD127" s="139"/>
      <c r="CE127" s="139"/>
      <c r="CF127" s="139"/>
      <c r="CG127" s="139"/>
      <c r="CH127" s="139"/>
      <c r="CI127" s="139"/>
      <c r="CJ127" s="139"/>
      <c r="CK127" s="139"/>
      <c r="CL127" s="139"/>
      <c r="CM127" s="139"/>
      <c r="CN127" s="139"/>
      <c r="CO127" s="139"/>
      <c r="CP127" s="139"/>
      <c r="CQ127" s="139"/>
      <c r="CR127" s="139"/>
      <c r="CS127" s="139"/>
      <c r="CT127" s="139"/>
      <c r="CU127" s="139"/>
      <c r="CV127" s="139"/>
      <c r="CW127" s="139"/>
      <c r="CX127" s="139"/>
      <c r="CY127" s="139"/>
      <c r="CZ127" s="139"/>
      <c r="DA127" s="139"/>
      <c r="DB127" s="139"/>
      <c r="DC127" s="139"/>
      <c r="DD127" s="139"/>
      <c r="DE127" s="139"/>
      <c r="DF127" s="139"/>
      <c r="DG127" s="139"/>
      <c r="DH127" s="139"/>
      <c r="DI127" s="139"/>
      <c r="DJ127" s="139"/>
      <c r="DK127" s="139"/>
      <c r="DL127" s="139"/>
      <c r="DM127" s="139"/>
      <c r="DN127" s="139"/>
      <c r="DO127" s="139"/>
      <c r="DP127" s="139"/>
      <c r="DQ127" s="139"/>
      <c r="DR127" s="139"/>
      <c r="DS127" s="139"/>
      <c r="DT127" s="139"/>
      <c r="DU127" s="139"/>
      <c r="DV127" s="139"/>
      <c r="DW127" s="139"/>
      <c r="DX127" s="139"/>
      <c r="DY127" s="139"/>
      <c r="DZ127" s="139"/>
      <c r="EA127" s="139"/>
      <c r="EB127" s="139"/>
      <c r="EC127" s="139"/>
      <c r="ED127" s="139"/>
      <c r="EE127" s="139"/>
      <c r="EF127" s="139"/>
      <c r="EG127" s="139"/>
      <c r="EH127" s="139"/>
      <c r="EI127" s="139"/>
      <c r="EJ127" s="139"/>
      <c r="EK127" s="139"/>
      <c r="EL127" s="139"/>
      <c r="EM127" s="139"/>
      <c r="EN127" s="139"/>
      <c r="EO127" s="139"/>
      <c r="EP127" s="139"/>
      <c r="EQ127" s="139"/>
      <c r="ER127" s="139"/>
      <c r="ES127" s="139"/>
      <c r="ET127" s="139"/>
      <c r="EU127" s="139"/>
      <c r="EV127" s="139"/>
      <c r="EW127" s="139"/>
      <c r="EX127" s="139"/>
      <c r="EY127" s="139"/>
      <c r="EZ127" s="139"/>
      <c r="FA127" s="139"/>
      <c r="FB127" s="139"/>
      <c r="FC127" s="139"/>
      <c r="FD127" s="139"/>
      <c r="FE127" s="139"/>
      <c r="FF127" s="139"/>
      <c r="FG127" s="139"/>
      <c r="FH127" s="139"/>
      <c r="FI127" s="139"/>
      <c r="FJ127" s="139"/>
      <c r="FK127" s="139"/>
      <c r="FL127" s="139"/>
      <c r="FM127" s="139"/>
      <c r="FN127" s="139"/>
      <c r="FO127" s="139"/>
      <c r="FP127" s="139"/>
      <c r="FQ127" s="139"/>
      <c r="FR127" s="139"/>
      <c r="FS127" s="139"/>
      <c r="FT127" s="139"/>
      <c r="FU127" s="139"/>
      <c r="FV127" s="139"/>
      <c r="FW127" s="139"/>
      <c r="FX127" s="139"/>
      <c r="FY127" s="139"/>
      <c r="FZ127" s="139"/>
      <c r="GA127" s="139"/>
      <c r="GB127" s="139"/>
      <c r="GC127" s="139"/>
      <c r="GD127" s="139"/>
      <c r="GE127" s="139"/>
      <c r="GF127" s="139"/>
      <c r="GG127" s="139"/>
      <c r="GH127" s="139"/>
      <c r="GI127" s="139"/>
      <c r="GJ127" s="139"/>
      <c r="GK127" s="139"/>
      <c r="GL127" s="139"/>
      <c r="GM127" s="139"/>
      <c r="GN127" s="139"/>
      <c r="GO127" s="139"/>
      <c r="GP127" s="139"/>
      <c r="GQ127" s="139"/>
      <c r="GR127" s="139"/>
      <c r="GS127" s="139"/>
      <c r="GT127" s="139"/>
      <c r="GU127" s="139"/>
      <c r="GV127" s="139"/>
      <c r="GW127" s="139"/>
      <c r="GX127" s="139"/>
      <c r="GY127" s="139"/>
      <c r="GZ127" s="139"/>
      <c r="HA127" s="139"/>
      <c r="HB127" s="139"/>
      <c r="HC127" s="139"/>
      <c r="HD127" s="139"/>
      <c r="HE127" s="139"/>
      <c r="HF127" s="139"/>
      <c r="HG127" s="139"/>
      <c r="HH127" s="139"/>
      <c r="HI127" s="139"/>
      <c r="HJ127" s="139"/>
      <c r="HK127" s="139"/>
      <c r="HL127" s="139"/>
      <c r="HM127" s="139"/>
      <c r="HN127" s="139"/>
      <c r="HO127" s="139"/>
      <c r="HP127" s="139"/>
      <c r="HQ127" s="139"/>
      <c r="HR127" s="139"/>
      <c r="HS127" s="139"/>
      <c r="HT127" s="139"/>
      <c r="HU127" s="139"/>
      <c r="HV127" s="139"/>
      <c r="HW127" s="139"/>
      <c r="HX127" s="139"/>
      <c r="HY127" s="139"/>
      <c r="HZ127" s="139"/>
      <c r="IA127" s="139"/>
      <c r="IB127" s="139"/>
      <c r="IC127" s="139"/>
      <c r="ID127" s="139"/>
      <c r="IE127" s="139"/>
      <c r="IF127" s="139"/>
      <c r="IG127" s="139"/>
      <c r="IH127" s="139"/>
      <c r="II127" s="139"/>
      <c r="IJ127" s="139"/>
      <c r="IK127" s="139"/>
      <c r="IL127" s="139"/>
      <c r="IM127" s="139"/>
      <c r="IN127" s="139"/>
      <c r="IO127" s="139"/>
      <c r="IP127" s="139"/>
      <c r="IQ127" s="139"/>
      <c r="IR127" s="139"/>
      <c r="IS127" s="139"/>
      <c r="IT127" s="139"/>
      <c r="IU127" s="139"/>
      <c r="IV127" s="139"/>
    </row>
    <row r="128" spans="1:256" ht="18" customHeight="1" x14ac:dyDescent="0.25">
      <c r="A128" s="136"/>
      <c r="B128" s="136"/>
      <c r="C128" s="216"/>
      <c r="D128" s="215" t="s">
        <v>1183</v>
      </c>
      <c r="E128" s="139"/>
      <c r="F128" s="213"/>
      <c r="G128" s="213"/>
      <c r="H128" s="214"/>
      <c r="I128" s="213"/>
      <c r="J128" s="213"/>
      <c r="K128" s="213"/>
      <c r="L128" s="215"/>
      <c r="M128" s="217"/>
      <c r="N128" s="217"/>
      <c r="O128" s="217"/>
      <c r="P128" s="134"/>
      <c r="Q128" s="217"/>
      <c r="R128" s="217"/>
      <c r="S128" s="217"/>
      <c r="T128" s="217"/>
      <c r="U128" s="138"/>
      <c r="V128" s="139"/>
      <c r="W128" s="139"/>
      <c r="X128" s="139"/>
      <c r="Y128" s="139"/>
      <c r="Z128" s="139"/>
      <c r="AA128" s="139"/>
      <c r="AB128" s="139"/>
      <c r="AC128" s="139"/>
      <c r="AD128" s="139"/>
      <c r="AE128" s="139"/>
      <c r="AF128" s="139"/>
      <c r="AG128" s="139"/>
      <c r="AH128" s="139"/>
      <c r="AI128" s="139"/>
      <c r="AJ128" s="139"/>
      <c r="AK128" s="139"/>
      <c r="AL128" s="139"/>
      <c r="AM128" s="139"/>
      <c r="AN128" s="139"/>
      <c r="AO128" s="139"/>
      <c r="AP128" s="139"/>
      <c r="AQ128" s="139"/>
      <c r="AR128" s="139"/>
      <c r="AS128" s="139"/>
      <c r="AT128" s="139"/>
      <c r="AU128" s="139"/>
      <c r="AV128" s="139"/>
      <c r="AW128" s="139"/>
      <c r="AX128" s="139"/>
      <c r="AY128" s="139"/>
      <c r="AZ128" s="139"/>
      <c r="BA128" s="139"/>
      <c r="BB128" s="139"/>
      <c r="BC128" s="139"/>
      <c r="BD128" s="139"/>
      <c r="BE128" s="139"/>
      <c r="BF128" s="139"/>
      <c r="BG128" s="139"/>
      <c r="BH128" s="139"/>
      <c r="BI128" s="139"/>
      <c r="BJ128" s="139"/>
      <c r="BK128" s="139"/>
      <c r="BL128" s="139"/>
      <c r="BM128" s="139"/>
      <c r="BN128" s="139"/>
      <c r="BO128" s="139"/>
      <c r="BP128" s="139"/>
      <c r="BQ128" s="139"/>
      <c r="BR128" s="139"/>
      <c r="BS128" s="139"/>
      <c r="BT128" s="139"/>
      <c r="BU128" s="139"/>
      <c r="BV128" s="139"/>
      <c r="BW128" s="139"/>
      <c r="BX128" s="139"/>
      <c r="BY128" s="139"/>
      <c r="BZ128" s="139"/>
      <c r="CA128" s="139"/>
      <c r="CB128" s="139"/>
      <c r="CC128" s="139"/>
      <c r="CD128" s="139"/>
      <c r="CE128" s="139"/>
      <c r="CF128" s="139"/>
      <c r="CG128" s="139"/>
      <c r="CH128" s="139"/>
      <c r="CI128" s="139"/>
      <c r="CJ128" s="139"/>
      <c r="CK128" s="139"/>
      <c r="CL128" s="139"/>
      <c r="CM128" s="139"/>
      <c r="CN128" s="139"/>
      <c r="CO128" s="139"/>
      <c r="CP128" s="139"/>
      <c r="CQ128" s="139"/>
      <c r="CR128" s="139"/>
      <c r="CS128" s="139"/>
      <c r="CT128" s="139"/>
      <c r="CU128" s="139"/>
      <c r="CV128" s="139"/>
      <c r="CW128" s="139"/>
      <c r="CX128" s="139"/>
      <c r="CY128" s="139"/>
      <c r="CZ128" s="139"/>
      <c r="DA128" s="139"/>
      <c r="DB128" s="139"/>
      <c r="DC128" s="139"/>
      <c r="DD128" s="139"/>
      <c r="DE128" s="139"/>
      <c r="DF128" s="139"/>
      <c r="DG128" s="139"/>
      <c r="DH128" s="139"/>
      <c r="DI128" s="139"/>
      <c r="DJ128" s="139"/>
      <c r="DK128" s="139"/>
      <c r="DL128" s="139"/>
      <c r="DM128" s="139"/>
      <c r="DN128" s="139"/>
      <c r="DO128" s="139"/>
      <c r="DP128" s="139"/>
      <c r="DQ128" s="139"/>
      <c r="DR128" s="139"/>
      <c r="DS128" s="139"/>
      <c r="DT128" s="139"/>
      <c r="DU128" s="139"/>
      <c r="DV128" s="139"/>
      <c r="DW128" s="139"/>
      <c r="DX128" s="139"/>
      <c r="DY128" s="139"/>
      <c r="DZ128" s="139"/>
      <c r="EA128" s="139"/>
      <c r="EB128" s="139"/>
      <c r="EC128" s="139"/>
      <c r="ED128" s="139"/>
      <c r="EE128" s="139"/>
      <c r="EF128" s="139"/>
      <c r="EG128" s="139"/>
      <c r="EH128" s="139"/>
      <c r="EI128" s="139"/>
      <c r="EJ128" s="139"/>
      <c r="EK128" s="139"/>
      <c r="EL128" s="139"/>
      <c r="EM128" s="139"/>
      <c r="EN128" s="139"/>
      <c r="EO128" s="139"/>
      <c r="EP128" s="139"/>
      <c r="EQ128" s="139"/>
      <c r="ER128" s="139"/>
      <c r="ES128" s="139"/>
      <c r="ET128" s="139"/>
      <c r="EU128" s="139"/>
      <c r="EV128" s="139"/>
      <c r="EW128" s="139"/>
      <c r="EX128" s="139"/>
      <c r="EY128" s="139"/>
      <c r="EZ128" s="139"/>
      <c r="FA128" s="139"/>
      <c r="FB128" s="139"/>
      <c r="FC128" s="139"/>
      <c r="FD128" s="139"/>
      <c r="FE128" s="139"/>
      <c r="FF128" s="139"/>
      <c r="FG128" s="139"/>
      <c r="FH128" s="139"/>
      <c r="FI128" s="139"/>
      <c r="FJ128" s="139"/>
      <c r="FK128" s="139"/>
      <c r="FL128" s="139"/>
      <c r="FM128" s="139"/>
      <c r="FN128" s="139"/>
      <c r="FO128" s="139"/>
      <c r="FP128" s="139"/>
      <c r="FQ128" s="139"/>
      <c r="FR128" s="139"/>
      <c r="FS128" s="139"/>
      <c r="FT128" s="139"/>
      <c r="FU128" s="139"/>
      <c r="FV128" s="139"/>
      <c r="FW128" s="139"/>
      <c r="FX128" s="139"/>
      <c r="FY128" s="139"/>
      <c r="FZ128" s="139"/>
      <c r="GA128" s="139"/>
      <c r="GB128" s="139"/>
      <c r="GC128" s="139"/>
      <c r="GD128" s="139"/>
      <c r="GE128" s="139"/>
      <c r="GF128" s="139"/>
      <c r="GG128" s="139"/>
      <c r="GH128" s="139"/>
      <c r="GI128" s="139"/>
      <c r="GJ128" s="139"/>
      <c r="GK128" s="139"/>
      <c r="GL128" s="139"/>
      <c r="GM128" s="139"/>
      <c r="GN128" s="139"/>
      <c r="GO128" s="139"/>
      <c r="GP128" s="139"/>
      <c r="GQ128" s="139"/>
      <c r="GR128" s="139"/>
      <c r="GS128" s="139"/>
      <c r="GT128" s="139"/>
      <c r="GU128" s="139"/>
      <c r="GV128" s="139"/>
      <c r="GW128" s="139"/>
      <c r="GX128" s="139"/>
      <c r="GY128" s="139"/>
      <c r="GZ128" s="139"/>
      <c r="HA128" s="139"/>
      <c r="HB128" s="139"/>
      <c r="HC128" s="139"/>
      <c r="HD128" s="139"/>
      <c r="HE128" s="139"/>
      <c r="HF128" s="139"/>
      <c r="HG128" s="139"/>
      <c r="HH128" s="139"/>
      <c r="HI128" s="139"/>
      <c r="HJ128" s="139"/>
      <c r="HK128" s="139"/>
      <c r="HL128" s="139"/>
      <c r="HM128" s="139"/>
      <c r="HN128" s="139"/>
      <c r="HO128" s="139"/>
      <c r="HP128" s="139"/>
      <c r="HQ128" s="139"/>
      <c r="HR128" s="139"/>
      <c r="HS128" s="139"/>
      <c r="HT128" s="139"/>
      <c r="HU128" s="139"/>
      <c r="HV128" s="139"/>
      <c r="HW128" s="139"/>
      <c r="HX128" s="139"/>
      <c r="HY128" s="139"/>
      <c r="HZ128" s="139"/>
      <c r="IA128" s="139"/>
      <c r="IB128" s="139"/>
      <c r="IC128" s="139"/>
      <c r="ID128" s="139"/>
      <c r="IE128" s="139"/>
      <c r="IF128" s="139"/>
      <c r="IG128" s="139"/>
      <c r="IH128" s="139"/>
      <c r="II128" s="139"/>
      <c r="IJ128" s="139"/>
      <c r="IK128" s="139"/>
      <c r="IL128" s="139"/>
      <c r="IM128" s="139"/>
      <c r="IN128" s="139"/>
      <c r="IO128" s="139"/>
      <c r="IP128" s="139"/>
      <c r="IQ128" s="139"/>
      <c r="IR128" s="139"/>
      <c r="IS128" s="139"/>
      <c r="IT128" s="139"/>
      <c r="IU128" s="139"/>
      <c r="IV128" s="139"/>
    </row>
    <row r="129" spans="1:256" ht="13.8" thickBot="1" x14ac:dyDescent="0.3">
      <c r="A129" s="219"/>
      <c r="B129" s="219"/>
      <c r="C129" s="220"/>
      <c r="D129" s="221"/>
      <c r="E129" s="150"/>
      <c r="F129" s="151"/>
      <c r="G129" s="151"/>
      <c r="H129" s="222"/>
      <c r="I129" s="151"/>
      <c r="J129" s="151"/>
      <c r="K129" s="151"/>
      <c r="L129" s="150"/>
      <c r="M129" s="150"/>
      <c r="N129" s="150"/>
      <c r="O129" s="150"/>
      <c r="P129" s="151"/>
      <c r="Q129" s="150"/>
      <c r="R129" s="150"/>
      <c r="S129" s="150"/>
      <c r="T129" s="150"/>
      <c r="U129" s="138"/>
      <c r="V129" s="139"/>
      <c r="W129" s="139"/>
      <c r="X129" s="139"/>
      <c r="Y129" s="139"/>
      <c r="Z129" s="139"/>
      <c r="AA129" s="139"/>
      <c r="AB129" s="139"/>
      <c r="AC129" s="139"/>
      <c r="AD129" s="139"/>
      <c r="AE129" s="139"/>
      <c r="AF129" s="139"/>
      <c r="AG129" s="139"/>
      <c r="AH129" s="139"/>
      <c r="AI129" s="139"/>
      <c r="AJ129" s="139"/>
      <c r="AK129" s="139"/>
      <c r="AL129" s="139"/>
      <c r="AM129" s="139"/>
      <c r="AN129" s="139"/>
      <c r="AO129" s="139"/>
      <c r="AP129" s="139"/>
      <c r="AQ129" s="139"/>
      <c r="AR129" s="139"/>
      <c r="AS129" s="139"/>
      <c r="AT129" s="139"/>
      <c r="AU129" s="139"/>
      <c r="AV129" s="139"/>
      <c r="AW129" s="139"/>
      <c r="AX129" s="139"/>
      <c r="AY129" s="139"/>
      <c r="AZ129" s="139"/>
      <c r="BA129" s="139"/>
      <c r="BB129" s="139"/>
      <c r="BC129" s="139"/>
      <c r="BD129" s="139"/>
      <c r="BE129" s="139"/>
      <c r="BF129" s="139"/>
      <c r="BG129" s="139"/>
      <c r="BH129" s="139"/>
      <c r="BI129" s="139"/>
      <c r="BJ129" s="139"/>
      <c r="BK129" s="139"/>
      <c r="BL129" s="139"/>
      <c r="BM129" s="139"/>
      <c r="BN129" s="139"/>
      <c r="BO129" s="139"/>
      <c r="BP129" s="139"/>
      <c r="BQ129" s="139"/>
      <c r="BR129" s="139"/>
      <c r="BS129" s="139"/>
      <c r="BT129" s="139"/>
      <c r="BU129" s="139"/>
      <c r="BV129" s="139"/>
      <c r="BW129" s="139"/>
      <c r="BX129" s="139"/>
      <c r="BY129" s="139"/>
      <c r="BZ129" s="139"/>
      <c r="CA129" s="139"/>
      <c r="CB129" s="139"/>
      <c r="CC129" s="139"/>
      <c r="CD129" s="139"/>
      <c r="CE129" s="139"/>
      <c r="CF129" s="139"/>
      <c r="CG129" s="139"/>
      <c r="CH129" s="139"/>
      <c r="CI129" s="139"/>
      <c r="CJ129" s="139"/>
      <c r="CK129" s="139"/>
      <c r="CL129" s="139"/>
      <c r="CM129" s="139"/>
      <c r="CN129" s="139"/>
      <c r="CO129" s="139"/>
      <c r="CP129" s="139"/>
      <c r="CQ129" s="139"/>
      <c r="CR129" s="139"/>
      <c r="CS129" s="139"/>
      <c r="CT129" s="139"/>
      <c r="CU129" s="139"/>
      <c r="CV129" s="139"/>
      <c r="CW129" s="139"/>
      <c r="CX129" s="139"/>
      <c r="CY129" s="139"/>
      <c r="CZ129" s="139"/>
      <c r="DA129" s="139"/>
      <c r="DB129" s="139"/>
      <c r="DC129" s="139"/>
      <c r="DD129" s="139"/>
      <c r="DE129" s="139"/>
      <c r="DF129" s="139"/>
      <c r="DG129" s="139"/>
      <c r="DH129" s="139"/>
      <c r="DI129" s="139"/>
      <c r="DJ129" s="139"/>
      <c r="DK129" s="139"/>
      <c r="DL129" s="139"/>
      <c r="DM129" s="139"/>
      <c r="DN129" s="139"/>
      <c r="DO129" s="139"/>
      <c r="DP129" s="139"/>
      <c r="DQ129" s="139"/>
      <c r="DR129" s="139"/>
      <c r="DS129" s="139"/>
      <c r="DT129" s="139"/>
      <c r="DU129" s="139"/>
      <c r="DV129" s="139"/>
      <c r="DW129" s="139"/>
      <c r="DX129" s="139"/>
      <c r="DY129" s="139"/>
      <c r="DZ129" s="139"/>
      <c r="EA129" s="139"/>
      <c r="EB129" s="139"/>
      <c r="EC129" s="139"/>
      <c r="ED129" s="139"/>
      <c r="EE129" s="139"/>
      <c r="EF129" s="139"/>
      <c r="EG129" s="139"/>
      <c r="EH129" s="139"/>
      <c r="EI129" s="139"/>
      <c r="EJ129" s="139"/>
      <c r="EK129" s="139"/>
      <c r="EL129" s="139"/>
      <c r="EM129" s="139"/>
      <c r="EN129" s="139"/>
      <c r="EO129" s="139"/>
      <c r="EP129" s="139"/>
      <c r="EQ129" s="139"/>
      <c r="ER129" s="139"/>
      <c r="ES129" s="139"/>
      <c r="ET129" s="139"/>
      <c r="EU129" s="139"/>
      <c r="EV129" s="139"/>
      <c r="EW129" s="139"/>
      <c r="EX129" s="139"/>
      <c r="EY129" s="139"/>
      <c r="EZ129" s="139"/>
      <c r="FA129" s="139"/>
      <c r="FB129" s="139"/>
      <c r="FC129" s="139"/>
      <c r="FD129" s="139"/>
      <c r="FE129" s="139"/>
      <c r="FF129" s="139"/>
      <c r="FG129" s="139"/>
      <c r="FH129" s="139"/>
      <c r="FI129" s="139"/>
      <c r="FJ129" s="139"/>
      <c r="FK129" s="139"/>
      <c r="FL129" s="139"/>
      <c r="FM129" s="139"/>
      <c r="FN129" s="139"/>
      <c r="FO129" s="139"/>
      <c r="FP129" s="139"/>
      <c r="FQ129" s="139"/>
      <c r="FR129" s="139"/>
      <c r="FS129" s="139"/>
      <c r="FT129" s="139"/>
      <c r="FU129" s="139"/>
      <c r="FV129" s="139"/>
      <c r="FW129" s="139"/>
      <c r="FX129" s="139"/>
      <c r="FY129" s="139"/>
      <c r="FZ129" s="139"/>
      <c r="GA129" s="139"/>
      <c r="GB129" s="139"/>
      <c r="GC129" s="139"/>
      <c r="GD129" s="139"/>
      <c r="GE129" s="139"/>
      <c r="GF129" s="139"/>
      <c r="GG129" s="139"/>
      <c r="GH129" s="139"/>
      <c r="GI129" s="139"/>
      <c r="GJ129" s="139"/>
      <c r="GK129" s="139"/>
      <c r="GL129" s="139"/>
      <c r="GM129" s="139"/>
      <c r="GN129" s="139"/>
      <c r="GO129" s="139"/>
      <c r="GP129" s="139"/>
      <c r="GQ129" s="139"/>
      <c r="GR129" s="139"/>
      <c r="GS129" s="139"/>
      <c r="GT129" s="139"/>
      <c r="GU129" s="139"/>
      <c r="GV129" s="139"/>
      <c r="GW129" s="139"/>
      <c r="GX129" s="139"/>
      <c r="GY129" s="139"/>
      <c r="GZ129" s="139"/>
      <c r="HA129" s="139"/>
      <c r="HB129" s="139"/>
      <c r="HC129" s="139"/>
      <c r="HD129" s="139"/>
      <c r="HE129" s="139"/>
      <c r="HF129" s="139"/>
      <c r="HG129" s="139"/>
      <c r="HH129" s="139"/>
      <c r="HI129" s="139"/>
      <c r="HJ129" s="139"/>
      <c r="HK129" s="139"/>
      <c r="HL129" s="139"/>
      <c r="HM129" s="139"/>
      <c r="HN129" s="139"/>
      <c r="HO129" s="139"/>
      <c r="HP129" s="139"/>
      <c r="HQ129" s="139"/>
      <c r="HR129" s="139"/>
      <c r="HS129" s="139"/>
      <c r="HT129" s="139"/>
      <c r="HU129" s="139"/>
      <c r="HV129" s="139"/>
      <c r="HW129" s="139"/>
      <c r="HX129" s="139"/>
      <c r="HY129" s="139"/>
      <c r="HZ129" s="139"/>
      <c r="IA129" s="139"/>
      <c r="IB129" s="139"/>
      <c r="IC129" s="139"/>
      <c r="ID129" s="139"/>
      <c r="IE129" s="139"/>
      <c r="IF129" s="139"/>
      <c r="IG129" s="139"/>
      <c r="IH129" s="139"/>
      <c r="II129" s="139"/>
      <c r="IJ129" s="139"/>
      <c r="IK129" s="139"/>
      <c r="IL129" s="139"/>
      <c r="IM129" s="139"/>
      <c r="IN129" s="139"/>
      <c r="IO129" s="139"/>
      <c r="IP129" s="139"/>
      <c r="IQ129" s="139"/>
      <c r="IR129" s="139"/>
      <c r="IS129" s="139"/>
      <c r="IT129" s="139"/>
      <c r="IU129" s="139"/>
      <c r="IV129" s="139"/>
    </row>
    <row r="130" spans="1:256" ht="13.95" customHeight="1" thickTop="1" x14ac:dyDescent="0.25">
      <c r="A130" s="139"/>
      <c r="B130" s="139"/>
      <c r="C130" s="139"/>
      <c r="D130" s="223"/>
      <c r="E130" s="139"/>
      <c r="F130" s="153"/>
      <c r="G130" s="153"/>
      <c r="H130" s="224"/>
      <c r="I130" s="153"/>
      <c r="J130" s="153"/>
      <c r="K130" s="153"/>
      <c r="L130" s="139"/>
      <c r="M130" s="139"/>
      <c r="N130" s="139"/>
      <c r="O130" s="139"/>
      <c r="P130" s="153"/>
      <c r="Q130" s="139"/>
      <c r="R130" s="139"/>
      <c r="S130" s="139"/>
      <c r="T130" s="139"/>
      <c r="U130" s="139"/>
      <c r="V130" s="139"/>
      <c r="W130" s="139"/>
      <c r="X130" s="139"/>
      <c r="Y130" s="139"/>
      <c r="Z130" s="139"/>
      <c r="AA130" s="139"/>
      <c r="AB130" s="139"/>
      <c r="AC130" s="139"/>
      <c r="AD130" s="139"/>
      <c r="AE130" s="139"/>
      <c r="AF130" s="139"/>
      <c r="AG130" s="139"/>
      <c r="AH130" s="139"/>
      <c r="AI130" s="139"/>
      <c r="AJ130" s="139"/>
      <c r="AK130" s="139"/>
      <c r="AL130" s="139"/>
      <c r="AM130" s="139"/>
      <c r="AN130" s="139"/>
      <c r="AO130" s="139"/>
      <c r="AP130" s="139"/>
      <c r="AQ130" s="139"/>
      <c r="AR130" s="139"/>
      <c r="AS130" s="139"/>
      <c r="AT130" s="139"/>
      <c r="AU130" s="139"/>
      <c r="AV130" s="139"/>
      <c r="AW130" s="139"/>
      <c r="AX130" s="139"/>
      <c r="AY130" s="139"/>
      <c r="AZ130" s="139"/>
      <c r="BA130" s="139"/>
      <c r="BB130" s="139"/>
      <c r="BC130" s="139"/>
      <c r="BD130" s="139"/>
      <c r="BE130" s="139"/>
      <c r="BF130" s="139"/>
      <c r="BG130" s="139"/>
      <c r="BH130" s="139"/>
      <c r="BI130" s="139"/>
      <c r="BJ130" s="139"/>
      <c r="BK130" s="139"/>
      <c r="BL130" s="139"/>
      <c r="BM130" s="139"/>
      <c r="BN130" s="139"/>
      <c r="BO130" s="139"/>
      <c r="BP130" s="139"/>
      <c r="BQ130" s="139"/>
      <c r="BR130" s="139"/>
      <c r="BS130" s="139"/>
      <c r="BT130" s="139"/>
      <c r="BU130" s="139"/>
      <c r="BV130" s="139"/>
      <c r="BW130" s="139"/>
      <c r="BX130" s="139"/>
      <c r="BY130" s="139"/>
      <c r="BZ130" s="139"/>
      <c r="CA130" s="139"/>
      <c r="CB130" s="139"/>
      <c r="CC130" s="139"/>
      <c r="CD130" s="139"/>
      <c r="CE130" s="139"/>
      <c r="CF130" s="139"/>
      <c r="CG130" s="139"/>
      <c r="CH130" s="139"/>
      <c r="CI130" s="139"/>
      <c r="CJ130" s="139"/>
      <c r="CK130" s="139"/>
      <c r="CL130" s="139"/>
      <c r="CM130" s="139"/>
      <c r="CN130" s="139"/>
      <c r="CO130" s="139"/>
      <c r="CP130" s="139"/>
      <c r="CQ130" s="139"/>
      <c r="CR130" s="139"/>
      <c r="CS130" s="139"/>
      <c r="CT130" s="139"/>
      <c r="CU130" s="139"/>
      <c r="CV130" s="139"/>
      <c r="CW130" s="139"/>
      <c r="CX130" s="139"/>
      <c r="CY130" s="139"/>
      <c r="CZ130" s="139"/>
      <c r="DA130" s="139"/>
      <c r="DB130" s="139"/>
      <c r="DC130" s="139"/>
      <c r="DD130" s="139"/>
      <c r="DE130" s="139"/>
      <c r="DF130" s="139"/>
      <c r="DG130" s="139"/>
      <c r="DH130" s="139"/>
      <c r="DI130" s="139"/>
      <c r="DJ130" s="139"/>
      <c r="DK130" s="139"/>
      <c r="DL130" s="139"/>
      <c r="DM130" s="139"/>
      <c r="DN130" s="139"/>
      <c r="DO130" s="139"/>
      <c r="DP130" s="139"/>
      <c r="DQ130" s="139"/>
      <c r="DR130" s="139"/>
      <c r="DS130" s="139"/>
      <c r="DT130" s="139"/>
      <c r="DU130" s="139"/>
      <c r="DV130" s="139"/>
      <c r="DW130" s="139"/>
      <c r="DX130" s="139"/>
      <c r="DY130" s="139"/>
      <c r="DZ130" s="139"/>
      <c r="EA130" s="139"/>
      <c r="EB130" s="139"/>
      <c r="EC130" s="139"/>
      <c r="ED130" s="139"/>
      <c r="EE130" s="139"/>
      <c r="EF130" s="139"/>
      <c r="EG130" s="139"/>
      <c r="EH130" s="139"/>
      <c r="EI130" s="139"/>
      <c r="EJ130" s="139"/>
      <c r="EK130" s="139"/>
      <c r="EL130" s="139"/>
      <c r="EM130" s="139"/>
      <c r="EN130" s="139"/>
      <c r="EO130" s="139"/>
      <c r="EP130" s="139"/>
      <c r="EQ130" s="139"/>
      <c r="ER130" s="139"/>
      <c r="ES130" s="139"/>
      <c r="ET130" s="139"/>
      <c r="EU130" s="139"/>
      <c r="EV130" s="139"/>
      <c r="EW130" s="139"/>
      <c r="EX130" s="139"/>
      <c r="EY130" s="139"/>
      <c r="EZ130" s="139"/>
      <c r="FA130" s="139"/>
      <c r="FB130" s="139"/>
      <c r="FC130" s="139"/>
      <c r="FD130" s="139"/>
      <c r="FE130" s="139"/>
      <c r="FF130" s="139"/>
      <c r="FG130" s="139"/>
      <c r="FH130" s="139"/>
      <c r="FI130" s="139"/>
      <c r="FJ130" s="139"/>
      <c r="FK130" s="139"/>
      <c r="FL130" s="139"/>
      <c r="FM130" s="139"/>
      <c r="FN130" s="139"/>
      <c r="FO130" s="139"/>
      <c r="FP130" s="139"/>
      <c r="FQ130" s="139"/>
      <c r="FR130" s="139"/>
      <c r="FS130" s="139"/>
      <c r="FT130" s="139"/>
      <c r="FU130" s="139"/>
      <c r="FV130" s="139"/>
      <c r="FW130" s="139"/>
      <c r="FX130" s="139"/>
      <c r="FY130" s="139"/>
      <c r="FZ130" s="139"/>
      <c r="GA130" s="139"/>
      <c r="GB130" s="139"/>
      <c r="GC130" s="139"/>
      <c r="GD130" s="139"/>
      <c r="GE130" s="139"/>
      <c r="GF130" s="139"/>
      <c r="GG130" s="139"/>
      <c r="GH130" s="139"/>
      <c r="GI130" s="139"/>
      <c r="GJ130" s="139"/>
      <c r="GK130" s="139"/>
      <c r="GL130" s="139"/>
      <c r="GM130" s="139"/>
      <c r="GN130" s="139"/>
      <c r="GO130" s="139"/>
      <c r="GP130" s="139"/>
      <c r="GQ130" s="139"/>
      <c r="GR130" s="139"/>
      <c r="GS130" s="139"/>
      <c r="GT130" s="139"/>
      <c r="GU130" s="139"/>
      <c r="GV130" s="139"/>
      <c r="GW130" s="139"/>
      <c r="GX130" s="139"/>
      <c r="GY130" s="139"/>
      <c r="GZ130" s="139"/>
      <c r="HA130" s="139"/>
      <c r="HB130" s="139"/>
      <c r="HC130" s="139"/>
      <c r="HD130" s="139"/>
      <c r="HE130" s="139"/>
      <c r="HF130" s="139"/>
      <c r="HG130" s="139"/>
      <c r="HH130" s="139"/>
      <c r="HI130" s="139"/>
      <c r="HJ130" s="139"/>
      <c r="HK130" s="139"/>
      <c r="HL130" s="139"/>
      <c r="HM130" s="139"/>
      <c r="HN130" s="139"/>
      <c r="HO130" s="139"/>
      <c r="HP130" s="139"/>
      <c r="HQ130" s="139"/>
      <c r="HR130" s="139"/>
      <c r="HS130" s="139"/>
      <c r="HT130" s="139"/>
      <c r="HU130" s="139"/>
      <c r="HV130" s="139"/>
      <c r="HW130" s="139"/>
      <c r="HX130" s="139"/>
      <c r="HY130" s="139"/>
      <c r="HZ130" s="139"/>
      <c r="IA130" s="139"/>
      <c r="IB130" s="139"/>
      <c r="IC130" s="139"/>
      <c r="ID130" s="139"/>
      <c r="IE130" s="139"/>
      <c r="IF130" s="139"/>
      <c r="IG130" s="139"/>
      <c r="IH130" s="139"/>
      <c r="II130" s="139"/>
      <c r="IJ130" s="139"/>
      <c r="IK130" s="139"/>
      <c r="IL130" s="139"/>
      <c r="IM130" s="139"/>
      <c r="IN130" s="139"/>
      <c r="IO130" s="139"/>
      <c r="IP130" s="139"/>
      <c r="IQ130" s="139"/>
      <c r="IR130" s="139"/>
      <c r="IS130" s="139"/>
      <c r="IT130" s="139"/>
      <c r="IU130" s="139"/>
      <c r="IV130" s="139"/>
    </row>
    <row r="131" spans="1:256" ht="13.95" customHeight="1" x14ac:dyDescent="0.25">
      <c r="P131" s="85"/>
    </row>
    <row r="132" spans="1:256" x14ac:dyDescent="0.25">
      <c r="P132" s="85"/>
    </row>
    <row r="133" spans="1:256" x14ac:dyDescent="0.25">
      <c r="P133" s="85"/>
    </row>
    <row r="134" spans="1:256" x14ac:dyDescent="0.25">
      <c r="P134" s="85"/>
    </row>
    <row r="135" spans="1:256" x14ac:dyDescent="0.25">
      <c r="P135" s="85"/>
    </row>
    <row r="136" spans="1:256" x14ac:dyDescent="0.25">
      <c r="P136" s="85"/>
    </row>
    <row r="137" spans="1:256" x14ac:dyDescent="0.25">
      <c r="P137" s="85"/>
    </row>
    <row r="138" spans="1:256" x14ac:dyDescent="0.25">
      <c r="P138" s="85"/>
    </row>
    <row r="139" spans="1:256" x14ac:dyDescent="0.25">
      <c r="P139" s="85"/>
    </row>
    <row r="140" spans="1:256" x14ac:dyDescent="0.25">
      <c r="P140" s="85"/>
    </row>
  </sheetData>
  <mergeCells count="8">
    <mergeCell ref="A1:F1"/>
    <mergeCell ref="K1:L1"/>
    <mergeCell ref="M1:T1"/>
    <mergeCell ref="A2:L3"/>
    <mergeCell ref="M2:P2"/>
    <mergeCell ref="Q2:T2"/>
    <mergeCell ref="M3:P3"/>
    <mergeCell ref="Q3:T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54604-4BFE-4AFF-8F09-F61787AE3ADA}">
  <dimension ref="A1:E3"/>
  <sheetViews>
    <sheetView showGridLines="0" zoomScaleNormal="100" workbookViewId="0">
      <selection activeCell="E18" sqref="E18"/>
    </sheetView>
  </sheetViews>
  <sheetFormatPr defaultColWidth="8.88671875" defaultRowHeight="13.2" x14ac:dyDescent="0.25"/>
  <cols>
    <col min="1" max="1" width="8.88671875" style="229"/>
    <col min="2" max="2" width="10.33203125" style="229" bestFit="1" customWidth="1"/>
    <col min="3" max="3" width="60.88671875" style="229" customWidth="1"/>
    <col min="4" max="4" width="13.88671875" style="229" bestFit="1" customWidth="1"/>
    <col min="5" max="5" width="12.33203125" style="229" bestFit="1" customWidth="1"/>
    <col min="6" max="16384" width="8.88671875" style="229"/>
  </cols>
  <sheetData>
    <row r="1" spans="1:5" x14ac:dyDescent="0.25">
      <c r="A1" s="225" t="s">
        <v>1184</v>
      </c>
      <c r="B1" s="226" t="s">
        <v>1185</v>
      </c>
      <c r="C1" s="227" t="s">
        <v>3</v>
      </c>
      <c r="D1" s="226" t="s">
        <v>1186</v>
      </c>
      <c r="E1" s="228" t="s">
        <v>1187</v>
      </c>
    </row>
    <row r="2" spans="1:5" x14ac:dyDescent="0.25">
      <c r="A2" s="230" t="s">
        <v>716</v>
      </c>
      <c r="B2" s="231">
        <v>45929</v>
      </c>
      <c r="C2" s="232" t="s">
        <v>1188</v>
      </c>
      <c r="D2" s="230" t="s">
        <v>1189</v>
      </c>
      <c r="E2" s="230" t="s">
        <v>1190</v>
      </c>
    </row>
    <row r="3" spans="1:5" x14ac:dyDescent="0.25">
      <c r="A3" s="572" t="s">
        <v>1522</v>
      </c>
      <c r="B3" s="573">
        <v>46057</v>
      </c>
      <c r="C3" s="574" t="s">
        <v>2018</v>
      </c>
      <c r="D3" s="572" t="s">
        <v>1189</v>
      </c>
      <c r="E3" s="572" t="s">
        <v>2019</v>
      </c>
    </row>
  </sheetData>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97</vt:i4>
      </vt:variant>
    </vt:vector>
  </HeadingPairs>
  <TitlesOfParts>
    <vt:vector size="107" baseType="lpstr">
      <vt:lpstr>Sheet1</vt:lpstr>
      <vt:lpstr>Data</vt:lpstr>
      <vt:lpstr>Excel Calc</vt:lpstr>
      <vt:lpstr>Fan Lookup</vt:lpstr>
      <vt:lpstr>Fan Lookup2</vt:lpstr>
      <vt:lpstr>001-013</vt:lpstr>
      <vt:lpstr>Channel Loc</vt:lpstr>
      <vt:lpstr>Hole Sizes</vt:lpstr>
      <vt:lpstr>Material List</vt:lpstr>
      <vt:lpstr>Revision List</vt:lpstr>
      <vt:lpstr>Assembly_Description</vt:lpstr>
      <vt:lpstr>CollarThkO</vt:lpstr>
      <vt:lpstr>Construction</vt:lpstr>
      <vt:lpstr>DamperSize</vt:lpstr>
      <vt:lpstr>DoorPlacement</vt:lpstr>
      <vt:lpstr>Error</vt:lpstr>
      <vt:lpstr>FAN_A</vt:lpstr>
      <vt:lpstr>Fan_AA</vt:lpstr>
      <vt:lpstr>Fan_AB</vt:lpstr>
      <vt:lpstr>Fan_AC</vt:lpstr>
      <vt:lpstr>Fan_AD</vt:lpstr>
      <vt:lpstr>Fan_AE</vt:lpstr>
      <vt:lpstr>Fan_AF</vt:lpstr>
      <vt:lpstr>Fan_AG</vt:lpstr>
      <vt:lpstr>Fan_AH</vt:lpstr>
      <vt:lpstr>Fan_AI</vt:lpstr>
      <vt:lpstr>Fan_AJ</vt:lpstr>
      <vt:lpstr>Fan_AU</vt:lpstr>
      <vt:lpstr>FAN_AW</vt:lpstr>
      <vt:lpstr>Fan_AZ</vt:lpstr>
      <vt:lpstr>FAN_B</vt:lpstr>
      <vt:lpstr>Fan_BA</vt:lpstr>
      <vt:lpstr>Fan_BB</vt:lpstr>
      <vt:lpstr>Fan_BC</vt:lpstr>
      <vt:lpstr>Fan_BD</vt:lpstr>
      <vt:lpstr>Fan_BE</vt:lpstr>
      <vt:lpstr>FAN_C</vt:lpstr>
      <vt:lpstr>FAN_CS</vt:lpstr>
      <vt:lpstr>FAN_D</vt:lpstr>
      <vt:lpstr>FAN_E</vt:lpstr>
      <vt:lpstr>FAN_F</vt:lpstr>
      <vt:lpstr>FAN_FS</vt:lpstr>
      <vt:lpstr>FAN_G</vt:lpstr>
      <vt:lpstr>FAN_H</vt:lpstr>
      <vt:lpstr>FAN_HD</vt:lpstr>
      <vt:lpstr>FAN_I</vt:lpstr>
      <vt:lpstr>FAN_J</vt:lpstr>
      <vt:lpstr>Fan_K</vt:lpstr>
      <vt:lpstr>Fan_L</vt:lpstr>
      <vt:lpstr>FAN_LG</vt:lpstr>
      <vt:lpstr>FAN_LG_orig</vt:lpstr>
      <vt:lpstr>Fan_M</vt:lpstr>
      <vt:lpstr>FAN_S</vt:lpstr>
      <vt:lpstr>FAN_SD</vt:lpstr>
      <vt:lpstr>FAN_T</vt:lpstr>
      <vt:lpstr>FAN_TL</vt:lpstr>
      <vt:lpstr>FAN_U</vt:lpstr>
      <vt:lpstr>Fan_V</vt:lpstr>
      <vt:lpstr>Fan_W</vt:lpstr>
      <vt:lpstr>FAN_WD</vt:lpstr>
      <vt:lpstr>Fan_Y</vt:lpstr>
      <vt:lpstr>Fan_Z</vt:lpstr>
      <vt:lpstr>FanBlockOffQty</vt:lpstr>
      <vt:lpstr>FanBlockOffThkO</vt:lpstr>
      <vt:lpstr>FanDamperOptn</vt:lpstr>
      <vt:lpstr>FANSARRAY</vt:lpstr>
      <vt:lpstr>FANSIZE</vt:lpstr>
      <vt:lpstr>FanSpacing</vt:lpstr>
      <vt:lpstr>FanSpacingHorz_O</vt:lpstr>
      <vt:lpstr>FanSpacingLeng_O</vt:lpstr>
      <vt:lpstr>FANSWIDE</vt:lpstr>
      <vt:lpstr>FanToLinerHorz_O</vt:lpstr>
      <vt:lpstr>FanToLinerLeng_O</vt:lpstr>
      <vt:lpstr>HT</vt:lpstr>
      <vt:lpstr>IL</vt:lpstr>
      <vt:lpstr>IW</vt:lpstr>
      <vt:lpstr>KW</vt:lpstr>
      <vt:lpstr>LenSepPanThkO</vt:lpstr>
      <vt:lpstr>MAT_CUT</vt:lpstr>
      <vt:lpstr>MAT_DESC</vt:lpstr>
      <vt:lpstr>MAT_DESG</vt:lpstr>
      <vt:lpstr>MAT_DEST</vt:lpstr>
      <vt:lpstr>MAT_DXF</vt:lpstr>
      <vt:lpstr>MAT_GA</vt:lpstr>
      <vt:lpstr>MAT_GRP</vt:lpstr>
      <vt:lpstr>MAT_HLSZ</vt:lpstr>
      <vt:lpstr>MAT_KEYT</vt:lpstr>
      <vt:lpstr>MAT_LOOKUP</vt:lpstr>
      <vt:lpstr>MAT_MINT</vt:lpstr>
      <vt:lpstr>MAT_PNUM</vt:lpstr>
      <vt:lpstr>MAT_RSTD</vt:lpstr>
      <vt:lpstr>MAT_STG</vt:lpstr>
      <vt:lpstr>MAT_TYPE</vt:lpstr>
      <vt:lpstr>MAT_UMSR</vt:lpstr>
      <vt:lpstr>MAT_XT</vt:lpstr>
      <vt:lpstr>MAT_YC</vt:lpstr>
      <vt:lpstr>Material_List_Column_Names</vt:lpstr>
      <vt:lpstr>Material_List_Table</vt:lpstr>
      <vt:lpstr>MaterialStyle</vt:lpstr>
      <vt:lpstr>MTRVOLT</vt:lpstr>
      <vt:lpstr>OpeningChannelThkO</vt:lpstr>
      <vt:lpstr>OpeningOS</vt:lpstr>
      <vt:lpstr>PanThkO</vt:lpstr>
      <vt:lpstr>WAGO_Dist1</vt:lpstr>
      <vt:lpstr>WAGO_Dist2</vt:lpstr>
      <vt:lpstr>WAGO_Dist3</vt:lpstr>
      <vt:lpstr>WAGO_Dist4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Sandip Joshi</dc:creator>
  <cp:lastModifiedBy>Sandip Joshi</cp:lastModifiedBy>
  <dcterms:created xsi:type="dcterms:W3CDTF">2015-06-05T18:17:20Z</dcterms:created>
  <dcterms:modified xsi:type="dcterms:W3CDTF">2026-02-04T10:31:40Z</dcterms:modified>
</cp:coreProperties>
</file>