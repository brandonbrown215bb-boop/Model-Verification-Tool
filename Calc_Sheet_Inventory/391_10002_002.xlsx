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mysite.jci.com/personal/jgroham_jci_com/Documents/ECN 11527/391-10002-002 - final/"/>
    </mc:Choice>
  </mc:AlternateContent>
  <xr:revisionPtr revIDLastSave="22" documentId="11_988698C60E8AD77FA74425ED7D098119E7B6BBE0" xr6:coauthVersionLast="47" xr6:coauthVersionMax="47" xr10:uidLastSave="{96BA7294-D5CD-4115-B4C0-DBB378F209DF}"/>
  <bookViews>
    <workbookView xWindow="4545" yWindow="2490" windowWidth="21600" windowHeight="11385" xr2:uid="{00000000-000D-0000-FFFF-FFFF00000000}"/>
  </bookViews>
  <sheets>
    <sheet name="Sheet1" sheetId="714" r:id="rId1"/>
    <sheet name="Data" sheetId="715" r:id="rId2"/>
    <sheet name="Excel Calcs" sheetId="717" r:id="rId3"/>
    <sheet name="Hole Sizes" sheetId="719" r:id="rId4"/>
    <sheet name="Channel Loc" sheetId="722" r:id="rId5"/>
    <sheet name="Material List" sheetId="727" r:id="rId6"/>
    <sheet name="Steel List" sheetId="726" r:id="rId7"/>
    <sheet name="Revision List" sheetId="718" r:id="rId8"/>
  </sheets>
  <definedNames>
    <definedName name="_xlnm._FilterDatabase" localSheetId="5" hidden="1">'Material List'!$A$8:$A$120</definedName>
    <definedName name="_xlnm._FilterDatabase" localSheetId="0" hidden="1">Sheet1!$A$1:$A$273</definedName>
    <definedName name="BTM_Seam">Data!$B$7</definedName>
    <definedName name="Construction">Data!$B$9</definedName>
    <definedName name="Corner_Brace_GAO">Data!$B$13</definedName>
    <definedName name="Corner_Brace_Thk">Data!$H$4</definedName>
    <definedName name="Corner_BraceO">Data!$B$12</definedName>
    <definedName name="FLOOR_CHAN_1_X_ARRAY_OFFSET">'Channel Loc'!$D$6</definedName>
    <definedName name="FLOOR_CHAN_1_X_ARRAY_QTY">'Channel Loc'!$E$6</definedName>
    <definedName name="FLOOR_CHAN_1_X_ARRAY_SPACING">'Channel Loc'!$F$6</definedName>
    <definedName name="FLOOR_CHAN_1_Z_LOC">'Channel Loc'!$C$6</definedName>
    <definedName name="FLOOR_CHAN_10_X_ARRAY_OFFSET">'Channel Loc'!$D$15</definedName>
    <definedName name="FLOOR_CHAN_10_X_ARRAY_QTY">'Channel Loc'!$E$15</definedName>
    <definedName name="FLOOR_CHAN_10_X_ARRAY_SPACING">'Channel Loc'!$F$15</definedName>
    <definedName name="FLOOR_CHAN_10_Z_LOC">'Channel Loc'!$C$15</definedName>
    <definedName name="FLOOR_CHAN_11_X_ARRAY_OFFSET">'Channel Loc'!$D$16</definedName>
    <definedName name="FLOOR_CHAN_11_X_ARRAY_QTY">'Channel Loc'!$E$16</definedName>
    <definedName name="FLOOR_CHAN_11_X_ARRAY_SPACING">'Channel Loc'!$F$16</definedName>
    <definedName name="FLOOR_CHAN_11_Z_LOC">'Channel Loc'!$C$16</definedName>
    <definedName name="FLOOR_CHAN_12_X_ARRAY_OFFSET">'Channel Loc'!$D$17</definedName>
    <definedName name="FLOOR_CHAN_12_X_ARRAY_QTY">'Channel Loc'!$E$17</definedName>
    <definedName name="FLOOR_CHAN_12_X_ARRAY_SPACING">'Channel Loc'!$F$17</definedName>
    <definedName name="FLOOR_CHAN_12_Z_LOC">'Channel Loc'!$C$17</definedName>
    <definedName name="FLOOR_CHAN_13_X_ARRAY_OFFSET">'Channel Loc'!$D$18</definedName>
    <definedName name="FLOOR_CHAN_13_X_ARRAY_QTY">'Channel Loc'!$E$18</definedName>
    <definedName name="FLOOR_CHAN_13_X_ARRAY_SPACING">'Channel Loc'!$F$18</definedName>
    <definedName name="FLOOR_CHAN_13_Z_LOC">'Channel Loc'!$C$18</definedName>
    <definedName name="FLOOR_CHAN_14_X_ARRAY_OFFSET">'Channel Loc'!$D$19</definedName>
    <definedName name="FLOOR_CHAN_14_X_ARRAY_QTY">'Channel Loc'!$E$19</definedName>
    <definedName name="FLOOR_CHAN_14_X_ARRAY_SPACING">'Channel Loc'!$F$19</definedName>
    <definedName name="FLOOR_CHAN_14_Z_LOC">'Channel Loc'!$C$19</definedName>
    <definedName name="FLOOR_CHAN_15_X_ARRAY_OFFSET">'Channel Loc'!$D$20</definedName>
    <definedName name="FLOOR_CHAN_15_X_ARRAY_QTY">'Channel Loc'!$E$20</definedName>
    <definedName name="FLOOR_CHAN_15_X_ARRAY_SPACING">'Channel Loc'!$F$20</definedName>
    <definedName name="FLOOR_CHAN_15_Z_LOC">'Channel Loc'!$C$20</definedName>
    <definedName name="FLOOR_CHAN_16_X_ARRAY_OFFSET">'Channel Loc'!$D$21</definedName>
    <definedName name="FLOOR_CHAN_16_X_ARRAY_QTY">'Channel Loc'!$E$21</definedName>
    <definedName name="FLOOR_CHAN_16_X_ARRAY_SPACING">'Channel Loc'!$F$21</definedName>
    <definedName name="FLOOR_CHAN_16_Z_LOC">'Channel Loc'!$C$21</definedName>
    <definedName name="FLOOR_CHAN_17_X_ARRAY_OFFSET">'Channel Loc'!$D$22</definedName>
    <definedName name="FLOOR_CHAN_17_X_ARRAY_QTY">'Channel Loc'!$E$22</definedName>
    <definedName name="FLOOR_CHAN_17_X_ARRAY_SPACING">'Channel Loc'!$F$22</definedName>
    <definedName name="FLOOR_CHAN_17_Z_LOC">'Channel Loc'!$C$22</definedName>
    <definedName name="FLOOR_CHAN_18_X_ARRAY_OFFSET">'Channel Loc'!$D$23</definedName>
    <definedName name="FLOOR_CHAN_18_X_ARRAY_QTY">'Channel Loc'!$E$23</definedName>
    <definedName name="FLOOR_CHAN_18_X_ARRAY_SPACING">'Channel Loc'!$F$23</definedName>
    <definedName name="FLOOR_CHAN_18_Z_LOC">'Channel Loc'!$C$23</definedName>
    <definedName name="FLOOR_CHAN_19_X_ARRAY_OFFSET">'Channel Loc'!$D$24</definedName>
    <definedName name="FLOOR_CHAN_19_X_ARRAY_QTY">'Channel Loc'!$E$24</definedName>
    <definedName name="FLOOR_CHAN_19_X_ARRAY_SPACING">'Channel Loc'!$F$24</definedName>
    <definedName name="FLOOR_CHAN_19_Z_LOC">'Channel Loc'!$C$24</definedName>
    <definedName name="FLOOR_CHAN_2_X_ARRAY_OFFSET">'Channel Loc'!$D$7</definedName>
    <definedName name="FLOOR_CHAN_2_X_ARRAY_QTY">'Channel Loc'!$E$7</definedName>
    <definedName name="FLOOR_CHAN_2_X_ARRAY_SPACING">'Channel Loc'!$F$7</definedName>
    <definedName name="FLOOR_CHAN_2_Z_LOC">'Channel Loc'!$C$7</definedName>
    <definedName name="FLOOR_CHAN_20_X_ARRAY_OFFSET">'Channel Loc'!$D$25</definedName>
    <definedName name="FLOOR_CHAN_20_X_ARRAY_QTY">'Channel Loc'!$E$25</definedName>
    <definedName name="FLOOR_CHAN_20_X_ARRAY_SPACING">'Channel Loc'!$F$25</definedName>
    <definedName name="FLOOR_CHAN_20_Z_LOC">'Channel Loc'!$C$25</definedName>
    <definedName name="FLOOR_CHAN_21_X_ARRAY_OFFSET">'Channel Loc'!$D$26</definedName>
    <definedName name="FLOOR_CHAN_21_X_ARRAY_QTY">'Channel Loc'!$E$26</definedName>
    <definedName name="FLOOR_CHAN_21_X_ARRAY_SPACING">'Channel Loc'!$F$26</definedName>
    <definedName name="FLOOR_CHAN_21_Z_LOC">'Channel Loc'!$C$26</definedName>
    <definedName name="FLOOR_CHAN_22_X_ARRAY_OFFSET">'Channel Loc'!#REF!</definedName>
    <definedName name="FLOOR_CHAN_22_X_ARRAY_QTY">'Channel Loc'!#REF!</definedName>
    <definedName name="FLOOR_CHAN_22_X_ARRAY_SPACING">'Channel Loc'!#REF!</definedName>
    <definedName name="FLOOR_CHAN_22_Z_LOC">'Channel Loc'!#REF!</definedName>
    <definedName name="FLOOR_CHAN_23_X_ARRAY_OFFSET">'Channel Loc'!#REF!</definedName>
    <definedName name="FLOOR_CHAN_23_X_ARRAY_QTY">'Channel Loc'!#REF!</definedName>
    <definedName name="FLOOR_CHAN_23_X_ARRAY_SPACING">'Channel Loc'!#REF!</definedName>
    <definedName name="FLOOR_CHAN_23_Z_LOC">'Channel Loc'!#REF!</definedName>
    <definedName name="FLOOR_CHAN_24_X_ARRAY_OFFSET">'Channel Loc'!#REF!</definedName>
    <definedName name="FLOOR_CHAN_24_X_ARRAY_QTY">'Channel Loc'!#REF!</definedName>
    <definedName name="FLOOR_CHAN_24_X_ARRAY_SPACING">'Channel Loc'!#REF!</definedName>
    <definedName name="FLOOR_CHAN_24_Z_LOC">'Channel Loc'!#REF!</definedName>
    <definedName name="FLOOR_CHAN_25_X_ARRAY_OFFSET">'Channel Loc'!#REF!</definedName>
    <definedName name="FLOOR_CHAN_25_X_ARRAY_QTY">'Channel Loc'!#REF!</definedName>
    <definedName name="FLOOR_CHAN_25_X_ARRAY_SPACING">'Channel Loc'!#REF!</definedName>
    <definedName name="FLOOR_CHAN_25_Z_LOC">'Channel Loc'!#REF!</definedName>
    <definedName name="FLOOR_CHAN_3_X_ARRAY_OFFSET">'Channel Loc'!$D$8</definedName>
    <definedName name="FLOOR_CHAN_3_X_ARRAY_QTY">'Channel Loc'!$E$8</definedName>
    <definedName name="FLOOR_CHAN_3_X_ARRAY_SPACING">'Channel Loc'!$F$8</definedName>
    <definedName name="FLOOR_CHAN_3_Z_LOC">'Channel Loc'!$C$8</definedName>
    <definedName name="FLOOR_CHAN_4_X_ARRAY_OFFSET">'Channel Loc'!$D$9</definedName>
    <definedName name="FLOOR_CHAN_4_X_ARRAY_QTY">'Channel Loc'!$E$9</definedName>
    <definedName name="FLOOR_CHAN_4_X_ARRAY_SPACING">'Channel Loc'!$F$9</definedName>
    <definedName name="FLOOR_CHAN_4_Z_LOC">'Channel Loc'!$C$9</definedName>
    <definedName name="FLOOR_CHAN_5_X_ARRAY_OFFSET">'Channel Loc'!$D$10</definedName>
    <definedName name="FLOOR_CHAN_5_X_ARRAY_QTY">'Channel Loc'!$E$10</definedName>
    <definedName name="FLOOR_CHAN_5_X_ARRAY_SPACING">'Channel Loc'!$F$10</definedName>
    <definedName name="FLOOR_CHAN_5_Z_LOC">'Channel Loc'!$C$10</definedName>
    <definedName name="FLOOR_CHAN_6_X_ARRAY_OFFSET">'Channel Loc'!$D$11</definedName>
    <definedName name="FLOOR_CHAN_6_X_ARRAY_QTY">'Channel Loc'!$E$11</definedName>
    <definedName name="FLOOR_CHAN_6_X_ARRAY_SPACING">'Channel Loc'!$F$11</definedName>
    <definedName name="FLOOR_CHAN_6_Z_LOC">'Channel Loc'!$C$11</definedName>
    <definedName name="FLOOR_CHAN_7_X_ARRAY_OFFSET">'Channel Loc'!$D$12</definedName>
    <definedName name="FLOOR_CHAN_7_X_ARRAY_QTY">'Channel Loc'!$E$12</definedName>
    <definedName name="FLOOR_CHAN_7_X_ARRAY_SPACING">'Channel Loc'!$F$12</definedName>
    <definedName name="FLOOR_CHAN_7_Z_LOC">'Channel Loc'!$C$12</definedName>
    <definedName name="FLOOR_CHAN_8_X_ARRAY_OFFSET">'Channel Loc'!$D$13</definedName>
    <definedName name="FLOOR_CHAN_8_X_ARRAY_QTY">'Channel Loc'!$E$13</definedName>
    <definedName name="FLOOR_CHAN_8_X_ARRAY_SPACING">'Channel Loc'!$F$13</definedName>
    <definedName name="FLOOR_CHAN_8_Z_LOC">'Channel Loc'!$C$13</definedName>
    <definedName name="FLOOR_CHAN_9_X_ARRAY_OFFSET">'Channel Loc'!$D$14</definedName>
    <definedName name="FLOOR_CHAN_9_X_ARRAY_QTY">'Channel Loc'!$E$14</definedName>
    <definedName name="FLOOR_CHAN_9_X_ARRAY_SPACING">'Channel Loc'!$F$14</definedName>
    <definedName name="FLOOR_CHAN_9_Z_LOC">'Channel Loc'!$C$14</definedName>
    <definedName name="LEFT_HAND_CHAN_1_Y_ARRAY_OFFSET">'Channel Loc'!$D$47</definedName>
    <definedName name="LEFT_HAND_CHAN_1_Y_ARRAY_QTY">'Channel Loc'!$E$47</definedName>
    <definedName name="LEFT_HAND_CHAN_1_Y_ARRAY_SPACING">'Channel Loc'!$F$47</definedName>
    <definedName name="LEFT_HAND_CHAN_1_Z_LOC">'Channel Loc'!$C$47</definedName>
    <definedName name="LEFT_HAND_CHAN_10_Y_ARRAY_OFFSET">'Channel Loc'!#REF!</definedName>
    <definedName name="LEFT_HAND_CHAN_10_Y_ARRAY_QTY">'Channel Loc'!#REF!</definedName>
    <definedName name="LEFT_HAND_CHAN_10_Y_ARRAY_SPACING">'Channel Loc'!#REF!</definedName>
    <definedName name="LEFT_HAND_CHAN_10_Z_LOC">'Channel Loc'!#REF!</definedName>
    <definedName name="LEFT_HAND_CHAN_11_Y_ARRAY_OFFSET">'Channel Loc'!#REF!</definedName>
    <definedName name="LEFT_HAND_CHAN_11_Y_ARRAY_QTY">'Channel Loc'!#REF!</definedName>
    <definedName name="LEFT_HAND_CHAN_11_Y_ARRAY_SPACING">'Channel Loc'!#REF!</definedName>
    <definedName name="LEFT_HAND_CHAN_11_Z_LOC">'Channel Loc'!#REF!</definedName>
    <definedName name="LEFT_HAND_CHAN_12_Y_ARRAY_OFFSET">'Channel Loc'!#REF!</definedName>
    <definedName name="LEFT_HAND_CHAN_12_Y_ARRAY_QTY">'Channel Loc'!#REF!</definedName>
    <definedName name="LEFT_HAND_CHAN_12_Y_ARRAY_SPACING">'Channel Loc'!#REF!</definedName>
    <definedName name="LEFT_HAND_CHAN_12_Z_LOC">'Channel Loc'!#REF!</definedName>
    <definedName name="LEFT_HAND_CHAN_2_Y_ARRAY_OFFSET">'Channel Loc'!$D$48</definedName>
    <definedName name="LEFT_HAND_CHAN_2_Y_ARRAY_QTY">'Channel Loc'!$E$48</definedName>
    <definedName name="LEFT_HAND_CHAN_2_Y_ARRAY_SPACING">'Channel Loc'!$F$48</definedName>
    <definedName name="LEFT_HAND_CHAN_2_Z_LOC">'Channel Loc'!$C$48</definedName>
    <definedName name="LEFT_HAND_CHAN_3_Y_ARRAY_OFFSET">'Channel Loc'!$D$49</definedName>
    <definedName name="LEFT_HAND_CHAN_3_Y_ARRAY_QTY">'Channel Loc'!$E$49</definedName>
    <definedName name="LEFT_HAND_CHAN_3_Y_ARRAY_SPACING">'Channel Loc'!$F$49</definedName>
    <definedName name="LEFT_HAND_CHAN_3_Z_LOC">'Channel Loc'!$C$49</definedName>
    <definedName name="LEFT_HAND_CHAN_4_Y_ARRAY_OFFSET">'Channel Loc'!$D$50</definedName>
    <definedName name="LEFT_HAND_CHAN_4_Y_ARRAY_QTY">'Channel Loc'!$E$50</definedName>
    <definedName name="LEFT_HAND_CHAN_4_Y_ARRAY_SPACING">'Channel Loc'!$F$50</definedName>
    <definedName name="LEFT_HAND_CHAN_4_Z_LOC">'Channel Loc'!$C$50</definedName>
    <definedName name="LEFT_HAND_CHAN_5_Y_ARRAY_OFFSET">'Channel Loc'!$D$51</definedName>
    <definedName name="LEFT_HAND_CHAN_5_Y_ARRAY_QTY">'Channel Loc'!$E$51</definedName>
    <definedName name="LEFT_HAND_CHAN_5_Y_ARRAY_SPACING">'Channel Loc'!$F$51</definedName>
    <definedName name="LEFT_HAND_CHAN_5_Z_LOC">'Channel Loc'!$C$51</definedName>
    <definedName name="LEFT_HAND_CHAN_6_Y_ARRAY_OFFSET">'Channel Loc'!$D$52</definedName>
    <definedName name="LEFT_HAND_CHAN_6_Y_ARRAY_QTY">'Channel Loc'!$E$52</definedName>
    <definedName name="LEFT_HAND_CHAN_6_Y_ARRAY_SPACING">'Channel Loc'!$F$52</definedName>
    <definedName name="LEFT_HAND_CHAN_6_Z_LOC">'Channel Loc'!$C$52</definedName>
    <definedName name="LEFT_HAND_CHAN_7_Y_ARRAY_OFFSET">'Channel Loc'!$D$53</definedName>
    <definedName name="LEFT_HAND_CHAN_7_Y_ARRAY_QTY">'Channel Loc'!$E$53</definedName>
    <definedName name="LEFT_HAND_CHAN_7_Y_ARRAY_SPACING">'Channel Loc'!$F$53</definedName>
    <definedName name="LEFT_HAND_CHAN_7_Z_LOC">'Channel Loc'!$C$53</definedName>
    <definedName name="LEFT_HAND_CHAN_8_Y_ARRAY_OFFSET">'Channel Loc'!$D$54</definedName>
    <definedName name="LEFT_HAND_CHAN_8_Y_ARRAY_QTY">'Channel Loc'!$E$54</definedName>
    <definedName name="LEFT_HAND_CHAN_8_Y_ARRAY_SPACING">'Channel Loc'!$F$54</definedName>
    <definedName name="LEFT_HAND_CHAN_8_Z_LOC">'Channel Loc'!$C$54</definedName>
    <definedName name="LEFT_HAND_CHAN_9_Y_ARRAY_OFFSET">'Channel Loc'!$D$55</definedName>
    <definedName name="LEFT_HAND_CHAN_9_Y_ARRAY_QTY">'Channel Loc'!$E$55</definedName>
    <definedName name="LEFT_HAND_CHAN_9_Y_ARRAY_SPACING">'Channel Loc'!$F$55</definedName>
    <definedName name="LEFT_HAND_CHAN_9_Z_LOC">'Channel Loc'!$C$55</definedName>
    <definedName name="MAT_CUT">'Material List'!$O$7</definedName>
    <definedName name="MAT_DESC">'Material List'!$L$7</definedName>
    <definedName name="MAT_DESG">'Material List'!$Q$7</definedName>
    <definedName name="MAT_DEST">'Material List'!$G$7</definedName>
    <definedName name="MAT_DXF">'Material List'!$R$7</definedName>
    <definedName name="MAT_GA">'Material List'!$E$7</definedName>
    <definedName name="MAT_GRP">'Material List'!$D$7</definedName>
    <definedName name="MAT_HLSZ">'Material List'!$S$7</definedName>
    <definedName name="MAT_KEYT">'Material List'!$H$7</definedName>
    <definedName name="MAT_LOOKUP">'Material List'!$A$7</definedName>
    <definedName name="MAT_MINT">'Material List'!$F$7</definedName>
    <definedName name="MAT_PNUM">'Material List'!$K$7</definedName>
    <definedName name="MAT_RSTD">'Material List'!$N$7</definedName>
    <definedName name="MAT_STG">'Material List'!$T$7</definedName>
    <definedName name="MAT_TYPE">'Material List'!$M$7</definedName>
    <definedName name="MAT_UMSR">'Material List'!$P$7</definedName>
    <definedName name="MAT_XT">'Material List'!$I$7</definedName>
    <definedName name="MAT_YC">'Material List'!$J$7</definedName>
    <definedName name="Material_List_Column_Names">'Material List'!$A$7:$V$7</definedName>
    <definedName name="Material_List_Table">'Material List'!$A$6:$V$129</definedName>
    <definedName name="MaterialStyle">Data!$B$6</definedName>
    <definedName name="Reconnect_Array_HO">Data!$B$10</definedName>
    <definedName name="Reconnect_Array_WO">Data!$B$11</definedName>
    <definedName name="Reconnect_CLR">'Excel Calcs'!$B$18</definedName>
    <definedName name="Reconnect_GAO">Data!$B$14</definedName>
    <definedName name="Reconnect_Thk">Data!$H$5</definedName>
    <definedName name="Reconnect_Type">Data!$B$5</definedName>
    <definedName name="RIGHT_HAND_CHAN_1_Y_ARRAY_OFFSET">'Channel Loc'!$D$58</definedName>
    <definedName name="RIGHT_HAND_CHAN_1_Y_ARRAY_QTY">'Channel Loc'!$E$58</definedName>
    <definedName name="RIGHT_HAND_CHAN_1_Y_ARRAY_SPACING">'Channel Loc'!$F$58</definedName>
    <definedName name="RIGHT_HAND_CHAN_1_Z_LOC">'Channel Loc'!$C$58</definedName>
    <definedName name="RIGHT_HAND_CHAN_10_Y_ARRAY_OFFSET">'Channel Loc'!#REF!</definedName>
    <definedName name="RIGHT_HAND_CHAN_10_Y_ARRAY_QTY">'Channel Loc'!#REF!</definedName>
    <definedName name="RIGHT_HAND_CHAN_10_Y_ARRAY_SPACING">'Channel Loc'!#REF!</definedName>
    <definedName name="RIGHT_HAND_CHAN_10_Z_LOC">'Channel Loc'!#REF!</definedName>
    <definedName name="RIGHT_HAND_CHAN_11_Y_ARRAY_OFFSET">'Channel Loc'!#REF!</definedName>
    <definedName name="RIGHT_HAND_CHAN_11_Y_ARRAY_QTY">'Channel Loc'!#REF!</definedName>
    <definedName name="RIGHT_HAND_CHAN_11_Y_ARRAY_SPACING">'Channel Loc'!#REF!</definedName>
    <definedName name="RIGHT_HAND_CHAN_11_Z_LOC">'Channel Loc'!#REF!</definedName>
    <definedName name="RIGHT_HAND_CHAN_12_Y_ARRAY_OFFSET">'Channel Loc'!#REF!</definedName>
    <definedName name="RIGHT_HAND_CHAN_12_Y_ARRAY_QTY">'Channel Loc'!#REF!</definedName>
    <definedName name="RIGHT_HAND_CHAN_12_Y_ARRAY_SPACING">'Channel Loc'!#REF!</definedName>
    <definedName name="RIGHT_HAND_CHAN_12_Z_LOC">'Channel Loc'!#REF!</definedName>
    <definedName name="RIGHT_HAND_CHAN_2_Y_ARRAY_OFFSET">'Channel Loc'!$D$59</definedName>
    <definedName name="RIGHT_HAND_CHAN_2_Y_ARRAY_QTY">'Channel Loc'!$E$59</definedName>
    <definedName name="RIGHT_HAND_CHAN_2_Y_ARRAY_SPACING">'Channel Loc'!$F$59</definedName>
    <definedName name="RIGHT_HAND_CHAN_2_Z_LOC">'Channel Loc'!$C$59</definedName>
    <definedName name="RIGHT_HAND_CHAN_3_Y_ARRAY_OFFSET">'Channel Loc'!$D$60</definedName>
    <definedName name="RIGHT_HAND_CHAN_3_Y_ARRAY_QTY">'Channel Loc'!$E$60</definedName>
    <definedName name="RIGHT_HAND_CHAN_3_Y_ARRAY_SPACING">'Channel Loc'!$F$60</definedName>
    <definedName name="RIGHT_HAND_CHAN_3_Z_LOC">'Channel Loc'!$C$60</definedName>
    <definedName name="RIGHT_HAND_CHAN_4_Y_ARRAY_OFFSET">'Channel Loc'!$D$61</definedName>
    <definedName name="RIGHT_HAND_CHAN_4_Y_ARRAY_QTY">'Channel Loc'!$E$61</definedName>
    <definedName name="RIGHT_HAND_CHAN_4_Y_ARRAY_SPACING">'Channel Loc'!$F$61</definedName>
    <definedName name="RIGHT_HAND_CHAN_4_Z_LOC">'Channel Loc'!$C$61</definedName>
    <definedName name="RIGHT_HAND_CHAN_5_Y_ARRAY_OFFSET">'Channel Loc'!$D$62</definedName>
    <definedName name="RIGHT_HAND_CHAN_5_Y_ARRAY_QTY">'Channel Loc'!$E$62</definedName>
    <definedName name="RIGHT_HAND_CHAN_5_Y_ARRAY_SPACING">'Channel Loc'!$F$62</definedName>
    <definedName name="RIGHT_HAND_CHAN_5_Z_LOC">'Channel Loc'!$C$62</definedName>
    <definedName name="RIGHT_HAND_CHAN_6_Y_ARRAY_OFFSET">'Channel Loc'!$D$63</definedName>
    <definedName name="RIGHT_HAND_CHAN_6_Y_ARRAY_QTY">'Channel Loc'!$E$63</definedName>
    <definedName name="RIGHT_HAND_CHAN_6_Y_ARRAY_SPACING">'Channel Loc'!$F$63</definedName>
    <definedName name="RIGHT_HAND_CHAN_6_Z_LOC">'Channel Loc'!$C$63</definedName>
    <definedName name="RIGHT_HAND_CHAN_7_Y_ARRAY_OFFSET">'Channel Loc'!$D$64</definedName>
    <definedName name="RIGHT_HAND_CHAN_7_Y_ARRAY_QTY">'Channel Loc'!$E$64</definedName>
    <definedName name="RIGHT_HAND_CHAN_7_Y_ARRAY_SPACING">'Channel Loc'!$F$64</definedName>
    <definedName name="RIGHT_HAND_CHAN_7_Z_LOC">'Channel Loc'!$C$64</definedName>
    <definedName name="RIGHT_HAND_CHAN_8_Y_ARRAY_OFFSET">'Channel Loc'!$D$65</definedName>
    <definedName name="RIGHT_HAND_CHAN_8_Y_ARRAY_QTY">'Channel Loc'!$E$65</definedName>
    <definedName name="RIGHT_HAND_CHAN_8_Y_ARRAY_SPACING">'Channel Loc'!$F$65</definedName>
    <definedName name="RIGHT_HAND_CHAN_8_Z_LOC">'Channel Loc'!$C$65</definedName>
    <definedName name="RIGHT_HAND_CHAN_9_Y_ARRAY_OFFSET">'Channel Loc'!$D$66</definedName>
    <definedName name="RIGHT_HAND_CHAN_9_Y_ARRAY_QTY">'Channel Loc'!$E$66</definedName>
    <definedName name="RIGHT_HAND_CHAN_9_Y_ARRAY_SPACING">'Channel Loc'!$F$66</definedName>
    <definedName name="RIGHT_HAND_CHAN_9_Z_LOC">'Channel Loc'!$C$66</definedName>
    <definedName name="ROOF_CHAN_1_X_ARRAY_OFFSET">'Channel Loc'!$D$29</definedName>
    <definedName name="ROOF_CHAN_1_X_ARRAY_QTY">'Channel Loc'!$E$29</definedName>
    <definedName name="ROOF_CHAN_1_X_ARRAY_SPACING">'Channel Loc'!$F$29</definedName>
    <definedName name="ROOF_CHAN_1_Z_LOC">'Channel Loc'!$C$29</definedName>
    <definedName name="ROOF_CHAN_10_X_ARRAY_OFFSET">'Channel Loc'!$D$38</definedName>
    <definedName name="ROOF_CHAN_10_X_ARRAY_QTY">'Channel Loc'!$E$38</definedName>
    <definedName name="ROOF_CHAN_10_X_ARRAY_SPACING">'Channel Loc'!$F$38</definedName>
    <definedName name="ROOF_CHAN_10_Z_LOC">'Channel Loc'!$C$38</definedName>
    <definedName name="ROOF_CHAN_11_X_ARRAY_OFFSET">'Channel Loc'!$D$39</definedName>
    <definedName name="ROOF_CHAN_11_X_ARRAY_QTY">'Channel Loc'!$E$39</definedName>
    <definedName name="ROOF_CHAN_11_X_ARRAY_SPACING">'Channel Loc'!$F$39</definedName>
    <definedName name="ROOF_CHAN_11_Z_LOC">'Channel Loc'!$C$39</definedName>
    <definedName name="ROOF_CHAN_12_X_ARRAY_OFFSET">'Channel Loc'!$D$40</definedName>
    <definedName name="ROOF_CHAN_12_X_ARRAY_QTY">'Channel Loc'!$E$40</definedName>
    <definedName name="ROOF_CHAN_12_X_ARRAY_SPACING">'Channel Loc'!$F$40</definedName>
    <definedName name="ROOF_CHAN_12_Y_ARRAY_SPACING">'Channel Loc'!$F$40</definedName>
    <definedName name="ROOF_CHAN_12_Z_LOC">'Channel Loc'!$C$40</definedName>
    <definedName name="ROOF_CHAN_13_X_ARRAY_OFFSET">'Channel Loc'!$D$41</definedName>
    <definedName name="ROOF_CHAN_13_X_ARRAY_QTY">'Channel Loc'!$E$41</definedName>
    <definedName name="ROOF_CHAN_13_X_ARRAY_SPACING">'Channel Loc'!$F$41</definedName>
    <definedName name="ROOF_CHAN_13_Z_LOC">'Channel Loc'!$C$41</definedName>
    <definedName name="ROOF_CHAN_14_X_ARRAY_OFFSET">'Channel Loc'!$D$42</definedName>
    <definedName name="ROOF_CHAN_14_X_ARRAY_QTY">'Channel Loc'!$E$42</definedName>
    <definedName name="ROOF_CHAN_14_X_ARRAY_SPACING">'Channel Loc'!$F$42</definedName>
    <definedName name="ROOF_CHAN_14_Z_LOC">'Channel Loc'!$C$42</definedName>
    <definedName name="ROOF_CHAN_15_X_ARRAY_OFFSET">'Channel Loc'!$D$43</definedName>
    <definedName name="ROOF_CHAN_15_X_ARRAY_QTY">'Channel Loc'!$E$43</definedName>
    <definedName name="ROOF_CHAN_15_X_ARRAY_SPACING">'Channel Loc'!$F$43</definedName>
    <definedName name="ROOF_CHAN_15_Z_LOC">'Channel Loc'!$C$43</definedName>
    <definedName name="ROOF_CHAN_16_X_ARRAY_OFFSET">'Channel Loc'!$D$44</definedName>
    <definedName name="ROOF_CHAN_16_X_ARRAY_QTY">'Channel Loc'!$E$44</definedName>
    <definedName name="ROOF_CHAN_16_X_ARRAY_SPACING">'Channel Loc'!$F$44</definedName>
    <definedName name="ROOF_CHAN_16_Z_LOC">'Channel Loc'!$C$44</definedName>
    <definedName name="ROOF_CHAN_17_X_ARRAY_OFFSET">'Channel Loc'!#REF!</definedName>
    <definedName name="ROOF_CHAN_17_X_ARRAY_QTY">'Channel Loc'!#REF!</definedName>
    <definedName name="ROOF_CHAN_17_X_ARRAY_SPACING">'Channel Loc'!#REF!</definedName>
    <definedName name="ROOF_CHAN_17_Z_LOC">'Channel Loc'!#REF!</definedName>
    <definedName name="ROOF_CHAN_18_X_ARRAY_OFFSET">'Channel Loc'!#REF!</definedName>
    <definedName name="ROOF_CHAN_18_X_ARRAY_QTY">'Channel Loc'!#REF!</definedName>
    <definedName name="ROOF_CHAN_18_X_ARRAY_SPACING">'Channel Loc'!#REF!</definedName>
    <definedName name="ROOF_CHAN_18_Z_LOC">'Channel Loc'!#REF!</definedName>
    <definedName name="ROOF_CHAN_19_X_ARRAY_OFFSET">'Channel Loc'!#REF!</definedName>
    <definedName name="ROOF_CHAN_19_X_ARRAY_QTY">'Channel Loc'!#REF!</definedName>
    <definedName name="ROOF_CHAN_19_X_ARRAY_SPACING">'Channel Loc'!#REF!</definedName>
    <definedName name="ROOF_CHAN_19_Z_LOC">'Channel Loc'!#REF!</definedName>
    <definedName name="ROOF_CHAN_2_X_ARRAY_OFFSET">'Channel Loc'!$D$30</definedName>
    <definedName name="ROOF_CHAN_2_X_ARRAY_QTY">'Channel Loc'!$E$30</definedName>
    <definedName name="ROOF_CHAN_2_X_ARRAY_SPACING">'Channel Loc'!$F$30</definedName>
    <definedName name="ROOF_CHAN_2_Z_LOC">'Channel Loc'!$C$30</definedName>
    <definedName name="ROOF_CHAN_20_X_ARRAY_OFFSET">'Channel Loc'!#REF!</definedName>
    <definedName name="ROOF_CHAN_20_X_ARRAY_QTY">'Channel Loc'!#REF!</definedName>
    <definedName name="ROOF_CHAN_20_X_ARRAY_SPACING">'Channel Loc'!#REF!</definedName>
    <definedName name="ROOF_CHAN_20_Z_LOC">'Channel Loc'!#REF!</definedName>
    <definedName name="ROOF_CHAN_3_X_ARRAY_OFFSET">'Channel Loc'!$D$31</definedName>
    <definedName name="ROOF_CHAN_3_X_ARRAY_QTY">'Channel Loc'!$E$31</definedName>
    <definedName name="ROOF_CHAN_3_X_ARRAY_SPACING">'Channel Loc'!$F$31</definedName>
    <definedName name="ROOF_CHAN_3_Z_LOC">'Channel Loc'!$C$31</definedName>
    <definedName name="ROOF_CHAN_4_X_ARRAY_OFFSET">'Channel Loc'!$D$32</definedName>
    <definedName name="ROOF_CHAN_4_X_ARRAY_QTY">'Channel Loc'!$E$32</definedName>
    <definedName name="ROOF_CHAN_4_X_ARRAY_SPACING">'Channel Loc'!$F$32</definedName>
    <definedName name="ROOF_CHAN_4_Z_LOC">'Channel Loc'!$C$32</definedName>
    <definedName name="ROOF_CHAN_5_X_ARRAY_OFFSET">'Channel Loc'!$D$33</definedName>
    <definedName name="ROOF_CHAN_5_X_ARRAY_QTY">'Channel Loc'!$E$33</definedName>
    <definedName name="ROOF_CHAN_5_X_ARRAY_SPACING">'Channel Loc'!$F$33</definedName>
    <definedName name="ROOF_CHAN_5_Z_LOC">'Channel Loc'!$C$33</definedName>
    <definedName name="ROOF_CHAN_6_X_ARRAY_OFFSET">'Channel Loc'!$D$34</definedName>
    <definedName name="ROOF_CHAN_6_X_ARRAY_QTY">'Channel Loc'!$E$34</definedName>
    <definedName name="ROOF_CHAN_6_X_ARRAY_SPACING">'Channel Loc'!$F$34</definedName>
    <definedName name="ROOF_CHAN_6_Z_LOC">'Channel Loc'!$C$34</definedName>
    <definedName name="ROOF_CHAN_7_X_ARRAY_OFFSET">'Channel Loc'!$D$35</definedName>
    <definedName name="ROOF_CHAN_7_X_ARRAY_QTY">'Channel Loc'!$E$35</definedName>
    <definedName name="ROOF_CHAN_7_X_ARRAY_SPACING">'Channel Loc'!$F$35</definedName>
    <definedName name="ROOF_CHAN_7_Z_LOC">'Channel Loc'!$C$35</definedName>
    <definedName name="ROOF_CHAN_8_X_ARRAY_OFFSET">'Channel Loc'!$D$36</definedName>
    <definedName name="ROOF_CHAN_8_X_ARRAY_QTY">'Channel Loc'!$E$36</definedName>
    <definedName name="ROOF_CHAN_8_X_ARRAY_SPACING">'Channel Loc'!$F$36</definedName>
    <definedName name="ROOF_CHAN_8_Z_LOC">'Channel Loc'!$C$36</definedName>
    <definedName name="ROOF_CHAN_9_X_ARRAY_OFFSET">'Channel Loc'!$D$37</definedName>
    <definedName name="ROOF_CHAN_9_X_ARRAY_QTY">'Channel Loc'!$E$37</definedName>
    <definedName name="ROOF_CHAN_9_X_ARRAY_SPACING">'Channel Loc'!$F$37</definedName>
    <definedName name="ROOF_CHAN_9_Z_LOC">'Channel Loc'!$C$37</definedName>
    <definedName name="Split">Data!#REF!</definedName>
    <definedName name="Steel_List_Column_Names">'Steel List'!$A$4:$V$4</definedName>
    <definedName name="Steel_List_Table">'Steel List'!$A$3:$V$83</definedName>
    <definedName name="Stiffener_GAO">Data!$B$15</definedName>
    <definedName name="Stiffener_Thk">Data!$H$6</definedName>
    <definedName name="STL_CUT">'Steel List'!$Q$4</definedName>
    <definedName name="STL_D">'Steel List'!$I$4</definedName>
    <definedName name="STL_DESC">'Steel List'!$N$4</definedName>
    <definedName name="STL_DESG">'Steel List'!$S$4</definedName>
    <definedName name="STL_DXF">'Steel List'!$T$4</definedName>
    <definedName name="STL_FTR">'Steel List'!$J$4</definedName>
    <definedName name="STL_GRP">'Steel List'!$D$4</definedName>
    <definedName name="STL_H">'Steel List'!$G$4</definedName>
    <definedName name="STL_LBFT">'Steel List'!$E$4</definedName>
    <definedName name="STL_LOOKUP">'Steel List'!$A$4</definedName>
    <definedName name="STL_PNUM">'Steel List'!$M$4</definedName>
    <definedName name="STL_RSTD">'Steel List'!$P$4</definedName>
    <definedName name="STL_TYPE">'Steel List'!$O$4</definedName>
    <definedName name="STL_UMSR">'Steel List'!$R$4</definedName>
    <definedName name="STL_WT">'Steel List'!$F$4</definedName>
    <definedName name="STL_XT">'Steel List'!$K$4</definedName>
    <definedName name="STL_YC">'Steel List'!$L$4</definedName>
    <definedName name="Tunnel_H">Data!$B$3</definedName>
    <definedName name="Tunnel_W">Data!$B$4</definedName>
    <definedName name="Z_Location">Data!$B$8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717" l="1"/>
  <c r="B271" i="714" s="1"/>
  <c r="B7" i="717" l="1"/>
  <c r="B52" i="717" l="1"/>
  <c r="B3" i="717" l="1"/>
  <c r="B10" i="717" l="1"/>
  <c r="B40" i="719"/>
  <c r="E33" i="717" s="1"/>
  <c r="B92" i="714" s="1"/>
  <c r="B32" i="717" l="1"/>
  <c r="B17" i="714" s="1"/>
  <c r="B110" i="714"/>
  <c r="B31" i="717"/>
  <c r="B16" i="714" s="1"/>
  <c r="F41" i="722"/>
  <c r="K3" i="717"/>
  <c r="B112" i="714" s="1"/>
  <c r="B90" i="714"/>
  <c r="B91" i="714"/>
  <c r="B88" i="714"/>
  <c r="H33" i="717"/>
  <c r="B87" i="714" s="1"/>
  <c r="H32" i="717"/>
  <c r="B86" i="714" s="1"/>
  <c r="A22" i="715"/>
  <c r="B22" i="715" s="1"/>
  <c r="A6" i="726"/>
  <c r="A7" i="726"/>
  <c r="A8" i="726"/>
  <c r="A9" i="726"/>
  <c r="A10" i="726"/>
  <c r="A11" i="726"/>
  <c r="A12" i="726"/>
  <c r="A13" i="726"/>
  <c r="A14" i="726"/>
  <c r="A15" i="726"/>
  <c r="A16" i="726"/>
  <c r="A17" i="726"/>
  <c r="A18" i="726"/>
  <c r="A19" i="726"/>
  <c r="A20" i="726"/>
  <c r="A21" i="726"/>
  <c r="A22" i="726"/>
  <c r="A23" i="726"/>
  <c r="A24" i="726"/>
  <c r="A25" i="726"/>
  <c r="A26" i="726"/>
  <c r="A27" i="726"/>
  <c r="A28" i="726"/>
  <c r="A29" i="726"/>
  <c r="A30" i="726"/>
  <c r="A31" i="726"/>
  <c r="A32" i="726"/>
  <c r="A33" i="726"/>
  <c r="A34" i="726"/>
  <c r="A35" i="726"/>
  <c r="A36" i="726"/>
  <c r="A37" i="726"/>
  <c r="A38" i="726"/>
  <c r="A39" i="726"/>
  <c r="A40" i="726"/>
  <c r="A41" i="726"/>
  <c r="A42" i="726"/>
  <c r="A43" i="726"/>
  <c r="A44" i="726"/>
  <c r="A45" i="726"/>
  <c r="A46" i="726"/>
  <c r="A47" i="726"/>
  <c r="A48" i="726"/>
  <c r="A49" i="726"/>
  <c r="A50" i="726"/>
  <c r="A51" i="726"/>
  <c r="A52" i="726"/>
  <c r="A53" i="726"/>
  <c r="A55" i="726"/>
  <c r="A56" i="726"/>
  <c r="A59" i="726"/>
  <c r="A60" i="726"/>
  <c r="A61" i="726"/>
  <c r="A62" i="726"/>
  <c r="A63" i="726"/>
  <c r="A64" i="726"/>
  <c r="A65" i="726"/>
  <c r="A66" i="726"/>
  <c r="A67" i="726"/>
  <c r="A68" i="726"/>
  <c r="A69" i="726"/>
  <c r="A70" i="726"/>
  <c r="A71" i="726"/>
  <c r="A72" i="726"/>
  <c r="A73" i="726"/>
  <c r="A9" i="727"/>
  <c r="A10" i="727"/>
  <c r="A11" i="727"/>
  <c r="A12" i="727"/>
  <c r="A13" i="727"/>
  <c r="A14" i="727"/>
  <c r="A15" i="727"/>
  <c r="A16" i="727"/>
  <c r="A17" i="727"/>
  <c r="A18" i="727"/>
  <c r="A19" i="727"/>
  <c r="A20" i="727"/>
  <c r="A21" i="727"/>
  <c r="A22" i="727"/>
  <c r="A23" i="727"/>
  <c r="A24" i="727"/>
  <c r="A25" i="727"/>
  <c r="A26" i="727"/>
  <c r="A27" i="727"/>
  <c r="A28" i="727"/>
  <c r="A29" i="727"/>
  <c r="A30" i="727"/>
  <c r="A31" i="727"/>
  <c r="A32" i="727"/>
  <c r="A33" i="727"/>
  <c r="A34" i="727"/>
  <c r="A35" i="727"/>
  <c r="A36" i="727"/>
  <c r="A37" i="727"/>
  <c r="A38" i="727"/>
  <c r="A39" i="727"/>
  <c r="A40" i="727"/>
  <c r="A41" i="727"/>
  <c r="A42" i="727"/>
  <c r="A43" i="727"/>
  <c r="A44" i="727"/>
  <c r="A45" i="727"/>
  <c r="A46" i="727"/>
  <c r="A47" i="727"/>
  <c r="A48" i="727"/>
  <c r="A49" i="727"/>
  <c r="A50" i="727"/>
  <c r="A51" i="727"/>
  <c r="A52" i="727"/>
  <c r="A53" i="727"/>
  <c r="A54" i="727"/>
  <c r="A55" i="727"/>
  <c r="A56" i="727"/>
  <c r="A57" i="727"/>
  <c r="A58" i="727"/>
  <c r="A59" i="727"/>
  <c r="A60" i="727"/>
  <c r="A61" i="727"/>
  <c r="A62" i="727"/>
  <c r="A63" i="727"/>
  <c r="A64" i="727"/>
  <c r="A65" i="727"/>
  <c r="A66" i="727"/>
  <c r="A67" i="727"/>
  <c r="A68" i="727"/>
  <c r="A69" i="727"/>
  <c r="A70" i="727"/>
  <c r="A71" i="727"/>
  <c r="A72" i="727"/>
  <c r="A73" i="727"/>
  <c r="A74" i="727"/>
  <c r="A75" i="727"/>
  <c r="A76" i="727"/>
  <c r="A77" i="727"/>
  <c r="A78" i="727"/>
  <c r="A79" i="727"/>
  <c r="A80" i="727"/>
  <c r="A81" i="727"/>
  <c r="A82" i="727"/>
  <c r="A83" i="727"/>
  <c r="A84" i="727"/>
  <c r="A85" i="727"/>
  <c r="A86" i="727"/>
  <c r="A87" i="727"/>
  <c r="A88" i="727"/>
  <c r="A89" i="727"/>
  <c r="A90" i="727"/>
  <c r="A91" i="727"/>
  <c r="A92" i="727"/>
  <c r="A93" i="727"/>
  <c r="A94" i="727"/>
  <c r="A95" i="727"/>
  <c r="A96" i="727"/>
  <c r="A97" i="727"/>
  <c r="A98" i="727"/>
  <c r="A99" i="727"/>
  <c r="A100" i="727"/>
  <c r="A101" i="727"/>
  <c r="A102" i="727"/>
  <c r="A103" i="727"/>
  <c r="A104" i="727"/>
  <c r="A105" i="727"/>
  <c r="A106" i="727"/>
  <c r="A107" i="727"/>
  <c r="A108" i="727"/>
  <c r="A109" i="727"/>
  <c r="A110" i="727"/>
  <c r="A111" i="727"/>
  <c r="A112" i="727"/>
  <c r="A113" i="727"/>
  <c r="A114" i="727"/>
  <c r="A115" i="727"/>
  <c r="A116" i="727"/>
  <c r="A117" i="727"/>
  <c r="A118" i="727"/>
  <c r="A119" i="727"/>
  <c r="A120" i="727"/>
  <c r="C35" i="719"/>
  <c r="C36" i="719"/>
  <c r="C37" i="719"/>
  <c r="H2" i="717"/>
  <c r="B60" i="714" s="1"/>
  <c r="K2" i="717"/>
  <c r="B111" i="714" s="1"/>
  <c r="N2" i="717"/>
  <c r="B2" i="717"/>
  <c r="H3" i="717"/>
  <c r="B61" i="714" s="1"/>
  <c r="B4" i="717"/>
  <c r="B5" i="717"/>
  <c r="B171" i="717" s="1"/>
  <c r="B269" i="714" s="1"/>
  <c r="E6" i="717"/>
  <c r="B22" i="714" s="1"/>
  <c r="B6" i="717"/>
  <c r="E7" i="717"/>
  <c r="B23" i="714" s="1"/>
  <c r="B8" i="717"/>
  <c r="K20" i="717" s="1"/>
  <c r="E8" i="717"/>
  <c r="B24" i="714" s="1"/>
  <c r="H8" i="717"/>
  <c r="B66" i="714" s="1"/>
  <c r="B9" i="717"/>
  <c r="H9" i="717"/>
  <c r="B67" i="714" s="1"/>
  <c r="K9" i="717"/>
  <c r="B118" i="714" s="1"/>
  <c r="B11" i="717"/>
  <c r="H11" i="717"/>
  <c r="B69" i="714" s="1"/>
  <c r="B12" i="717"/>
  <c r="N12" i="717"/>
  <c r="B13" i="717"/>
  <c r="B14" i="717"/>
  <c r="K15" i="717"/>
  <c r="B124" i="714" s="1"/>
  <c r="H20" i="717"/>
  <c r="H21" i="717"/>
  <c r="B78" i="714" s="1"/>
  <c r="B79" i="714"/>
  <c r="H23" i="717"/>
  <c r="B20" i="717"/>
  <c r="B8" i="714" s="1"/>
  <c r="B21" i="717"/>
  <c r="B9" i="714" s="1"/>
  <c r="E30" i="717"/>
  <c r="B46" i="714" s="1"/>
  <c r="B27" i="717"/>
  <c r="B29" i="717"/>
  <c r="B14" i="714" s="1"/>
  <c r="B30" i="717"/>
  <c r="B15" i="714" s="1"/>
  <c r="K41" i="717"/>
  <c r="B145" i="714" s="1"/>
  <c r="B95" i="714"/>
  <c r="B38" i="717"/>
  <c r="B96" i="714" s="1"/>
  <c r="E45" i="717"/>
  <c r="B53" i="714" s="1"/>
  <c r="H45" i="717"/>
  <c r="B138" i="714" s="1"/>
  <c r="B164" i="717"/>
  <c r="B262" i="714" s="1"/>
  <c r="B165" i="717"/>
  <c r="B263" i="714" s="1"/>
  <c r="B166" i="717"/>
  <c r="B264" i="714" s="1"/>
  <c r="G4" i="715"/>
  <c r="H4" i="715" s="1"/>
  <c r="E2" i="717" s="1"/>
  <c r="B18" i="714" s="1"/>
  <c r="G5" i="715"/>
  <c r="H5" i="715" s="1"/>
  <c r="G6" i="715"/>
  <c r="H6" i="715" s="1"/>
  <c r="B2" i="714"/>
  <c r="B3" i="714"/>
  <c r="B7" i="714"/>
  <c r="B10" i="714"/>
  <c r="B11" i="714"/>
  <c r="B13" i="714"/>
  <c r="B21" i="714"/>
  <c r="B25" i="714"/>
  <c r="B26" i="714"/>
  <c r="B28" i="714"/>
  <c r="B49" i="714"/>
  <c r="B56" i="714"/>
  <c r="B63" i="714"/>
  <c r="B83" i="714"/>
  <c r="B84" i="714"/>
  <c r="B85" i="714"/>
  <c r="B114" i="714"/>
  <c r="B132" i="714"/>
  <c r="B36" i="717" l="1"/>
  <c r="E40" i="717"/>
  <c r="N38" i="717"/>
  <c r="C14" i="722" s="1"/>
  <c r="N40" i="717"/>
  <c r="N39" i="717" s="1"/>
  <c r="N43" i="717"/>
  <c r="N42" i="717"/>
  <c r="N41" i="717"/>
  <c r="N44" i="717"/>
  <c r="H25" i="717"/>
  <c r="B82" i="714" s="1"/>
  <c r="B49" i="717"/>
  <c r="B107" i="714" s="1"/>
  <c r="N31" i="717"/>
  <c r="E39" i="717"/>
  <c r="B47" i="714" s="1"/>
  <c r="N36" i="717"/>
  <c r="C18" i="722" s="1"/>
  <c r="B43" i="717"/>
  <c r="B101" i="714" s="1"/>
  <c r="H17" i="717"/>
  <c r="B75" i="714" s="1"/>
  <c r="B5" i="714"/>
  <c r="K12" i="717"/>
  <c r="B121" i="714" s="1"/>
  <c r="K22" i="717"/>
  <c r="B131" i="714" s="1"/>
  <c r="K24" i="717"/>
  <c r="B133" i="714" s="1"/>
  <c r="E23" i="717"/>
  <c r="B39" i="714" s="1"/>
  <c r="B26" i="717"/>
  <c r="B50" i="717"/>
  <c r="B108" i="714" s="1"/>
  <c r="E42" i="717"/>
  <c r="B50" i="714" s="1"/>
  <c r="B25" i="717"/>
  <c r="B127" i="714" s="1"/>
  <c r="H14" i="717"/>
  <c r="B72" i="714" s="1"/>
  <c r="K18" i="717"/>
  <c r="B128" i="714" s="1"/>
  <c r="K19" i="717"/>
  <c r="B129" i="714" s="1"/>
  <c r="E43" i="717"/>
  <c r="B51" i="714" s="1"/>
  <c r="B94" i="714"/>
  <c r="E49" i="717"/>
  <c r="B57" i="714" s="1"/>
  <c r="E15" i="717"/>
  <c r="B31" i="714" s="1"/>
  <c r="B44" i="717"/>
  <c r="B102" i="714" s="1"/>
  <c r="K21" i="717"/>
  <c r="B130" i="714" s="1"/>
  <c r="E29" i="717"/>
  <c r="B45" i="714" s="1"/>
  <c r="N37" i="717"/>
  <c r="B4" i="714"/>
  <c r="B72" i="717"/>
  <c r="B69" i="717"/>
  <c r="B71" i="717"/>
  <c r="B67" i="717"/>
  <c r="B70" i="717"/>
  <c r="E3" i="717"/>
  <c r="B19" i="714" s="1"/>
  <c r="E50" i="717"/>
  <c r="B58" i="714" s="1"/>
  <c r="H3" i="722"/>
  <c r="B6" i="714"/>
  <c r="E11" i="717"/>
  <c r="B27" i="714" s="1"/>
  <c r="H35" i="717"/>
  <c r="B89" i="714" s="1"/>
  <c r="E4" i="717"/>
  <c r="B20" i="714" s="1"/>
  <c r="C25" i="722"/>
  <c r="E25" i="722" s="1"/>
  <c r="C23" i="722"/>
  <c r="B121" i="717"/>
  <c r="B219" i="714" s="1"/>
  <c r="C24" i="722"/>
  <c r="C26" i="722"/>
  <c r="N35" i="717"/>
  <c r="C7" i="722" s="1"/>
  <c r="B103" i="717"/>
  <c r="B107" i="717" s="1"/>
  <c r="B205" i="714" s="1"/>
  <c r="N26" i="717"/>
  <c r="N23" i="717"/>
  <c r="N25" i="717"/>
  <c r="B75" i="717"/>
  <c r="B150" i="717"/>
  <c r="B248" i="714" s="1"/>
  <c r="B80" i="714"/>
  <c r="B83" i="717"/>
  <c r="B181" i="714" s="1"/>
  <c r="H42" i="717"/>
  <c r="B135" i="714" s="1"/>
  <c r="B147" i="717"/>
  <c r="B245" i="714" s="1"/>
  <c r="B97" i="717"/>
  <c r="F97" i="717" s="1"/>
  <c r="B172" i="717"/>
  <c r="B270" i="714" s="1"/>
  <c r="B73" i="717"/>
  <c r="B146" i="717"/>
  <c r="B244" i="714" s="1"/>
  <c r="B124" i="717"/>
  <c r="B143" i="717"/>
  <c r="B241" i="714" s="1"/>
  <c r="B141" i="717"/>
  <c r="B239" i="714" s="1"/>
  <c r="B139" i="717"/>
  <c r="B237" i="714" s="1"/>
  <c r="N11" i="717"/>
  <c r="B98" i="717"/>
  <c r="B94" i="717"/>
  <c r="B88" i="717"/>
  <c r="B186" i="714" s="1"/>
  <c r="E51" i="717"/>
  <c r="B59" i="714" s="1"/>
  <c r="B90" i="717"/>
  <c r="F90" i="717" s="1"/>
  <c r="B92" i="717"/>
  <c r="B122" i="717"/>
  <c r="B130" i="717" s="1"/>
  <c r="B228" i="714" s="1"/>
  <c r="B80" i="717"/>
  <c r="F80" i="717" s="1"/>
  <c r="B169" i="717"/>
  <c r="B267" i="714" s="1"/>
  <c r="B48" i="717"/>
  <c r="B106" i="714" s="1"/>
  <c r="B48" i="714"/>
  <c r="E22" i="717"/>
  <c r="B38" i="714" s="1"/>
  <c r="B66" i="717"/>
  <c r="B164" i="714" s="1"/>
  <c r="H10" i="717"/>
  <c r="B104" i="717"/>
  <c r="B106" i="717" s="1"/>
  <c r="B204" i="714" s="1"/>
  <c r="B51" i="717"/>
  <c r="B109" i="714" s="1"/>
  <c r="H24" i="717"/>
  <c r="B81" i="714" s="1"/>
  <c r="B168" i="717"/>
  <c r="B266" i="714" s="1"/>
  <c r="E44" i="717"/>
  <c r="B52" i="714" s="1"/>
  <c r="B56" i="717"/>
  <c r="B154" i="714" s="1"/>
  <c r="B110" i="717"/>
  <c r="B116" i="717" s="1"/>
  <c r="B214" i="714" s="1"/>
  <c r="B151" i="717"/>
  <c r="B249" i="714" s="1"/>
  <c r="B170" i="717"/>
  <c r="B268" i="714" s="1"/>
  <c r="K48" i="717"/>
  <c r="B152" i="714" s="1"/>
  <c r="B137" i="717"/>
  <c r="B235" i="714" s="1"/>
  <c r="B65" i="717"/>
  <c r="B138" i="717"/>
  <c r="B236" i="714" s="1"/>
  <c r="B133" i="717"/>
  <c r="B231" i="714" s="1"/>
  <c r="B68" i="717"/>
  <c r="F68" i="717" s="1"/>
  <c r="B81" i="717"/>
  <c r="B82" i="717"/>
  <c r="B102" i="717"/>
  <c r="B99" i="717"/>
  <c r="B84" i="717"/>
  <c r="B79" i="717"/>
  <c r="B77" i="717"/>
  <c r="B95" i="717"/>
  <c r="B89" i="717"/>
  <c r="B59" i="717"/>
  <c r="B74" i="717"/>
  <c r="B100" i="717"/>
  <c r="B76" i="717"/>
  <c r="B78" i="717"/>
  <c r="B96" i="717"/>
  <c r="B62" i="717"/>
  <c r="B85" i="717"/>
  <c r="B58" i="717"/>
  <c r="B86" i="717"/>
  <c r="B93" i="717"/>
  <c r="B57" i="717"/>
  <c r="B63" i="717"/>
  <c r="B64" i="717"/>
  <c r="B101" i="717"/>
  <c r="B60" i="717"/>
  <c r="B87" i="717"/>
  <c r="B61" i="717"/>
  <c r="B55" i="717"/>
  <c r="F55" i="717" s="1"/>
  <c r="B91" i="717"/>
  <c r="B149" i="717"/>
  <c r="B247" i="714" s="1"/>
  <c r="B134" i="717"/>
  <c r="B232" i="714" s="1"/>
  <c r="B123" i="717"/>
  <c r="B145" i="717"/>
  <c r="B243" i="714" s="1"/>
  <c r="B144" i="717"/>
  <c r="B242" i="714" s="1"/>
  <c r="N9" i="717"/>
  <c r="C13" i="722" s="1"/>
  <c r="H46" i="717"/>
  <c r="B139" i="714" s="1"/>
  <c r="B142" i="717"/>
  <c r="B240" i="714" s="1"/>
  <c r="B140" i="717"/>
  <c r="B238" i="714" s="1"/>
  <c r="H4" i="717"/>
  <c r="E28" i="717"/>
  <c r="B44" i="714" s="1"/>
  <c r="B167" i="717"/>
  <c r="B265" i="714" s="1"/>
  <c r="B109" i="717"/>
  <c r="B111" i="717" s="1"/>
  <c r="B209" i="714" s="1"/>
  <c r="N34" i="717"/>
  <c r="B24" i="717"/>
  <c r="B12" i="714" s="1"/>
  <c r="B148" i="717"/>
  <c r="B246" i="714" s="1"/>
  <c r="B135" i="717"/>
  <c r="B233" i="714" s="1"/>
  <c r="B136" i="717"/>
  <c r="B234" i="714" s="1"/>
  <c r="H44" i="717"/>
  <c r="B137" i="714" s="1"/>
  <c r="N14" i="717" l="1"/>
  <c r="N15" i="717"/>
  <c r="K8" i="717"/>
  <c r="B117" i="714" s="1"/>
  <c r="B46" i="717"/>
  <c r="B104" i="714" s="1"/>
  <c r="B129" i="717"/>
  <c r="B227" i="714" s="1"/>
  <c r="N22" i="717"/>
  <c r="C51" i="722" s="1"/>
  <c r="F51" i="722" s="1"/>
  <c r="F62" i="722" s="1"/>
  <c r="B105" i="717"/>
  <c r="B203" i="714" s="1"/>
  <c r="D18" i="722"/>
  <c r="B201" i="714"/>
  <c r="D23" i="722"/>
  <c r="E23" i="722"/>
  <c r="N7" i="717"/>
  <c r="C11" i="722" s="1"/>
  <c r="D11" i="722" s="1"/>
  <c r="D34" i="722" s="1"/>
  <c r="F23" i="722"/>
  <c r="D24" i="722" s="1"/>
  <c r="E24" i="722"/>
  <c r="E26" i="722"/>
  <c r="C30" i="722"/>
  <c r="E30" i="722" s="1"/>
  <c r="N20" i="717"/>
  <c r="C49" i="722" s="1"/>
  <c r="D49" i="722" s="1"/>
  <c r="D60" i="722" s="1"/>
  <c r="N21" i="717"/>
  <c r="C50" i="722" s="1"/>
  <c r="D50" i="722" s="1"/>
  <c r="D61" i="722" s="1"/>
  <c r="N8" i="717"/>
  <c r="C12" i="722" s="1"/>
  <c r="C55" i="722"/>
  <c r="C66" i="722" s="1"/>
  <c r="C6" i="722"/>
  <c r="F6" i="722" s="1"/>
  <c r="C47" i="722"/>
  <c r="F47" i="722" s="1"/>
  <c r="F58" i="722" s="1"/>
  <c r="C52" i="722"/>
  <c r="E52" i="722" s="1"/>
  <c r="E63" i="722" s="1"/>
  <c r="C54" i="722"/>
  <c r="N6" i="717"/>
  <c r="B35" i="717"/>
  <c r="B93" i="714" s="1"/>
  <c r="B195" i="714"/>
  <c r="E24" i="717"/>
  <c r="N27" i="717"/>
  <c r="N28" i="717" s="1"/>
  <c r="B220" i="714"/>
  <c r="B188" i="714"/>
  <c r="B108" i="717"/>
  <c r="B206" i="714" s="1"/>
  <c r="H51" i="717"/>
  <c r="B144" i="714" s="1"/>
  <c r="F83" i="717"/>
  <c r="B68" i="714"/>
  <c r="H12" i="717"/>
  <c r="B70" i="714" s="1"/>
  <c r="N19" i="717"/>
  <c r="H18" i="717"/>
  <c r="N29" i="717" s="1"/>
  <c r="H41" i="717"/>
  <c r="B134" i="714" s="1"/>
  <c r="B45" i="717"/>
  <c r="B103" i="714" s="1"/>
  <c r="F75" i="717"/>
  <c r="B173" i="714"/>
  <c r="F70" i="717"/>
  <c r="B168" i="714"/>
  <c r="B132" i="717"/>
  <c r="B230" i="714" s="1"/>
  <c r="B222" i="714"/>
  <c r="B178" i="714"/>
  <c r="F88" i="717"/>
  <c r="C29" i="722"/>
  <c r="F29" i="722" s="1"/>
  <c r="F92" i="717"/>
  <c r="B190" i="714"/>
  <c r="F73" i="717"/>
  <c r="B171" i="714"/>
  <c r="B192" i="714"/>
  <c r="F94" i="717"/>
  <c r="F98" i="717"/>
  <c r="B196" i="714"/>
  <c r="B112" i="717"/>
  <c r="B210" i="714" s="1"/>
  <c r="C48" i="722"/>
  <c r="F48" i="722" s="1"/>
  <c r="F59" i="722" s="1"/>
  <c r="B47" i="717"/>
  <c r="B105" i="714" s="1"/>
  <c r="B202" i="714"/>
  <c r="E46" i="717"/>
  <c r="F66" i="717"/>
  <c r="C37" i="722"/>
  <c r="C53" i="722"/>
  <c r="C64" i="722" s="1"/>
  <c r="H43" i="717"/>
  <c r="B136" i="714" s="1"/>
  <c r="F56" i="717"/>
  <c r="B208" i="714"/>
  <c r="B115" i="717"/>
  <c r="B213" i="714" s="1"/>
  <c r="B114" i="717"/>
  <c r="B212" i="714" s="1"/>
  <c r="B166" i="714"/>
  <c r="F65" i="717"/>
  <c r="B163" i="714"/>
  <c r="H6" i="717"/>
  <c r="B64" i="714" s="1"/>
  <c r="H15" i="717"/>
  <c r="B39" i="717" s="1"/>
  <c r="H48" i="717"/>
  <c r="B141" i="714" s="1"/>
  <c r="H49" i="717"/>
  <c r="B142" i="714" s="1"/>
  <c r="N4" i="717"/>
  <c r="C8" i="722" s="1"/>
  <c r="B62" i="714"/>
  <c r="N13" i="717"/>
  <c r="C15" i="722" s="1"/>
  <c r="H50" i="717"/>
  <c r="B143" i="714" s="1"/>
  <c r="B155" i="717"/>
  <c r="C22" i="722" s="1"/>
  <c r="H47" i="717"/>
  <c r="B140" i="714" s="1"/>
  <c r="N3" i="717"/>
  <c r="D7" i="722" s="1"/>
  <c r="B152" i="717"/>
  <c r="C19" i="722" s="1"/>
  <c r="K4" i="717"/>
  <c r="E14" i="717" s="1"/>
  <c r="B30" i="714" s="1"/>
  <c r="B153" i="717"/>
  <c r="C20" i="722" s="1"/>
  <c r="K42" i="717"/>
  <c r="B161" i="714"/>
  <c r="F63" i="717"/>
  <c r="B157" i="714"/>
  <c r="F59" i="717"/>
  <c r="B155" i="714"/>
  <c r="F57" i="717"/>
  <c r="F72" i="717"/>
  <c r="B170" i="714"/>
  <c r="B187" i="714"/>
  <c r="F89" i="717"/>
  <c r="B179" i="714"/>
  <c r="F81" i="717"/>
  <c r="F7" i="722"/>
  <c r="E7" i="722"/>
  <c r="F91" i="717"/>
  <c r="B189" i="714"/>
  <c r="B191" i="714"/>
  <c r="F93" i="717"/>
  <c r="F78" i="717"/>
  <c r="B176" i="714"/>
  <c r="F95" i="717"/>
  <c r="B193" i="714"/>
  <c r="F87" i="717"/>
  <c r="B185" i="714"/>
  <c r="B184" i="714"/>
  <c r="F86" i="717"/>
  <c r="F76" i="717"/>
  <c r="B174" i="714"/>
  <c r="B175" i="714"/>
  <c r="F77" i="717"/>
  <c r="B117" i="717"/>
  <c r="B113" i="717"/>
  <c r="B211" i="714" s="1"/>
  <c r="B118" i="717"/>
  <c r="B207" i="714"/>
  <c r="B131" i="717"/>
  <c r="B229" i="714" s="1"/>
  <c r="B221" i="714"/>
  <c r="F60" i="717"/>
  <c r="B158" i="714"/>
  <c r="B156" i="714"/>
  <c r="F58" i="717"/>
  <c r="B177" i="714"/>
  <c r="F79" i="717"/>
  <c r="F96" i="717"/>
  <c r="B194" i="714"/>
  <c r="B180" i="714"/>
  <c r="F82" i="717"/>
  <c r="F69" i="717"/>
  <c r="B167" i="714"/>
  <c r="B153" i="714"/>
  <c r="F54" i="717"/>
  <c r="E16" i="717"/>
  <c r="F101" i="717"/>
  <c r="B199" i="714"/>
  <c r="B165" i="714"/>
  <c r="F67" i="717"/>
  <c r="F100" i="717"/>
  <c r="B198" i="714"/>
  <c r="B182" i="714"/>
  <c r="F84" i="717"/>
  <c r="B154" i="717"/>
  <c r="C21" i="722" s="1"/>
  <c r="N5" i="717"/>
  <c r="C9" i="722" s="1"/>
  <c r="B159" i="714"/>
  <c r="F61" i="717"/>
  <c r="B162" i="714"/>
  <c r="F64" i="717"/>
  <c r="B183" i="714"/>
  <c r="F85" i="717"/>
  <c r="F74" i="717"/>
  <c r="B172" i="714"/>
  <c r="F99" i="717"/>
  <c r="B197" i="714"/>
  <c r="D14" i="722"/>
  <c r="E13" i="722"/>
  <c r="E36" i="722" s="1"/>
  <c r="D13" i="722"/>
  <c r="D36" i="722" s="1"/>
  <c r="F13" i="722"/>
  <c r="F62" i="717"/>
  <c r="B160" i="714"/>
  <c r="F71" i="717"/>
  <c r="B169" i="714"/>
  <c r="B200" i="714"/>
  <c r="F102" i="717"/>
  <c r="C44" i="722" l="1"/>
  <c r="D22" i="722"/>
  <c r="D19" i="722"/>
  <c r="C41" i="722"/>
  <c r="D20" i="722"/>
  <c r="C42" i="722"/>
  <c r="C43" i="722"/>
  <c r="D21" i="722"/>
  <c r="D43" i="722" s="1"/>
  <c r="E21" i="722"/>
  <c r="E43" i="722" s="1"/>
  <c r="B41" i="717"/>
  <c r="E13" i="717"/>
  <c r="B29" i="714" s="1"/>
  <c r="D37" i="722"/>
  <c r="K16" i="717"/>
  <c r="B125" i="714" s="1"/>
  <c r="K10" i="717"/>
  <c r="B119" i="714" s="1"/>
  <c r="D54" i="722"/>
  <c r="D65" i="722" s="1"/>
  <c r="H16" i="717"/>
  <c r="B74" i="714" s="1"/>
  <c r="C16" i="722"/>
  <c r="C17" i="722"/>
  <c r="D26" i="722"/>
  <c r="F26" i="722"/>
  <c r="F24" i="722"/>
  <c r="F25" i="722"/>
  <c r="D25" i="722"/>
  <c r="C60" i="722"/>
  <c r="E50" i="722"/>
  <c r="E61" i="722" s="1"/>
  <c r="C10" i="722"/>
  <c r="D10" i="722" s="1"/>
  <c r="D33" i="722" s="1"/>
  <c r="F30" i="722"/>
  <c r="E49" i="722"/>
  <c r="E60" i="722" s="1"/>
  <c r="F50" i="722"/>
  <c r="F61" i="722" s="1"/>
  <c r="C61" i="722"/>
  <c r="F49" i="722"/>
  <c r="F60" i="722" s="1"/>
  <c r="D6" i="722"/>
  <c r="D55" i="722"/>
  <c r="D66" i="722" s="1"/>
  <c r="E6" i="722"/>
  <c r="E12" i="722"/>
  <c r="E35" i="722" s="1"/>
  <c r="D12" i="722"/>
  <c r="D35" i="722" s="1"/>
  <c r="F35" i="722" s="1"/>
  <c r="F12" i="722"/>
  <c r="D52" i="722"/>
  <c r="D63" i="722" s="1"/>
  <c r="C62" i="722"/>
  <c r="E54" i="722"/>
  <c r="E65" i="722" s="1"/>
  <c r="C58" i="722"/>
  <c r="C65" i="722"/>
  <c r="E11" i="722"/>
  <c r="E34" i="722" s="1"/>
  <c r="E47" i="722"/>
  <c r="E58" i="722" s="1"/>
  <c r="D51" i="722"/>
  <c r="D62" i="722" s="1"/>
  <c r="F52" i="722"/>
  <c r="F63" i="722" s="1"/>
  <c r="C63" i="722"/>
  <c r="D47" i="722"/>
  <c r="D58" i="722" s="1"/>
  <c r="F11" i="722"/>
  <c r="E51" i="722"/>
  <c r="E62" i="722" s="1"/>
  <c r="E55" i="722"/>
  <c r="E66" i="722" s="1"/>
  <c r="B40" i="714"/>
  <c r="E25" i="717"/>
  <c r="E48" i="722"/>
  <c r="E59" i="722" s="1"/>
  <c r="H19" i="717"/>
  <c r="B77" i="714" s="1"/>
  <c r="H13" i="717"/>
  <c r="B71" i="714" s="1"/>
  <c r="C59" i="722"/>
  <c r="D29" i="722"/>
  <c r="E29" i="722"/>
  <c r="B76" i="714"/>
  <c r="H7" i="717"/>
  <c r="B65" i="714" s="1"/>
  <c r="D48" i="722"/>
  <c r="D59" i="722" s="1"/>
  <c r="D53" i="722"/>
  <c r="D64" i="722" s="1"/>
  <c r="E53" i="722"/>
  <c r="E64" i="722" s="1"/>
  <c r="N32" i="717"/>
  <c r="E18" i="722" s="1"/>
  <c r="B54" i="714"/>
  <c r="E47" i="717"/>
  <c r="B126" i="717"/>
  <c r="B224" i="714" s="1"/>
  <c r="B216" i="714"/>
  <c r="B120" i="717"/>
  <c r="F36" i="722"/>
  <c r="C36" i="722"/>
  <c r="D15" i="722"/>
  <c r="C38" i="722"/>
  <c r="B158" i="717"/>
  <c r="B256" i="714" s="1"/>
  <c r="B252" i="714"/>
  <c r="B162" i="717"/>
  <c r="B260" i="714" s="1"/>
  <c r="D30" i="722"/>
  <c r="B113" i="714"/>
  <c r="K13" i="717"/>
  <c r="B122" i="714" s="1"/>
  <c r="K6" i="717"/>
  <c r="E17" i="717"/>
  <c r="B32" i="714"/>
  <c r="E8" i="722"/>
  <c r="E31" i="722" s="1"/>
  <c r="D8" i="722"/>
  <c r="D31" i="722" s="1"/>
  <c r="F8" i="722"/>
  <c r="F34" i="722"/>
  <c r="C34" i="722"/>
  <c r="B160" i="717"/>
  <c r="B258" i="714" s="1"/>
  <c r="B250" i="714"/>
  <c r="B156" i="717"/>
  <c r="B254" i="714" s="1"/>
  <c r="F9" i="722"/>
  <c r="E9" i="722"/>
  <c r="E32" i="722" s="1"/>
  <c r="D9" i="722"/>
  <c r="D32" i="722" s="1"/>
  <c r="B146" i="714"/>
  <c r="K43" i="717"/>
  <c r="N16" i="717"/>
  <c r="B73" i="714"/>
  <c r="B40" i="717"/>
  <c r="B98" i="714" s="1"/>
  <c r="B215" i="714"/>
  <c r="B125" i="717"/>
  <c r="B223" i="714" s="1"/>
  <c r="B119" i="717"/>
  <c r="B157" i="717"/>
  <c r="B255" i="714" s="1"/>
  <c r="B251" i="714"/>
  <c r="B161" i="717"/>
  <c r="B259" i="714" s="1"/>
  <c r="B253" i="714"/>
  <c r="B159" i="717"/>
  <c r="B257" i="714" s="1"/>
  <c r="B163" i="717"/>
  <c r="B261" i="714" s="1"/>
  <c r="D44" i="722" l="1"/>
  <c r="E22" i="722"/>
  <c r="E44" i="722" s="1"/>
  <c r="D41" i="722"/>
  <c r="E19" i="722"/>
  <c r="E41" i="722" s="1"/>
  <c r="D42" i="722"/>
  <c r="E20" i="722"/>
  <c r="E42" i="722" s="1"/>
  <c r="B42" i="717"/>
  <c r="B100" i="714" s="1"/>
  <c r="D17" i="722"/>
  <c r="D40" i="722" s="1"/>
  <c r="C39" i="722"/>
  <c r="K11" i="717"/>
  <c r="B120" i="714" s="1"/>
  <c r="B99" i="714"/>
  <c r="C40" i="722"/>
  <c r="D16" i="722"/>
  <c r="D39" i="722" s="1"/>
  <c r="F10" i="722"/>
  <c r="E10" i="722"/>
  <c r="E33" i="722" s="1"/>
  <c r="F33" i="722"/>
  <c r="C33" i="722"/>
  <c r="C35" i="722"/>
  <c r="E15" i="722"/>
  <c r="E17" i="722"/>
  <c r="E16" i="722"/>
  <c r="B97" i="714"/>
  <c r="E26" i="717"/>
  <c r="B41" i="714"/>
  <c r="K17" i="717"/>
  <c r="B126" i="714" s="1"/>
  <c r="N30" i="717"/>
  <c r="B115" i="714"/>
  <c r="N33" i="717"/>
  <c r="F18" i="722" s="1"/>
  <c r="B55" i="714"/>
  <c r="K7" i="717"/>
  <c r="B116" i="714" s="1"/>
  <c r="K14" i="717"/>
  <c r="B123" i="714" s="1"/>
  <c r="B33" i="714"/>
  <c r="E18" i="717"/>
  <c r="F32" i="722"/>
  <c r="C32" i="722"/>
  <c r="B217" i="714"/>
  <c r="B127" i="717"/>
  <c r="B225" i="714" s="1"/>
  <c r="E38" i="722"/>
  <c r="D38" i="722"/>
  <c r="C31" i="722"/>
  <c r="F31" i="722"/>
  <c r="B218" i="714"/>
  <c r="B128" i="717"/>
  <c r="B226" i="714" s="1"/>
  <c r="E14" i="722"/>
  <c r="E37" i="722"/>
  <c r="B147" i="714"/>
  <c r="K44" i="717"/>
  <c r="E39" i="722" l="1"/>
  <c r="E40" i="722"/>
  <c r="F53" i="722"/>
  <c r="F64" i="722" s="1"/>
  <c r="F55" i="722"/>
  <c r="F66" i="722" s="1"/>
  <c r="F54" i="722"/>
  <c r="F65" i="722" s="1"/>
  <c r="E27" i="717"/>
  <c r="B43" i="714" s="1"/>
  <c r="B42" i="714"/>
  <c r="N17" i="717"/>
  <c r="F14" i="722" s="1"/>
  <c r="K45" i="717"/>
  <c r="B148" i="714"/>
  <c r="B34" i="714"/>
  <c r="E19" i="717"/>
  <c r="F37" i="722" l="1"/>
  <c r="F15" i="722"/>
  <c r="F17" i="722"/>
  <c r="F16" i="722"/>
  <c r="F40" i="722"/>
  <c r="F39" i="722"/>
  <c r="F38" i="722"/>
  <c r="E20" i="717"/>
  <c r="B35" i="714"/>
  <c r="K46" i="717"/>
  <c r="B149" i="714"/>
  <c r="B150" i="714" l="1"/>
  <c r="K47" i="717"/>
  <c r="B151" i="714" s="1"/>
  <c r="E21" i="717"/>
  <c r="B36" i="714"/>
  <c r="B37" i="714" l="1"/>
  <c r="B274" i="714" s="1"/>
  <c r="B18" i="715" s="1"/>
  <c r="B273" i="714" l="1"/>
  <c r="B17" i="7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cstudep</author>
  </authors>
  <commentList>
    <comment ref="A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Do not change this value. Calculate width of outer most side of reconnect based on this value. Total width of assembly should = INSIDE WIDTH (IW) - 0.5"</t>
        </r>
      </text>
    </comment>
    <comment ref="B1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DO NOT change this value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cstudep</author>
  </authors>
  <commentList>
    <comment ref="A6" authorId="0" shapeId="0" xr:uid="{00000000-0006-0000-0600-000001000000}">
      <text>
        <r>
          <rPr>
            <sz val="14"/>
            <color indexed="81"/>
            <rFont val="Arial"/>
            <family val="2"/>
          </rPr>
          <t>Lookup values for Channels
= H and LBFT</t>
        </r>
      </text>
    </comment>
    <comment ref="D6" authorId="0" shapeId="0" xr:uid="{00000000-0006-0000-0600-000002000000}">
      <text/>
    </comment>
    <comment ref="A16" authorId="0" shapeId="0" xr:uid="{00000000-0006-0000-0600-000003000000}">
      <text>
        <r>
          <rPr>
            <sz val="14"/>
            <color indexed="81"/>
            <rFont val="Arial"/>
            <family val="2"/>
          </rPr>
          <t>Lookup values for I-Beams
= H and LBFT</t>
        </r>
      </text>
    </comment>
    <comment ref="D16" authorId="0" shapeId="0" xr:uid="{00000000-0006-0000-0600-000004000000}">
      <text/>
    </comment>
    <comment ref="A20" authorId="0" shapeId="0" xr:uid="{00000000-0006-0000-0600-000005000000}">
      <text>
        <r>
          <rPr>
            <sz val="14"/>
            <color indexed="81"/>
            <rFont val="Arial"/>
            <family val="2"/>
          </rPr>
          <t>Lookup values for Angles
= H, D and WT</t>
        </r>
      </text>
    </comment>
    <comment ref="D20" authorId="0" shapeId="0" xr:uid="{00000000-0006-0000-0600-000006000000}">
      <text/>
    </comment>
    <comment ref="A28" authorId="0" shapeId="0" xr:uid="{00000000-0006-0000-0600-000007000000}">
      <text>
        <r>
          <rPr>
            <sz val="14"/>
            <color indexed="81"/>
            <rFont val="Arial"/>
            <family val="2"/>
          </rPr>
          <t>Lookup values for Tubing
= H, D and WT</t>
        </r>
      </text>
    </comment>
    <comment ref="D28" authorId="0" shapeId="0" xr:uid="{00000000-0006-0000-0600-000008000000}">
      <text/>
    </comment>
    <comment ref="A33" authorId="0" shapeId="0" xr:uid="{00000000-0006-0000-0600-000009000000}">
      <text>
        <r>
          <rPr>
            <sz val="14"/>
            <color indexed="81"/>
            <rFont val="Arial"/>
            <family val="2"/>
          </rPr>
          <t>Lookup values for Flat Bar
= D and WT</t>
        </r>
      </text>
    </comment>
    <comment ref="D33" authorId="0" shapeId="0" xr:uid="{00000000-0006-0000-0600-00000A000000}">
      <text/>
    </comment>
    <comment ref="A62" authorId="0" shapeId="0" xr:uid="{00000000-0006-0000-0600-00000B000000}">
      <text>
        <r>
          <rPr>
            <sz val="14"/>
            <color indexed="81"/>
            <rFont val="Arial"/>
            <family val="2"/>
          </rPr>
          <t>Lookup values for Tubing
= H, D and WT</t>
        </r>
      </text>
    </comment>
    <comment ref="D62" authorId="0" shapeId="0" xr:uid="{00000000-0006-0000-0600-00000C000000}">
      <text/>
    </comment>
    <comment ref="A63" authorId="0" shapeId="0" xr:uid="{00000000-0006-0000-0600-00000D000000}">
      <text>
        <r>
          <rPr>
            <sz val="14"/>
            <color indexed="81"/>
            <rFont val="Arial"/>
            <family val="2"/>
          </rPr>
          <t>Lookup values for Channels
= H and LBFT</t>
        </r>
      </text>
    </comment>
    <comment ref="D63" authorId="0" shapeId="0" xr:uid="{00000000-0006-0000-0600-00000E000000}">
      <text/>
    </comment>
    <comment ref="A70" authorId="0" shapeId="0" xr:uid="{00000000-0006-0000-0600-00000F000000}">
      <text>
        <r>
          <rPr>
            <sz val="14"/>
            <color indexed="81"/>
            <rFont val="Arial"/>
            <family val="2"/>
          </rPr>
          <t>Lookup values for Channels
= H and LBFT</t>
        </r>
      </text>
    </comment>
    <comment ref="D70" authorId="0" shapeId="0" xr:uid="{00000000-0006-0000-0600-000010000000}">
      <text/>
    </comment>
    <comment ref="A72" authorId="0" shapeId="0" xr:uid="{00000000-0006-0000-0600-000011000000}">
      <text>
        <r>
          <rPr>
            <sz val="14"/>
            <color indexed="81"/>
            <rFont val="Arial"/>
            <family val="2"/>
          </rPr>
          <t>Lookup values for Tubing
= H, D and WT</t>
        </r>
      </text>
    </comment>
    <comment ref="D72" authorId="0" shapeId="0" xr:uid="{00000000-0006-0000-0600-000012000000}">
      <text/>
    </comment>
  </commentList>
</comments>
</file>

<file path=xl/sharedStrings.xml><?xml version="1.0" encoding="utf-8"?>
<sst xmlns="http://schemas.openxmlformats.org/spreadsheetml/2006/main" count="3819" uniqueCount="1245">
  <si>
    <t>Parameter</t>
  </si>
  <si>
    <t>Value</t>
  </si>
  <si>
    <t>UM</t>
  </si>
  <si>
    <t>Comments</t>
  </si>
  <si>
    <t>Date</t>
  </si>
  <si>
    <t>Description</t>
  </si>
  <si>
    <t>By</t>
  </si>
  <si>
    <t>Revision</t>
  </si>
  <si>
    <t>-</t>
  </si>
  <si>
    <t>Clearance</t>
  </si>
  <si>
    <t>Engagement</t>
  </si>
  <si>
    <t>1/8 Rivet</t>
  </si>
  <si>
    <t>3/16 Rivet</t>
  </si>
  <si>
    <t>#6 Hardware</t>
  </si>
  <si>
    <t>#8 Hardware</t>
  </si>
  <si>
    <t>#10 Hardware</t>
  </si>
  <si>
    <t>1/4 Hardware</t>
  </si>
  <si>
    <t>5/16 Hardware</t>
  </si>
  <si>
    <t>3/8 Hardware</t>
  </si>
  <si>
    <t>1/2 Hardware</t>
  </si>
  <si>
    <t>0.152</t>
  </si>
  <si>
    <t>0.218</t>
  </si>
  <si>
    <t>0.188</t>
  </si>
  <si>
    <t>0.312</t>
  </si>
  <si>
    <t>0.375</t>
  </si>
  <si>
    <t>0.437</t>
  </si>
  <si>
    <t>0.562</t>
  </si>
  <si>
    <t>0.140</t>
  </si>
  <si>
    <t>0.208</t>
  </si>
  <si>
    <t>0.109</t>
  </si>
  <si>
    <t>#8 Hardware AB, B</t>
  </si>
  <si>
    <t>#8 Hardware D,F,G &amp;T</t>
  </si>
  <si>
    <t>0.136</t>
  </si>
  <si>
    <t>1/4 Hardware AB, B</t>
  </si>
  <si>
    <t>1/4 Hardware D,F,G&amp;T</t>
  </si>
  <si>
    <t>3/8 Hardware AB,B</t>
  </si>
  <si>
    <t>3/8 Hardware D,F,G&amp;T</t>
  </si>
  <si>
    <t>0.281</t>
  </si>
  <si>
    <t>5/16 Hardware AB,B</t>
  </si>
  <si>
    <t>5/16 Hardware D,F,G&amp;T</t>
  </si>
  <si>
    <t>0.250</t>
  </si>
  <si>
    <t>0.344</t>
  </si>
  <si>
    <t>SPECIAL HOLE SIZES</t>
  </si>
  <si>
    <t>Standard Hole Sizes</t>
  </si>
  <si>
    <t>ECN Number</t>
  </si>
  <si>
    <t>1/4 Hardware - galv material</t>
  </si>
  <si>
    <t>1/4 Hardware - sst</t>
  </si>
  <si>
    <t>FLOOR_CHAN_1</t>
  </si>
  <si>
    <t>FLOOR_CHAN_2</t>
  </si>
  <si>
    <t>FLOOR_CHAN_3</t>
  </si>
  <si>
    <t>FLOOR_CHAN_4</t>
  </si>
  <si>
    <t>FLOOR_CHAN_5</t>
  </si>
  <si>
    <t>FLOOR_CHAN_6</t>
  </si>
  <si>
    <t>FLOOR_CHAN_7</t>
  </si>
  <si>
    <t>FLOOR_CHAN_8</t>
  </si>
  <si>
    <t>FLOOR_CHAN_9</t>
  </si>
  <si>
    <t>FLOOR_CHAN_10</t>
  </si>
  <si>
    <t>ROOF_CHAN_1</t>
  </si>
  <si>
    <t>ROOF_CHAN_2</t>
  </si>
  <si>
    <t>ROOF_CHAN_3</t>
  </si>
  <si>
    <t>ROOF_CHAN_4</t>
  </si>
  <si>
    <t>ROOF_CHAN_5</t>
  </si>
  <si>
    <t>ROOF_CHAN_6</t>
  </si>
  <si>
    <t>ROOF_CHAN_7</t>
  </si>
  <si>
    <t>ROOF_CHAN_8</t>
  </si>
  <si>
    <t>ROOF_CHAN_9</t>
  </si>
  <si>
    <t>ROOF_CHAN_10</t>
  </si>
  <si>
    <t>FLOOR CHANNELS</t>
  </si>
  <si>
    <t>ROOF CHANNELS</t>
  </si>
  <si>
    <t>SOUTH WALL CHANNELS</t>
  </si>
  <si>
    <t>NORTH WALL CHANNELS</t>
  </si>
  <si>
    <t>Channel Name</t>
  </si>
  <si>
    <t>Z_LOCATION</t>
  </si>
  <si>
    <t>X_ARRAY_OFFSET</t>
  </si>
  <si>
    <t>X_ARRAY_QTY</t>
  </si>
  <si>
    <t>X_ARRAY_SPACING</t>
  </si>
  <si>
    <t>Y_ARRAY_OFFSET</t>
  </si>
  <si>
    <t>Y_ARRAY_QTY</t>
  </si>
  <si>
    <t>Y_ARRAY_SPACING</t>
  </si>
  <si>
    <t>LEFT_HAND_CHAN_1</t>
  </si>
  <si>
    <t>LEFT_HAND_CHAN_2</t>
  </si>
  <si>
    <t>LEFT_HAND_CHAN_3</t>
  </si>
  <si>
    <t>LEFT_HAND_CHAN_4</t>
  </si>
  <si>
    <t>LEFT_HAND_CHAN_5</t>
  </si>
  <si>
    <t>LEFT_HAND_CHAN_6</t>
  </si>
  <si>
    <t>LEFT_HAND_CHAN_7</t>
  </si>
  <si>
    <t>LEFT_HAND_CHAN_8</t>
  </si>
  <si>
    <t>LEFT_HAND_CHAN_9</t>
  </si>
  <si>
    <t>RIGHT_HAND_CHAN_1</t>
  </si>
  <si>
    <t>RIGHT_HAND_CHAN_2</t>
  </si>
  <si>
    <t>RIGHT_HAND_CHAN_3</t>
  </si>
  <si>
    <t>RIGHT_HAND_CHAN_4</t>
  </si>
  <si>
    <t>RIGHT_HAND_CHAN_5</t>
  </si>
  <si>
    <t>RIGHT_HAND_CHAN_6</t>
  </si>
  <si>
    <t>RIGHT_HAND_CHAN_7</t>
  </si>
  <si>
    <t>RIGHT_HAND_CHAN_8</t>
  </si>
  <si>
    <t>RIGHT_HAND_CHAN_9</t>
  </si>
  <si>
    <t>Thickness Outputs</t>
  </si>
  <si>
    <t>STL GALV</t>
  </si>
  <si>
    <t>Inventor Material Designation</t>
  </si>
  <si>
    <t>Metal Gauge</t>
  </si>
  <si>
    <t>Metal Thickness Min.</t>
  </si>
  <si>
    <t>Design Thickness (Ref)</t>
  </si>
  <si>
    <t>Material description</t>
  </si>
  <si>
    <t>Material Type</t>
  </si>
  <si>
    <t>York "R" Std</t>
  </si>
  <si>
    <t>Max Cut Size</t>
  </si>
  <si>
    <t>Unit of Measure</t>
  </si>
  <si>
    <t>"DXF" Mat'l Data</t>
  </si>
  <si>
    <t>Staggered Centers</t>
  </si>
  <si>
    <t>005 06145 008</t>
  </si>
  <si>
    <t>Galvanized Steel</t>
  </si>
  <si>
    <t>G90</t>
  </si>
  <si>
    <t>R259 w/ note 4</t>
  </si>
  <si>
    <t>48 X 144</t>
  </si>
  <si>
    <t>SF</t>
  </si>
  <si>
    <t>GLVS157-</t>
  </si>
  <si>
    <t>N/A</t>
  </si>
  <si>
    <t>005 06145 010</t>
  </si>
  <si>
    <t>GLVS126-</t>
  </si>
  <si>
    <t>005 06145 012</t>
  </si>
  <si>
    <t>60 X 144</t>
  </si>
  <si>
    <t>GLVS097-</t>
  </si>
  <si>
    <t>005 06145 014</t>
  </si>
  <si>
    <t>GLVS070-</t>
  </si>
  <si>
    <t>STRUCT GALV</t>
  </si>
  <si>
    <t>10</t>
  </si>
  <si>
    <t>005 06596 010</t>
  </si>
  <si>
    <t>Structural Galvanized Steel</t>
  </si>
  <si>
    <t>GLVS126S</t>
  </si>
  <si>
    <t>12</t>
  </si>
  <si>
    <t>005 06596 012</t>
  </si>
  <si>
    <t>GLVS097S</t>
  </si>
  <si>
    <t>14</t>
  </si>
  <si>
    <t>005 06596 014</t>
  </si>
  <si>
    <t>GLVS070S</t>
  </si>
  <si>
    <t>005 06145 016</t>
  </si>
  <si>
    <t>005 06145 018</t>
  </si>
  <si>
    <t>.034</t>
  </si>
  <si>
    <t>005 06145 020</t>
  </si>
  <si>
    <t>GLVS034-</t>
  </si>
  <si>
    <t>22</t>
  </si>
  <si>
    <t>005 06145 022</t>
  </si>
  <si>
    <t>GLVS028-</t>
  </si>
  <si>
    <t>24</t>
  </si>
  <si>
    <t>005 06145 024</t>
  </si>
  <si>
    <t>GLVS022-</t>
  </si>
  <si>
    <t>005 06160 001</t>
  </si>
  <si>
    <t>Galvanized Steel, Coil, XT Seam Cap</t>
  </si>
  <si>
    <t>2.491 X Lg</t>
  </si>
  <si>
    <t>005 06161 001</t>
  </si>
  <si>
    <t>Galvanized Steel, Coil, XT Raceway</t>
  </si>
  <si>
    <t>12.62 X Lg</t>
  </si>
  <si>
    <t>8</t>
  </si>
  <si>
    <t>005 06146 008</t>
  </si>
  <si>
    <t>304</t>
  </si>
  <si>
    <t>R52</t>
  </si>
  <si>
    <t>SSTS165-</t>
  </si>
  <si>
    <t>005 06146 010</t>
  </si>
  <si>
    <t>Stainless steel</t>
  </si>
  <si>
    <t>SSTS135-</t>
  </si>
  <si>
    <t>005 06146 012</t>
  </si>
  <si>
    <t>SSTS105-</t>
  </si>
  <si>
    <t>005 06146 014</t>
  </si>
  <si>
    <t>SSTS075-</t>
  </si>
  <si>
    <t>005 06146 016</t>
  </si>
  <si>
    <t>SSTS060-</t>
  </si>
  <si>
    <t>005 06146 018</t>
  </si>
  <si>
    <t>SSTS048-</t>
  </si>
  <si>
    <t>005 06146 020</t>
  </si>
  <si>
    <t>SSTS035-</t>
  </si>
  <si>
    <t>005 06146 022</t>
  </si>
  <si>
    <t>SSTS029-</t>
  </si>
  <si>
    <t>005 06146 024</t>
  </si>
  <si>
    <t>SSTS024-</t>
  </si>
  <si>
    <t>16</t>
  </si>
  <si>
    <t>005 07104 016</t>
  </si>
  <si>
    <t>316L</t>
  </si>
  <si>
    <t>SSLS060-</t>
  </si>
  <si>
    <t>18</t>
  </si>
  <si>
    <t>005 07104 018</t>
  </si>
  <si>
    <t>SSLS048-</t>
  </si>
  <si>
    <t>20</t>
  </si>
  <si>
    <t>005 07104 020</t>
  </si>
  <si>
    <t>SSLS035-</t>
  </si>
  <si>
    <t>005 02897 000</t>
  </si>
  <si>
    <t>Galvanized Steel (perf)</t>
  </si>
  <si>
    <t>R1045</t>
  </si>
  <si>
    <t>48 X 120</t>
  </si>
  <si>
    <t>GLVP039A</t>
  </si>
  <si>
    <t>5/16</t>
  </si>
  <si>
    <t>3/8</t>
  </si>
  <si>
    <t>005 02901 000</t>
  </si>
  <si>
    <t>GLVP039D</t>
  </si>
  <si>
    <t>1/4</t>
  </si>
  <si>
    <t>005 06154 000</t>
  </si>
  <si>
    <t>GLVP039E</t>
  </si>
  <si>
    <t>5/8</t>
  </si>
  <si>
    <t>13/16</t>
  </si>
  <si>
    <t>005 07115 022</t>
  </si>
  <si>
    <t>GLVP028A</t>
  </si>
  <si>
    <t>1/8</t>
  </si>
  <si>
    <t>3/16</t>
  </si>
  <si>
    <t>008 02316 001</t>
  </si>
  <si>
    <t>Aluminum Sheet (perf)</t>
  </si>
  <si>
    <t>R1116</t>
  </si>
  <si>
    <t>ALUP050A</t>
  </si>
  <si>
    <t>7/32</t>
  </si>
  <si>
    <t>008 02335 000</t>
  </si>
  <si>
    <t>Aluminum Sht (Expanded/Flattened) 1/2 No..081 5005-H34</t>
  </si>
  <si>
    <t>ALUE060A</t>
  </si>
  <si>
    <t>.28x.94 diamond</t>
  </si>
  <si>
    <t>Flattened</t>
  </si>
  <si>
    <t>9</t>
  </si>
  <si>
    <t>005 06150 000</t>
  </si>
  <si>
    <t>Galvanized Steel (Expanded/Flattened) 3/4 No. 9</t>
  </si>
  <si>
    <t>R259</t>
  </si>
  <si>
    <t>48 x 120</t>
  </si>
  <si>
    <t>GLVE146A</t>
  </si>
  <si>
    <t>3/4" wide diamond</t>
  </si>
  <si>
    <t>005 06579 000</t>
  </si>
  <si>
    <t>Galvanized Steel (Expanded/Flattened) 1-1/2 No. 9</t>
  </si>
  <si>
    <t>GLVE146B</t>
  </si>
  <si>
    <t>1-1/2" wide diamond</t>
  </si>
  <si>
    <t>008 02572 125</t>
  </si>
  <si>
    <t>ALUD125A</t>
  </si>
  <si>
    <t>Raised Lug</t>
  </si>
  <si>
    <t>005 06169 010</t>
  </si>
  <si>
    <t>Galvanized Steel, Corrugated, 4” Box Rib Profile</t>
  </si>
  <si>
    <t>38.5 X 120</t>
  </si>
  <si>
    <t>GLVC034A</t>
  </si>
  <si>
    <t>General</t>
  </si>
  <si>
    <t>in</t>
  </si>
  <si>
    <t>THIS BOX IS OUTPUT ONLY … DO NOT USE AS INPUTS</t>
  </si>
  <si>
    <t>INPUTS</t>
  </si>
  <si>
    <t>CHANNEL LOCATION DIMENSIONS (Z_LOCATION)
FROM PRIMARY_Z_PLANE (SEGMENT START)
X_ARRAY_OFFSET DIMENSIONED FROM "IW" ZERO LOCATION
DIMENSION MUST INCLUDE "Side BH to Shell Clearance"</t>
  </si>
  <si>
    <t>FLOOR_CHAN_11</t>
  </si>
  <si>
    <t>FLOOR_CHAN_12</t>
  </si>
  <si>
    <t>FLOOR_CHAN_13</t>
  </si>
  <si>
    <t>FLOOR_CHAN_14</t>
  </si>
  <si>
    <t>FLOOR_CHAN_15</t>
  </si>
  <si>
    <t>FLOOR_CHAN_16</t>
  </si>
  <si>
    <t>FLOOR_CHAN_17</t>
  </si>
  <si>
    <t>FLOOR_CHAN_18</t>
  </si>
  <si>
    <t>FLOOR_CHAN_19</t>
  </si>
  <si>
    <t>FLOOR_CHAN_20</t>
  </si>
  <si>
    <t>ROOF_CHAN_11</t>
  </si>
  <si>
    <t>ROOF_CHAN_12</t>
  </si>
  <si>
    <t>ROOF_CHAN_13</t>
  </si>
  <si>
    <t>ROOF_CHAN_14</t>
  </si>
  <si>
    <t>ROOF_CHAN_15</t>
  </si>
  <si>
    <t>Indicator holes</t>
  </si>
  <si>
    <t>Ga</t>
  </si>
  <si>
    <t>dia</t>
  </si>
  <si>
    <t>spacing</t>
  </si>
  <si>
    <t>28-20 ga. (&lt;.04 thickness)</t>
  </si>
  <si>
    <t>18-14 ga. (&gt;=.04 and &lt;=.09 thickness)</t>
  </si>
  <si>
    <t>12 ga and up (&gt;.09 thickness)</t>
  </si>
  <si>
    <t>28 ga - 14 ga (&lt;=.09 thickness)</t>
  </si>
  <si>
    <t>12 ga - 10 ga (&gt;.09 and &lt; .14)</t>
  </si>
  <si>
    <t>8 ga. (&gt;= .14 thickness)</t>
  </si>
  <si>
    <t>Page: 102-006</t>
  </si>
  <si>
    <t>Edit Manual</t>
  </si>
  <si>
    <t>PRODUCT: Solution</t>
  </si>
  <si>
    <t>Title: Raw Material Part Numbers, Mapics Codes, Calculations And Others</t>
  </si>
  <si>
    <t>102-006.xls</t>
  </si>
  <si>
    <t xml:space="preserve">Rel/Rev Date: </t>
  </si>
  <si>
    <t xml:space="preserve">Revision Level : </t>
  </si>
  <si>
    <t>ECN Number :</t>
  </si>
  <si>
    <t>Solution Project, Raw material codes and calculations, Sheet or Coil stock, Square Foot</t>
  </si>
  <si>
    <t>Mat'l Group</t>
  </si>
  <si>
    <t>Inventor Thickness Key_PK</t>
  </si>
  <si>
    <t>Active Product "XT"</t>
  </si>
  <si>
    <t>Active Product "YC"</t>
  </si>
  <si>
    <t>Mapics Part Number</t>
  </si>
  <si>
    <t>Hole Size / Texture</t>
  </si>
  <si>
    <t>MAT_LOOKUP</t>
  </si>
  <si>
    <t>MAT_GRP</t>
  </si>
  <si>
    <t>MAT_GA</t>
  </si>
  <si>
    <t>MAT_MINT</t>
  </si>
  <si>
    <t>MAT_DEST</t>
  </si>
  <si>
    <t>MAT_KEYT</t>
  </si>
  <si>
    <t>MAT_XT</t>
  </si>
  <si>
    <t>MAT_YC</t>
  </si>
  <si>
    <t>MAT_PNUM</t>
  </si>
  <si>
    <t>MAT_DESC</t>
  </si>
  <si>
    <t>MAT_TYPE</t>
  </si>
  <si>
    <t>MAT_RSTD</t>
  </si>
  <si>
    <t>MAT_CUT</t>
  </si>
  <si>
    <t>MAT_UMSR</t>
  </si>
  <si>
    <t>MAT_DESG</t>
  </si>
  <si>
    <t>MAT_DXF</t>
  </si>
  <si>
    <t>MAT_HLSZ</t>
  </si>
  <si>
    <t>MAT_STG</t>
  </si>
  <si>
    <t>Sheet Products, Solid</t>
  </si>
  <si>
    <t>Sheet, G90</t>
  </si>
  <si>
    <t>.156</t>
  </si>
  <si>
    <t>XT</t>
  </si>
  <si>
    <t>.125</t>
  </si>
  <si>
    <t>.126</t>
  </si>
  <si>
    <t>YC</t>
  </si>
  <si>
    <t>.096</t>
  </si>
  <si>
    <t>.097</t>
  </si>
  <si>
    <t>.069</t>
  </si>
  <si>
    <t>.070</t>
  </si>
  <si>
    <t>.055</t>
  </si>
  <si>
    <t>.056</t>
  </si>
  <si>
    <t>GLVS056A</t>
  </si>
  <si>
    <t>.044</t>
  </si>
  <si>
    <t>.045</t>
  </si>
  <si>
    <t>GLVS045A</t>
  </si>
  <si>
    <t>.033</t>
  </si>
  <si>
    <t>.028</t>
  </si>
  <si>
    <t>.022</t>
  </si>
  <si>
    <t>Roll Form Coil</t>
  </si>
  <si>
    <t>001 07591 467</t>
  </si>
  <si>
    <t>Channel,Rf,16ga,Glv,4.67w_Flat, YC 2" Housing Channel</t>
  </si>
  <si>
    <t>G40</t>
  </si>
  <si>
    <t>4.67 X Lg</t>
  </si>
  <si>
    <t>STL GALV2</t>
  </si>
  <si>
    <t>GLVS056C</t>
  </si>
  <si>
    <t>001 07591 567</t>
  </si>
  <si>
    <t>Channel,Rf,16ga,Glv,5.67w_Flat, YC 3" Housing Channel</t>
  </si>
  <si>
    <t>5.67 X Lg</t>
  </si>
  <si>
    <t>STL GALV3</t>
  </si>
  <si>
    <t>GLVS056D</t>
  </si>
  <si>
    <t>001 07591 667</t>
  </si>
  <si>
    <t>Channel,Rf,16ga,Glv,6.67w_Flat, YC 4" Housing Channel</t>
  </si>
  <si>
    <t>6.67 X Lg</t>
  </si>
  <si>
    <t>STL GALV4</t>
  </si>
  <si>
    <t>GLVS056E</t>
  </si>
  <si>
    <t>STL GALVS</t>
  </si>
  <si>
    <t>GLVS045B</t>
  </si>
  <si>
    <t>STL GALVR</t>
  </si>
  <si>
    <t>GLVS056B</t>
  </si>
  <si>
    <t>Sheet, Pre-Paint</t>
  </si>
  <si>
    <t>005 07110 014</t>
  </si>
  <si>
    <t xml:space="preserve">Sheet,Pre-Paint,Gray,14ga </t>
  </si>
  <si>
    <t>P-Paint</t>
  </si>
  <si>
    <t xml:space="preserve">M-310 </t>
  </si>
  <si>
    <t>48 x Lg</t>
  </si>
  <si>
    <t>STL GALV PPG</t>
  </si>
  <si>
    <t>GLVPP070A</t>
  </si>
  <si>
    <t>Gray Paint</t>
  </si>
  <si>
    <t>005 07110 016</t>
  </si>
  <si>
    <t xml:space="preserve">Sheet,Pre-Paint,Gray,16ga </t>
  </si>
  <si>
    <t>GLVPP056A</t>
  </si>
  <si>
    <t>005 07110 116</t>
  </si>
  <si>
    <t>Sheet,Pre-Paint,Champagne,16ga</t>
  </si>
  <si>
    <t>STL GALV PPC</t>
  </si>
  <si>
    <t>GLVPP056B</t>
  </si>
  <si>
    <t>Champagne Paint</t>
  </si>
  <si>
    <t>005 07110 117</t>
  </si>
  <si>
    <t>Sheet,Pre-Paint,Msftwhite,18ga</t>
  </si>
  <si>
    <t>STL GALV PPW</t>
  </si>
  <si>
    <t>GLVPP045A</t>
  </si>
  <si>
    <t>Msftwhite Paint</t>
  </si>
  <si>
    <t>005 07110 118</t>
  </si>
  <si>
    <t>Sheet,Pre-Paint,Champagne,18ga</t>
  </si>
  <si>
    <t>GLVPP045B</t>
  </si>
  <si>
    <t>Sheet, HR</t>
  </si>
  <si>
    <t>.127</t>
  </si>
  <si>
    <t>005 07113 010</t>
  </si>
  <si>
    <t xml:space="preserve">Sheet,Hot-Rolled,10ga </t>
  </si>
  <si>
    <t>HR</t>
  </si>
  <si>
    <t>STLHR127A</t>
  </si>
  <si>
    <t>Hot-Rolled</t>
  </si>
  <si>
    <t>11</t>
  </si>
  <si>
    <t>.112</t>
  </si>
  <si>
    <t>005 07113 011</t>
  </si>
  <si>
    <t xml:space="preserve">Sheet,Hot-Rolled,11ga </t>
  </si>
  <si>
    <t>48 X 96</t>
  </si>
  <si>
    <t>STLHR112A</t>
  </si>
  <si>
    <t>005 07113 012</t>
  </si>
  <si>
    <t xml:space="preserve">Sheet,Hot-Rolled,12ga </t>
  </si>
  <si>
    <t>STLHR097A</t>
  </si>
  <si>
    <t>.068</t>
  </si>
  <si>
    <t>005 07113 014</t>
  </si>
  <si>
    <t xml:space="preserve">Sheet,Hot-Rolled,14ga </t>
  </si>
  <si>
    <t>STLHR068A</t>
  </si>
  <si>
    <t>Sheet, AL</t>
  </si>
  <si>
    <t>.040</t>
  </si>
  <si>
    <t>008 02570 040</t>
  </si>
  <si>
    <t xml:space="preserve">Sheet,Al,3003h14,.040         </t>
  </si>
  <si>
    <t>AL</t>
  </si>
  <si>
    <t>48 x 144</t>
  </si>
  <si>
    <t>ALUS040A</t>
  </si>
  <si>
    <t>.050</t>
  </si>
  <si>
    <t>008 02570 050</t>
  </si>
  <si>
    <t xml:space="preserve">Sheet,Al,3003h14,.050         </t>
  </si>
  <si>
    <t>ALUS050A</t>
  </si>
  <si>
    <t>.063</t>
  </si>
  <si>
    <t>008 02570 063</t>
  </si>
  <si>
    <t xml:space="preserve">Sheet,Al,3003h14,.063         </t>
  </si>
  <si>
    <t>ALUS063A</t>
  </si>
  <si>
    <t>.080</t>
  </si>
  <si>
    <t>008 02570 080</t>
  </si>
  <si>
    <t xml:space="preserve">Sheet,Al,3003h14,.080         </t>
  </si>
  <si>
    <t>ALUS080A</t>
  </si>
  <si>
    <t>008 02570 125</t>
  </si>
  <si>
    <t xml:space="preserve">Sheet,Al,3003h14,.125         </t>
  </si>
  <si>
    <t>ALUS125A</t>
  </si>
  <si>
    <t>.190</t>
  </si>
  <si>
    <t>008 02570 190</t>
  </si>
  <si>
    <t xml:space="preserve">Sheet,Al,3003h14,.190         </t>
  </si>
  <si>
    <t>ALUS190A</t>
  </si>
  <si>
    <t>Sheet, SST</t>
  </si>
  <si>
    <t>.165</t>
  </si>
  <si>
    <t>SST304</t>
  </si>
  <si>
    <t>.135</t>
  </si>
  <si>
    <t>.105</t>
  </si>
  <si>
    <t>.075</t>
  </si>
  <si>
    <t>.060</t>
  </si>
  <si>
    <t>.048</t>
  </si>
  <si>
    <t>.035</t>
  </si>
  <si>
    <t>.029</t>
  </si>
  <si>
    <t>.024</t>
  </si>
  <si>
    <t>005 07103 012</t>
  </si>
  <si>
    <t xml:space="preserve">Sheet,304lss,12ga </t>
  </si>
  <si>
    <t>304L</t>
  </si>
  <si>
    <t>SST304L</t>
  </si>
  <si>
    <t>SSTL105-</t>
  </si>
  <si>
    <t>005 07103 016</t>
  </si>
  <si>
    <t xml:space="preserve">Sheet,304lss,16ga </t>
  </si>
  <si>
    <t>SSTL060-</t>
  </si>
  <si>
    <t>005 07104 010</t>
  </si>
  <si>
    <t xml:space="preserve">Sheet,316lss, 10ga </t>
  </si>
  <si>
    <t>SST316L</t>
  </si>
  <si>
    <t>SSLS135-</t>
  </si>
  <si>
    <t>005 07104 012</t>
  </si>
  <si>
    <t xml:space="preserve">Sheet,316lss, 12ga </t>
  </si>
  <si>
    <t>SSLS105-</t>
  </si>
  <si>
    <t>005 07104 014</t>
  </si>
  <si>
    <t xml:space="preserve">Sheet,316lss, 14ga </t>
  </si>
  <si>
    <t>SSLS075-</t>
  </si>
  <si>
    <t>Sheet,316lss, 16ga</t>
  </si>
  <si>
    <t>Sheet,316lss, 18ga</t>
  </si>
  <si>
    <t>Sheet,316lss, 20ga</t>
  </si>
  <si>
    <t>005 07104 022</t>
  </si>
  <si>
    <t xml:space="preserve">Sheet,316lss, 22ga </t>
  </si>
  <si>
    <t>SSLS029-</t>
  </si>
  <si>
    <t>Sheet Products, Structural</t>
  </si>
  <si>
    <t>Sheet, Structural</t>
  </si>
  <si>
    <t>R1190</t>
  </si>
  <si>
    <t>Sheet Products, Perforated</t>
  </si>
  <si>
    <t>Sheet, Perf</t>
  </si>
  <si>
    <t>.039</t>
  </si>
  <si>
    <t>005 07115 016</t>
  </si>
  <si>
    <t xml:space="preserve">Sheet,Perf,Glv,40.3%,16ga </t>
  </si>
  <si>
    <t>48 X Lg</t>
  </si>
  <si>
    <t>GLVP055A</t>
  </si>
  <si>
    <t>.188</t>
  </si>
  <si>
    <t>005 07115 018</t>
  </si>
  <si>
    <t xml:space="preserve">Sheet,Perf,Glv,40.3%,18ga </t>
  </si>
  <si>
    <t>GLVP045A</t>
  </si>
  <si>
    <t>005 07115 020</t>
  </si>
  <si>
    <t xml:space="preserve">Sheet,Perf,Glv,40.3%,20ga </t>
  </si>
  <si>
    <t>GLVP034A</t>
  </si>
  <si>
    <t xml:space="preserve">Sheet,Perf,Glv,40.3%,22ga </t>
  </si>
  <si>
    <t>005 07118 018</t>
  </si>
  <si>
    <t xml:space="preserve">Sheet,Perf,Glv,47%,18ga </t>
  </si>
  <si>
    <t>GLVP044B</t>
  </si>
  <si>
    <t>.50</t>
  </si>
  <si>
    <t>.688</t>
  </si>
  <si>
    <t>Sheet, Perf, AL</t>
  </si>
  <si>
    <t>008 02573 050</t>
  </si>
  <si>
    <t>Sheet,Perf,Al,40.3%,.050, 3003h14</t>
  </si>
  <si>
    <t>ALUP050B</t>
  </si>
  <si>
    <t>008 02573 063</t>
  </si>
  <si>
    <t>Sheet,Perf,Al,40.3%,.063, 3003h14</t>
  </si>
  <si>
    <t>ALUP063A</t>
  </si>
  <si>
    <t>008 02573 080</t>
  </si>
  <si>
    <t xml:space="preserve">Sheet,Perf,Al,40.3%,.080, 3003h14 </t>
  </si>
  <si>
    <t>ALUP080A</t>
  </si>
  <si>
    <t>008 02574 080</t>
  </si>
  <si>
    <t>Sheet,Perf,Al,47%,.080, 3003h14</t>
  </si>
  <si>
    <t>ALUP080B</t>
  </si>
  <si>
    <t>Sheet, Perf, SST</t>
  </si>
  <si>
    <t>005 07114 016</t>
  </si>
  <si>
    <t xml:space="preserve">Sheet,Perf,304ss,40.3%,16ga </t>
  </si>
  <si>
    <t>SST304PA</t>
  </si>
  <si>
    <t>SSTP060A</t>
  </si>
  <si>
    <t>005 07114 018</t>
  </si>
  <si>
    <t xml:space="preserve">Sheet,Perf,304ss,40.3%,18ga </t>
  </si>
  <si>
    <t>SSTP048B</t>
  </si>
  <si>
    <t>005 07114 020</t>
  </si>
  <si>
    <t xml:space="preserve">Sheet,Perf,304ss,40.3%,20ga </t>
  </si>
  <si>
    <t>SSTP035A</t>
  </si>
  <si>
    <t>005 07116 016</t>
  </si>
  <si>
    <t xml:space="preserve">Sheet,Perf,304ss,51%,16ga </t>
  </si>
  <si>
    <t>SST304PC</t>
  </si>
  <si>
    <t>SSTP060B</t>
  </si>
  <si>
    <t>.25</t>
  </si>
  <si>
    <t>005 07117 018</t>
  </si>
  <si>
    <t xml:space="preserve">Sheet,Perf,304ss,47%,18ga </t>
  </si>
  <si>
    <t>SST304PB</t>
  </si>
  <si>
    <t>SSTP048C</t>
  </si>
  <si>
    <t>Sheet Products, Expaneded or Textured</t>
  </si>
  <si>
    <t>Sheet, Expanded</t>
  </si>
  <si>
    <t>.146</t>
  </si>
  <si>
    <t>005 06579 100</t>
  </si>
  <si>
    <t>Sheet,Exp_Mtl,Glv,G90,9ga, 1.5 Flattened</t>
  </si>
  <si>
    <t>48 x 96</t>
  </si>
  <si>
    <t>GLVE146C</t>
  </si>
  <si>
    <t>.120</t>
  </si>
  <si>
    <t>005 07109 011</t>
  </si>
  <si>
    <t>Sheet,Exp_Mtl,Glv,11ga, .75 Flattened, #9</t>
  </si>
  <si>
    <t>GLVE120-</t>
  </si>
  <si>
    <t>Sheet, Expanded, AL</t>
  </si>
  <si>
    <t>Sheet, Expanded, SST</t>
  </si>
  <si>
    <t>005 06588 100</t>
  </si>
  <si>
    <t xml:space="preserve">Sheet,Exp_Mtl,Ss,304,9ga,1.5 Flattened </t>
  </si>
  <si>
    <t>SST304E</t>
  </si>
  <si>
    <t>SSTE146-</t>
  </si>
  <si>
    <t>005 07120 011</t>
  </si>
  <si>
    <t>Sheet,Exp_Mtl,304ss,11ga, .75 flattened #9</t>
  </si>
  <si>
    <t>SSTE120-</t>
  </si>
  <si>
    <t>Sheet, AL, Emb</t>
  </si>
  <si>
    <t>008 02168 000</t>
  </si>
  <si>
    <t>Al,3105h14,.040, Stucco Emb Alum</t>
  </si>
  <si>
    <t>Stucco Finish</t>
  </si>
  <si>
    <t>ALUE040A</t>
  </si>
  <si>
    <t>Embossed AL</t>
  </si>
  <si>
    <t>008 02571 080</t>
  </si>
  <si>
    <t>Sheet,Al_Text,3003h134,.080_Stucco</t>
  </si>
  <si>
    <t>ALUE080A</t>
  </si>
  <si>
    <t>Grating</t>
  </si>
  <si>
    <t>1</t>
  </si>
  <si>
    <t>1"High</t>
  </si>
  <si>
    <t>001 07514 000</t>
  </si>
  <si>
    <t>Grating,19-S-4,1h_.13thk ,Stainless Steel Grating</t>
  </si>
  <si>
    <t>36 X 96</t>
  </si>
  <si>
    <t>SST304G</t>
  </si>
  <si>
    <t>SSTG100A</t>
  </si>
  <si>
    <t>1" 19-S-4</t>
  </si>
  <si>
    <t>001 07515 000</t>
  </si>
  <si>
    <t>Grating,19-Ap-4,1h_.13thk,Aluminum Grating</t>
  </si>
  <si>
    <t>ALUG100A</t>
  </si>
  <si>
    <t>1" 19-Ap-4</t>
  </si>
  <si>
    <t>001 07516 000</t>
  </si>
  <si>
    <t>Grating,19-W-4,1h_.13thk ,Hot Dipped Glv Grating</t>
  </si>
  <si>
    <t>Hot Dip</t>
  </si>
  <si>
    <t>GLVG100A</t>
  </si>
  <si>
    <t>1" 19-W-4</t>
  </si>
  <si>
    <t>Sheet Products, Diamond Tread Plate</t>
  </si>
  <si>
    <t>Plate, Diamond, HR</t>
  </si>
  <si>
    <t>005 07108 012</t>
  </si>
  <si>
    <t xml:space="preserve">Plate,Dia,Hot-Rolled,12ga </t>
  </si>
  <si>
    <t>HRSD097-</t>
  </si>
  <si>
    <t>005 07108 014</t>
  </si>
  <si>
    <t xml:space="preserve">Plate,Dia,Hot-Rolled,14ga </t>
  </si>
  <si>
    <t>HRSD070-</t>
  </si>
  <si>
    <t>005 07108 125</t>
  </si>
  <si>
    <t xml:space="preserve">Plate,Dia,Hot-Rolled,.125 </t>
  </si>
  <si>
    <t>HRSD126-</t>
  </si>
  <si>
    <t>7</t>
  </si>
  <si>
    <t>005 07108 188</t>
  </si>
  <si>
    <t xml:space="preserve">Plate,Dia,Hot-Rolled,.188 </t>
  </si>
  <si>
    <t>HRSD188-</t>
  </si>
  <si>
    <t>Plate, Diamond, AL</t>
  </si>
  <si>
    <t>.100</t>
  </si>
  <si>
    <t>008 02572 100</t>
  </si>
  <si>
    <t>Plate,Dia,Al,.100_3003</t>
  </si>
  <si>
    <t>ALUD100A</t>
  </si>
  <si>
    <t>Plate,Dia,Al,.125_3003</t>
  </si>
  <si>
    <t>008 02572 188</t>
  </si>
  <si>
    <t xml:space="preserve">Plate,Dia,Al,.188_3003   </t>
  </si>
  <si>
    <t>ALUD188A</t>
  </si>
  <si>
    <t>008 02596 101</t>
  </si>
  <si>
    <t>Plate,Dia,Alu,.125_3003 Bright</t>
  </si>
  <si>
    <t>ALUD125B</t>
  </si>
  <si>
    <t>008 02596 102</t>
  </si>
  <si>
    <t>Plate,Dia,Alu,.188_3003 Bright</t>
  </si>
  <si>
    <t>ALUD188B</t>
  </si>
  <si>
    <t>.250</t>
  </si>
  <si>
    <t>008 02596 103</t>
  </si>
  <si>
    <t xml:space="preserve">Plate,Dia,Alu,.25_3003 Bright </t>
  </si>
  <si>
    <t>ALUD250B</t>
  </si>
  <si>
    <t>Plate, Diamond, SST</t>
  </si>
  <si>
    <t>005 07107 125</t>
  </si>
  <si>
    <t>Plate,Dia,304ss,.125</t>
  </si>
  <si>
    <t>SST304D</t>
  </si>
  <si>
    <t>SSTD125-</t>
  </si>
  <si>
    <t>005 07107 188</t>
  </si>
  <si>
    <t>Plate,Dia,304ss,.188</t>
  </si>
  <si>
    <t>SSTD188-</t>
  </si>
  <si>
    <t>Sheet Products, Corrugated</t>
  </si>
  <si>
    <t>Sheet, Corrugated</t>
  </si>
  <si>
    <t>Corrugated</t>
  </si>
  <si>
    <t>Plate Products, Solid</t>
  </si>
  <si>
    <t>Plate, SST</t>
  </si>
  <si>
    <t>005 06146 188</t>
  </si>
  <si>
    <t>Plate,304ss,.188</t>
  </si>
  <si>
    <t>SSTS188-</t>
  </si>
  <si>
    <t>005 06146 250</t>
  </si>
  <si>
    <t xml:space="preserve">Plate,304ss,.25 </t>
  </si>
  <si>
    <t>SSTS250-</t>
  </si>
  <si>
    <t>Plate, Steel</t>
  </si>
  <si>
    <t>005 07119 188</t>
  </si>
  <si>
    <t>Plate,Steel 0.188</t>
  </si>
  <si>
    <t>Mild</t>
  </si>
  <si>
    <t>STL PLATE</t>
  </si>
  <si>
    <t>STLPL188A</t>
  </si>
  <si>
    <t>005 07119 250</t>
  </si>
  <si>
    <t>Plate,Steel,0.25</t>
  </si>
  <si>
    <t>STLPL250A</t>
  </si>
  <si>
    <t>.313</t>
  </si>
  <si>
    <t>005 07119 313</t>
  </si>
  <si>
    <t xml:space="preserve">Plate,Steel,0.313 </t>
  </si>
  <si>
    <t xml:space="preserve">48 x 120 </t>
  </si>
  <si>
    <t>STLPL313A</t>
  </si>
  <si>
    <t>.375</t>
  </si>
  <si>
    <t>005 07119 375</t>
  </si>
  <si>
    <t xml:space="preserve">Plate,Steel,0.375 </t>
  </si>
  <si>
    <t>STLPL375A</t>
  </si>
  <si>
    <t>1/2</t>
  </si>
  <si>
    <t>.500</t>
  </si>
  <si>
    <t>005 07119 500</t>
  </si>
  <si>
    <t xml:space="preserve">Plate,Steel,0.5 </t>
  </si>
  <si>
    <t>STLPL500A</t>
  </si>
  <si>
    <t>Notes:</t>
  </si>
  <si>
    <t>1. All sheet or coil stock raw material will be calculated in Square Foot, (Width" X Length") / 144 = SQ. FT.</t>
  </si>
  <si>
    <t>2. Conversions to Pounds or Sheets will be setup in Mapics as a (1 to X) product structure relationship</t>
  </si>
  <si>
    <t>3. The max sheet size is 60 X 144 inches for sheet stock material</t>
  </si>
  <si>
    <t>4. With the exception to standard R259 is that all Galvanized Steel will be Chemically Treated and oiled with a mineral based oil which is easily removable by vapor degreasing or mild alkaline cleaning with a hot water rinse.</t>
  </si>
  <si>
    <t>LBS/FT</t>
  </si>
  <si>
    <t>Web/Wall Thickness</t>
  </si>
  <si>
    <t>Height</t>
  </si>
  <si>
    <t>Depth</t>
  </si>
  <si>
    <t>Flange Thickness/ Radius</t>
  </si>
  <si>
    <t>STL_LOOKUP</t>
  </si>
  <si>
    <t>STL_GRP</t>
  </si>
  <si>
    <t>STL_LBFT</t>
  </si>
  <si>
    <t>STL_WT</t>
  </si>
  <si>
    <t>STL_H</t>
  </si>
  <si>
    <t>STL_D</t>
  </si>
  <si>
    <t>STL_FTR</t>
  </si>
  <si>
    <t>STL_XT</t>
  </si>
  <si>
    <t>STL_YC</t>
  </si>
  <si>
    <t>STL_PNUM</t>
  </si>
  <si>
    <t>STL_DESC</t>
  </si>
  <si>
    <t>STL_TYPE</t>
  </si>
  <si>
    <t>STL_RSTD</t>
  </si>
  <si>
    <t>STL_CUT</t>
  </si>
  <si>
    <t>STL_UMSR</t>
  </si>
  <si>
    <t>STL_DESG</t>
  </si>
  <si>
    <t>STL_DXF</t>
  </si>
  <si>
    <t>Structural Steel, Shapes</t>
  </si>
  <si>
    <t>Steel, Channel</t>
  </si>
  <si>
    <t>1.000</t>
  </si>
  <si>
    <t>001-07500-000</t>
  </si>
  <si>
    <t xml:space="preserve">Channel 2 X 1 X .19,R-18 Std  </t>
  </si>
  <si>
    <t>A572 HRS</t>
  </si>
  <si>
    <t>R18</t>
  </si>
  <si>
    <t>324 IN length</t>
  </si>
  <si>
    <t>IN</t>
  </si>
  <si>
    <t>001-07501-000</t>
  </si>
  <si>
    <t>Channel 3 X 4.1 Lb/Ft,R-18 Std</t>
  </si>
  <si>
    <t>001 08405 003</t>
  </si>
  <si>
    <t>3" x 5.0# Structural Channel</t>
  </si>
  <si>
    <t>001 08405 004</t>
  </si>
  <si>
    <t>4" x 5.4# Structural Channel</t>
  </si>
  <si>
    <t>001 08405 104</t>
  </si>
  <si>
    <t>4" x 7.25# Structural Channel</t>
  </si>
  <si>
    <t>001 08405 005</t>
  </si>
  <si>
    <t>Channel 5 X 6.7 Lb/Ft,R-18 Std</t>
  </si>
  <si>
    <t>001 08405 006</t>
  </si>
  <si>
    <t>6" x 8.2# Structural Channel</t>
  </si>
  <si>
    <t>001 08405 008</t>
  </si>
  <si>
    <t>8" x 11.5# Structural Channel</t>
  </si>
  <si>
    <t>001 08405 010</t>
  </si>
  <si>
    <t>10" x 15.3# Structural Channel</t>
  </si>
  <si>
    <t>001 08405 012</t>
  </si>
  <si>
    <t>12" x 20.7# Structural Channel</t>
  </si>
  <si>
    <t>Steel, I-Beam</t>
  </si>
  <si>
    <t>001-07638-000</t>
  </si>
  <si>
    <t xml:space="preserve">I-Beam 3 X 5.7 Lb/Ft, R-18 Std     </t>
  </si>
  <si>
    <t>A36 HRS</t>
  </si>
  <si>
    <t>001-08409-004</t>
  </si>
  <si>
    <t xml:space="preserve">I-Beam 4 X 7.7 Lb/Ft,R-18 Std </t>
  </si>
  <si>
    <t>001-07509-000</t>
  </si>
  <si>
    <t>I-Beam 6 X 12.5 Lb/Ft,R-18 Std</t>
  </si>
  <si>
    <t>001-07510-000</t>
  </si>
  <si>
    <t>I-Beam 8 X 18.4 Lb/Ft,R-18 Std</t>
  </si>
  <si>
    <t>Steel, Angle</t>
  </si>
  <si>
    <t>001 08406 075</t>
  </si>
  <si>
    <t>3/4" x 3/4" x 1/8" Structural Angle</t>
  </si>
  <si>
    <t>001 08406 100</t>
  </si>
  <si>
    <t>1" x 1" x 1/4" Structural Angle</t>
  </si>
  <si>
    <t>001 08406 125</t>
  </si>
  <si>
    <t>1-1/4" x 1-1/4" x 1/4" Structural Angle</t>
  </si>
  <si>
    <t>001 08406 150</t>
  </si>
  <si>
    <t>1-1/2" x 1-1/2" x 1/4" Structural Angle</t>
  </si>
  <si>
    <t>001 08406 200</t>
  </si>
  <si>
    <t>2" x 2" x 1/4" Structural Angle</t>
  </si>
  <si>
    <t>Steel, AngleCoped</t>
  </si>
  <si>
    <t>001 08407 200</t>
  </si>
  <si>
    <t>2" x 2" x 1/4" Structural Angle, Coped Both Ends</t>
  </si>
  <si>
    <t>001-05057-000</t>
  </si>
  <si>
    <t xml:space="preserve">Angle Blk 2 X 2 X .19         </t>
  </si>
  <si>
    <t>325 IN length</t>
  </si>
  <si>
    <t>001 07501 064</t>
  </si>
  <si>
    <t>Angle Blk 6 x 4 x .38 thk</t>
  </si>
  <si>
    <t>326 IN length</t>
  </si>
  <si>
    <t>Steel, Tubing</t>
  </si>
  <si>
    <t>001-07517-000</t>
  </si>
  <si>
    <t xml:space="preserve">Tubing 1 X 1 X .065           </t>
  </si>
  <si>
    <t>A36</t>
  </si>
  <si>
    <t>001-08408-003</t>
  </si>
  <si>
    <t xml:space="preserve">Tubing 3 X 3 X .120           </t>
  </si>
  <si>
    <t>001-07519-000</t>
  </si>
  <si>
    <t xml:space="preserve">Tubing 4 X 4 X .120           </t>
  </si>
  <si>
    <t>001-08408-002</t>
  </si>
  <si>
    <t xml:space="preserve">Tubing 2 X 2 X .120           </t>
  </si>
  <si>
    <t>001 08570 000</t>
  </si>
  <si>
    <t>Tubing, Blk 3/4"x1 1/2"x.120</t>
  </si>
  <si>
    <t>Steel, Flat Bar</t>
  </si>
  <si>
    <t>001-07578-000</t>
  </si>
  <si>
    <t>Flat Bar 3 x .25 THK</t>
  </si>
  <si>
    <t>Aluminum, Extruded, Shapes</t>
  </si>
  <si>
    <t>Alum, Extrude, Track</t>
  </si>
  <si>
    <t>008 02326 010</t>
  </si>
  <si>
    <t>Track,Fltr,Top/Btm,W/2_Pre</t>
  </si>
  <si>
    <t>extru. Al.</t>
  </si>
  <si>
    <t>IN length</t>
  </si>
  <si>
    <t>ALM TRK 12TB</t>
  </si>
  <si>
    <t>ALUT12TB</t>
  </si>
  <si>
    <t>008 02327 010</t>
  </si>
  <si>
    <t>Track,Fltr,Mid,W/2_Pre</t>
  </si>
  <si>
    <t>ALM TRK 12M</t>
  </si>
  <si>
    <t>ALUT12M-</t>
  </si>
  <si>
    <t>008 02328 010</t>
  </si>
  <si>
    <t>Track,Fltr,Top/Btm,W/4_Pre</t>
  </si>
  <si>
    <t>ALM TRK 14TB</t>
  </si>
  <si>
    <t>ALUT14TB</t>
  </si>
  <si>
    <t>008 02329 010</t>
  </si>
  <si>
    <t>Track,Fltr,Mid,W/4_Pre</t>
  </si>
  <si>
    <t>ALM TRK 14M</t>
  </si>
  <si>
    <t>ALUT14M-</t>
  </si>
  <si>
    <t>008 02330 010</t>
  </si>
  <si>
    <t>ALM TRK 42TB</t>
  </si>
  <si>
    <t>ALUT42TB</t>
  </si>
  <si>
    <t>008 02331 010</t>
  </si>
  <si>
    <t>ALM TRK 42M</t>
  </si>
  <si>
    <t>ALUT42M-</t>
  </si>
  <si>
    <t>008 02575 001</t>
  </si>
  <si>
    <t xml:space="preserve">Track,Fltr,Hi-Eff,Top/Btm, 2" Pre, Rigid/Bag Final </t>
  </si>
  <si>
    <t>008 02576 001</t>
  </si>
  <si>
    <t>Track,Fltr,Hi-Eff,Mid, 2" Pre, Rigid/Bag Final</t>
  </si>
  <si>
    <t>008 02577 001</t>
  </si>
  <si>
    <t>Extrusion,Frame,Outswing,2", YC, 204" L</t>
  </si>
  <si>
    <t>008 02578 001</t>
  </si>
  <si>
    <t xml:space="preserve">Extrusion,Frame,Inswing,2", YC, 204" L </t>
  </si>
  <si>
    <t>008 02579 001</t>
  </si>
  <si>
    <t xml:space="preserve">Extrusion,Door,2", YC, 204" L     </t>
  </si>
  <si>
    <t>008 02584 001</t>
  </si>
  <si>
    <t>Extrusion,Frame,Tb,Outswing,2", YC, 204" L</t>
  </si>
  <si>
    <t>008 02585 001</t>
  </si>
  <si>
    <t>Extrusion,Frame,Tb,Inswing,2", YC, 204"</t>
  </si>
  <si>
    <t>008 02586 001</t>
  </si>
  <si>
    <t>Extrusion,Tb,Door,2", YC,204" L</t>
  </si>
  <si>
    <t>008 02587 001</t>
  </si>
  <si>
    <t>Extrusion,Frame,Tb,Outswing,3",YC, 204" L</t>
  </si>
  <si>
    <t>008 02588 001</t>
  </si>
  <si>
    <t>Extrusion,Frame,Tb,Inswing,3", YC, 204" Lg</t>
  </si>
  <si>
    <t>008 02589 001</t>
  </si>
  <si>
    <t>Extrusion,Tb,Door,3", YC, 204" L</t>
  </si>
  <si>
    <t>Copper, Tube</t>
  </si>
  <si>
    <t>007 09019 025</t>
  </si>
  <si>
    <t xml:space="preserve">Tubing,Cu,.25dia              </t>
  </si>
  <si>
    <t>Copper Type L</t>
  </si>
  <si>
    <t>R80</t>
  </si>
  <si>
    <t>007-05770-000</t>
  </si>
  <si>
    <t xml:space="preserve">Tube,Cu,.63od_.020thk         </t>
  </si>
  <si>
    <t>Aluminum, Shapes</t>
  </si>
  <si>
    <t>Alum, Tubing</t>
  </si>
  <si>
    <t>008 02595 001</t>
  </si>
  <si>
    <t>Tubing, Alum, 0.75x1.50x0.125</t>
  </si>
  <si>
    <t>IN Length</t>
  </si>
  <si>
    <t>Alum, Channel</t>
  </si>
  <si>
    <t>008 02592 001</t>
  </si>
  <si>
    <t>Channel Aluminum 10x8.36 Lb/Ft</t>
  </si>
  <si>
    <t>008 02593 001</t>
  </si>
  <si>
    <t>Channel Aluminum 12x11.82lb/Ft</t>
  </si>
  <si>
    <t>008 02590 001</t>
  </si>
  <si>
    <t xml:space="preserve">Channel Aluminum 6x4.03 Lb/Ft </t>
  </si>
  <si>
    <t>008 02591 001</t>
  </si>
  <si>
    <t xml:space="preserve">Channel Aluminum 8x5.79 Lb/Ft </t>
  </si>
  <si>
    <t>Steel, Stainless, Shapes</t>
  </si>
  <si>
    <t>SST, Channel</t>
  </si>
  <si>
    <t>001-07530-006</t>
  </si>
  <si>
    <t xml:space="preserve">Channel,304ss,6_8.3#/Ft, Flange Width = 1.9"    </t>
  </si>
  <si>
    <t>001-07530-008</t>
  </si>
  <si>
    <t xml:space="preserve">Channel,304ss,8_18.8#/Ft, Flange Width = 2.53"      </t>
  </si>
  <si>
    <t>SST, Tubing</t>
  </si>
  <si>
    <t>001-07520-000</t>
  </si>
  <si>
    <t>Tubing 1 x 1 x .065 304 SST</t>
  </si>
  <si>
    <t>ul</t>
  </si>
  <si>
    <t>MATL_Type</t>
  </si>
  <si>
    <t>Clearance_Hole_Dia</t>
  </si>
  <si>
    <t>DOA_FLG_L</t>
  </si>
  <si>
    <t>DOA_FLG_Hole_Y</t>
  </si>
  <si>
    <t>Angle Reconnect Wall</t>
  </si>
  <si>
    <t>Corner Brace Holes</t>
  </si>
  <si>
    <t>Channel Reconnect Wall</t>
  </si>
  <si>
    <t>IH</t>
  </si>
  <si>
    <t>IW</t>
  </si>
  <si>
    <t xml:space="preserve">FROM DATA TAB </t>
  </si>
  <si>
    <t>Brace_DOA_FLG_L</t>
  </si>
  <si>
    <t>Brace_DOA_FLG_Hole_Y</t>
  </si>
  <si>
    <t>Brace_Face_Start_Hole</t>
  </si>
  <si>
    <t>Brace_Face_Start_Hole_Y</t>
  </si>
  <si>
    <t>Brace_Face_Spacing_Hole</t>
  </si>
  <si>
    <t>Angle_DOA_FLG_L</t>
  </si>
  <si>
    <t>Angle_Top_FLG_L</t>
  </si>
  <si>
    <t>Angle_Side_FLG_L</t>
  </si>
  <si>
    <t>Angle_BTM_FLG_L</t>
  </si>
  <si>
    <t>Angle_W</t>
  </si>
  <si>
    <t>Angle_H</t>
  </si>
  <si>
    <t>Reconnect_Thk</t>
  </si>
  <si>
    <t>Corner_Brace_H</t>
  </si>
  <si>
    <t>Corner_Brace_W</t>
  </si>
  <si>
    <t>Corner_Brace_Thk</t>
  </si>
  <si>
    <t>Reconnect_Type</t>
  </si>
  <si>
    <t>Angle_H_Hole_Qty</t>
  </si>
  <si>
    <t>Angle_H_Hole_Spacing</t>
  </si>
  <si>
    <t>Angle_H_Hole_Start</t>
  </si>
  <si>
    <t>Side reconnect to Shell Clearance</t>
  </si>
  <si>
    <t>Engagement_Hole_Dia</t>
  </si>
  <si>
    <t>Angle_W_Hole_Start</t>
  </si>
  <si>
    <t>Angle_W_Hole_Qty</t>
  </si>
  <si>
    <t>Angle_W_Hole_Spacing</t>
  </si>
  <si>
    <t>Stiffener</t>
  </si>
  <si>
    <t>Stiffener_H</t>
  </si>
  <si>
    <t>Stiffener_FLG_L</t>
  </si>
  <si>
    <t>Stiffener_W</t>
  </si>
  <si>
    <t>Corner_Brace_Hole_Start</t>
  </si>
  <si>
    <t>Corner_Brace_Hole_Qty</t>
  </si>
  <si>
    <t>Corner_Brace_Hole_Spacing</t>
  </si>
  <si>
    <t>0 = off, &gt;0 = on</t>
  </si>
  <si>
    <t>Corner_Brace</t>
  </si>
  <si>
    <t>Angle_R</t>
  </si>
  <si>
    <t>Angle_L</t>
  </si>
  <si>
    <t>Angle_BTM</t>
  </si>
  <si>
    <t>Channel_L</t>
  </si>
  <si>
    <t>Channel_R</t>
  </si>
  <si>
    <t>Channel_BTM</t>
  </si>
  <si>
    <t>Channel_Top</t>
  </si>
  <si>
    <t>Seam_BTM</t>
  </si>
  <si>
    <t>Corner_Brace_1</t>
  </si>
  <si>
    <t>Corner_Brace_2</t>
  </si>
  <si>
    <t>Corner_Brace_3</t>
  </si>
  <si>
    <t>Corner_Brace_4</t>
  </si>
  <si>
    <t>CLR_Reconnect_HOLE</t>
  </si>
  <si>
    <t>Bolt_Reconnect_Hole_Dia</t>
  </si>
  <si>
    <t>Channel_DOA_FLG_L</t>
  </si>
  <si>
    <t>Channel_FLG_L</t>
  </si>
  <si>
    <t>Channel_W</t>
  </si>
  <si>
    <t>Channel_H</t>
  </si>
  <si>
    <t>Channel_W_Hole_Start</t>
  </si>
  <si>
    <t>Channel_W_Hole_Qty</t>
  </si>
  <si>
    <t>Channel_W_Hole_Spacing</t>
  </si>
  <si>
    <t>Channel_H_Hole_Start</t>
  </si>
  <si>
    <t>Channel_H_Hole_Qty</t>
  </si>
  <si>
    <t>Channel_H_Hole_Spacing</t>
  </si>
  <si>
    <t>Channel_Reconnect_W_Hole_Qty</t>
  </si>
  <si>
    <t>Channel_Reconnect_W_Hole_Start</t>
  </si>
  <si>
    <t>Channel_Reconnect_W_Hole_Spacing</t>
  </si>
  <si>
    <t>Channel_Reconnect_H_Hole_Start</t>
  </si>
  <si>
    <t>Channel_Reconnect_H_Hole_Qty</t>
  </si>
  <si>
    <t>Channel_Reconnect_H_Hole_Spacing</t>
  </si>
  <si>
    <t>Angle_Reconnect_W_Hole_Start</t>
  </si>
  <si>
    <t>Angle_Reconnect_W_Hole_Qty</t>
  </si>
  <si>
    <t>Angle_Reconnect_W_Hole_Spacing</t>
  </si>
  <si>
    <t>Angle_Reconnect_H_Hole_Start</t>
  </si>
  <si>
    <t>Angle_Reconnect_H_Hole_Qty</t>
  </si>
  <si>
    <t>Angle_Reconnect_H_Hole_Spacing</t>
  </si>
  <si>
    <t>Channel_Side_Notch_W</t>
  </si>
  <si>
    <t>Notch_W</t>
  </si>
  <si>
    <t>Notch_H</t>
  </si>
  <si>
    <t xml:space="preserve"> STL GALV &lt;&gt; Default, or SST304</t>
  </si>
  <si>
    <t>Corner_Brace_Vert_Dist_1</t>
  </si>
  <si>
    <t>Corner_Brace_Hor_Dist_1</t>
  </si>
  <si>
    <t>Corner_Brace_5</t>
  </si>
  <si>
    <t>Corner_Brace_6</t>
  </si>
  <si>
    <t>Corner_Brace_7</t>
  </si>
  <si>
    <t>Corner_Brace_8</t>
  </si>
  <si>
    <t>Stiffener_Thk</t>
  </si>
  <si>
    <t>Angle_Side_CUW</t>
  </si>
  <si>
    <t>Channel_Side_CUW</t>
  </si>
  <si>
    <r>
      <t xml:space="preserve">STD, CUL, CUWA, CUWC &lt;&gt; Standard </t>
    </r>
    <r>
      <rPr>
        <b/>
        <sz val="10"/>
        <rFont val="Arial"/>
        <family val="2"/>
      </rPr>
      <t>(STD)</t>
    </r>
    <r>
      <rPr>
        <sz val="10"/>
        <rFont val="Arial"/>
        <family val="2"/>
      </rPr>
      <t xml:space="preserve">, Corridor Unit Length </t>
    </r>
    <r>
      <rPr>
        <b/>
        <sz val="10"/>
        <rFont val="Arial"/>
        <family val="2"/>
      </rPr>
      <t>(CUL)</t>
    </r>
    <r>
      <rPr>
        <sz val="10"/>
        <rFont val="Arial"/>
        <family val="2"/>
      </rPr>
      <t>, Corridor Unit Width AHU</t>
    </r>
    <r>
      <rPr>
        <b/>
        <sz val="10"/>
        <rFont val="Arial"/>
        <family val="2"/>
      </rPr>
      <t>(CUWA)</t>
    </r>
    <r>
      <rPr>
        <sz val="10"/>
        <rFont val="Arial"/>
        <family val="2"/>
      </rPr>
      <t>, Corridor Unit Width Corridor</t>
    </r>
    <r>
      <rPr>
        <b/>
        <sz val="10"/>
        <rFont val="Arial"/>
        <family val="2"/>
      </rPr>
      <t>(CUWC)</t>
    </r>
  </si>
  <si>
    <t>CUL_STD_Hole_Dia</t>
  </si>
  <si>
    <t>Corner_BraceO</t>
  </si>
  <si>
    <t>Corner_Brace_GAO</t>
  </si>
  <si>
    <t>Reconnect_GAO</t>
  </si>
  <si>
    <t>Stiffener_GAO</t>
  </si>
  <si>
    <t>Corner_Brace_Countersunk_Hole</t>
  </si>
  <si>
    <t>YES</t>
  </si>
  <si>
    <t>DIST</t>
  </si>
  <si>
    <t>ARRAY_H_DIST_1</t>
  </si>
  <si>
    <t>ARRAY_H_DIST_2</t>
  </si>
  <si>
    <t>ARRAY_H_DIST_3</t>
  </si>
  <si>
    <t>ARRAY_W_DIST_2</t>
  </si>
  <si>
    <t>ARRAY_W_DIST_3</t>
  </si>
  <si>
    <t>ARRAY_W_DIST_4</t>
  </si>
  <si>
    <t>Corner_Brace_9</t>
  </si>
  <si>
    <t>Corner_Brace_10</t>
  </si>
  <si>
    <t>Corner_Brace_11</t>
  </si>
  <si>
    <t>Corner_Brace_12</t>
  </si>
  <si>
    <t>Corner_Brace_13</t>
  </si>
  <si>
    <t>Corner_Brace_14</t>
  </si>
  <si>
    <t>Corner_Brace_15</t>
  </si>
  <si>
    <t>Corner_Brace_16</t>
  </si>
  <si>
    <t>Corner_Brace_17</t>
  </si>
  <si>
    <t>Corner_Brace_18</t>
  </si>
  <si>
    <t>Corner_Brace_19</t>
  </si>
  <si>
    <t>Corner_Brace_20</t>
  </si>
  <si>
    <t>Corner_Brace_21</t>
  </si>
  <si>
    <t>Corner_Brace_22</t>
  </si>
  <si>
    <t>Corner_Brace_23</t>
  </si>
  <si>
    <t>Corner_Brace_24</t>
  </si>
  <si>
    <t>Corner_Brace_25</t>
  </si>
  <si>
    <t>Corner_Brace_26</t>
  </si>
  <si>
    <t>Corner_Brace_27</t>
  </si>
  <si>
    <t>Corner_Brace_28</t>
  </si>
  <si>
    <t>Corner_Brace_29</t>
  </si>
  <si>
    <t>Corner_Brace_30</t>
  </si>
  <si>
    <t>Corner_Brace_31</t>
  </si>
  <si>
    <t>Corner_Brace_32</t>
  </si>
  <si>
    <t>Corner_Brace_33</t>
  </si>
  <si>
    <t>Corner_Brace_34</t>
  </si>
  <si>
    <t>Corner_Brace_35</t>
  </si>
  <si>
    <t>Corner_Brace_36</t>
  </si>
  <si>
    <t>Corner_Brace_37</t>
  </si>
  <si>
    <t>Corner_Brace_38</t>
  </si>
  <si>
    <t>Corner_Brace_39</t>
  </si>
  <si>
    <t>Corner_Brace_40</t>
  </si>
  <si>
    <t>Corner_Brace_41</t>
  </si>
  <si>
    <t>Corner_Brace_42</t>
  </si>
  <si>
    <t>Corner_Brace_43</t>
  </si>
  <si>
    <t>Corner_Brace_44</t>
  </si>
  <si>
    <t>Corner_Brace_45</t>
  </si>
  <si>
    <t>Corner_Brace_46</t>
  </si>
  <si>
    <t>Corner_Brace_47</t>
  </si>
  <si>
    <t>Corner_Brace_48</t>
  </si>
  <si>
    <t>Angle_L_2</t>
  </si>
  <si>
    <t>Angle_R_2</t>
  </si>
  <si>
    <t>Angle_L_3</t>
  </si>
  <si>
    <t>Angle_R_3</t>
  </si>
  <si>
    <t>Angle_BTM_2</t>
  </si>
  <si>
    <t>Angle_BTM_3</t>
  </si>
  <si>
    <t>Angle_TOP</t>
  </si>
  <si>
    <t>Angle_TOP_2</t>
  </si>
  <si>
    <t>Angle_TOP_3</t>
  </si>
  <si>
    <t>Angle_BTM_4</t>
  </si>
  <si>
    <t>Angle_TOP_4</t>
  </si>
  <si>
    <t>ARRAY_W_DIST_1</t>
  </si>
  <si>
    <t>Int_Angle_BTM_1</t>
  </si>
  <si>
    <t>Int_Angle_TOP_2</t>
  </si>
  <si>
    <t>Int_Angle_BTM_3</t>
  </si>
  <si>
    <t>Int_Angle_TOP_4</t>
  </si>
  <si>
    <t>Int_Angle_BTM_5</t>
  </si>
  <si>
    <t>Int_Angle_TOP_6</t>
  </si>
  <si>
    <t>Int_Angle_BTM_7</t>
  </si>
  <si>
    <t>Int_Angle_TOP_8</t>
  </si>
  <si>
    <t>Int_LR_Angle_X_DIST</t>
  </si>
  <si>
    <t>Int_TB_Angle_Y_DIST</t>
  </si>
  <si>
    <t>Int_Angle_BTM_2</t>
  </si>
  <si>
    <t>Int_Angle_BTM_4</t>
  </si>
  <si>
    <t>Int_Angle_BTM_6</t>
  </si>
  <si>
    <t>Int_Angle_BTM_8</t>
  </si>
  <si>
    <t>Int_Angle_TOP_1</t>
  </si>
  <si>
    <t>Int_Angle_TOP_3</t>
  </si>
  <si>
    <t>Int_Angle_TOP_5</t>
  </si>
  <si>
    <t>Int_Angle_TOP_7</t>
  </si>
  <si>
    <t>3W</t>
  </si>
  <si>
    <t>4W</t>
  </si>
  <si>
    <t>Int_Angle_L_1</t>
  </si>
  <si>
    <t>Int_Angle_R_2</t>
  </si>
  <si>
    <t>Int_Angle_L_3</t>
  </si>
  <si>
    <t>Int_Angle_R_4</t>
  </si>
  <si>
    <t>Int_Angle_L_5</t>
  </si>
  <si>
    <t>Int_Angle_R_6</t>
  </si>
  <si>
    <t>Int_Angle_L_7</t>
  </si>
  <si>
    <t>Int_Angle_R_8</t>
  </si>
  <si>
    <t>Int_Angle_L_9</t>
  </si>
  <si>
    <t>Int_Angle_R_10</t>
  </si>
  <si>
    <t>Int_Angle_L_11</t>
  </si>
  <si>
    <t>Int_Angle_R_12</t>
  </si>
  <si>
    <t>Int_Angle_L_13</t>
  </si>
  <si>
    <t>Int_Angle_R_14</t>
  </si>
  <si>
    <t>Int_Angle_L_15</t>
  </si>
  <si>
    <t>Int_Angle_R_16</t>
  </si>
  <si>
    <t>Int_Angle_L_17</t>
  </si>
  <si>
    <t>Int_Angle_R_18</t>
  </si>
  <si>
    <t>Reconnect_Array_HO</t>
  </si>
  <si>
    <t>Reconnect_Array_WO</t>
  </si>
  <si>
    <t>Corner_Brace_X_LOC_1</t>
  </si>
  <si>
    <t>Corner_Brace_X_LOC_2</t>
  </si>
  <si>
    <t>Corner_Brace_X_LOC_3</t>
  </si>
  <si>
    <t>Corner_Brace_X_LOC_4</t>
  </si>
  <si>
    <t>Corner_Brace_X_LOC_5</t>
  </si>
  <si>
    <t>Corner_Brace_X_LOC_6</t>
  </si>
  <si>
    <t>Corner_Brace_X_LOC_7</t>
  </si>
  <si>
    <t>Corner_Brace_X_LOC_8</t>
  </si>
  <si>
    <t>Corner_Brace_Y_LOC_1</t>
  </si>
  <si>
    <t>Corner_Brace_Y_LOC_2</t>
  </si>
  <si>
    <t>Corner_Brace_Y_LOC_3</t>
  </si>
  <si>
    <t>Corner_Brace_Y_LOC_4</t>
  </si>
  <si>
    <t>Corner_Brace_Y_LOC_5</t>
  </si>
  <si>
    <t>Corner_Brace_Y_LOC_6</t>
  </si>
  <si>
    <t>Corner_Brace_Z_LOC</t>
  </si>
  <si>
    <t>Stiffener_1</t>
  </si>
  <si>
    <t>Stiffener_2</t>
  </si>
  <si>
    <t>Stiffener_Hole_CLR</t>
  </si>
  <si>
    <t>BendRadius</t>
  </si>
  <si>
    <t>Stiffener_X_LOC_1</t>
  </si>
  <si>
    <t>Stiffener_X_LOC_2</t>
  </si>
  <si>
    <t>Stiffener_X_LOC_3</t>
  </si>
  <si>
    <t>Stiffener_X_LOC_4</t>
  </si>
  <si>
    <t>Stiffener_3</t>
  </si>
  <si>
    <t>Stiffener_4</t>
  </si>
  <si>
    <t>ARRAY_W_DIST_Start</t>
  </si>
  <si>
    <t>ARRAY_H_DIST_TOP</t>
  </si>
  <si>
    <t>Int_Vert_Dist_1</t>
  </si>
  <si>
    <t>Int_Vert_Dist_2</t>
  </si>
  <si>
    <t>Int_Vert_Dist_3</t>
  </si>
  <si>
    <t>Int_Vert_Dist_4</t>
  </si>
  <si>
    <t>Int_Vert_Dist_5</t>
  </si>
  <si>
    <t>Int_Vert_Dist_6</t>
  </si>
  <si>
    <t>Int_Vert_Dist_7</t>
  </si>
  <si>
    <t>Int_Vert_Dist_8</t>
  </si>
  <si>
    <t>Int_Vert_Sup</t>
  </si>
  <si>
    <t>Stiffener_2H_1</t>
  </si>
  <si>
    <t>Stiffener_2H_2</t>
  </si>
  <si>
    <t>Stiffener_2H_3</t>
  </si>
  <si>
    <t>Stiffener_2H_4</t>
  </si>
  <si>
    <t>Stiffener_3H_1</t>
  </si>
  <si>
    <t>Stiffener_3H_2</t>
  </si>
  <si>
    <t>Stiffener_3H_3</t>
  </si>
  <si>
    <t>Stiffener_3H_4</t>
  </si>
  <si>
    <t>Stiffener_Y_Hole_LOC</t>
  </si>
  <si>
    <t>Seam_X_LOC</t>
  </si>
  <si>
    <t>Seam_L</t>
  </si>
  <si>
    <t>Seam_Hole_To_CTR</t>
  </si>
  <si>
    <t>Seam_W</t>
  </si>
  <si>
    <t>Seam_Notch_W</t>
  </si>
  <si>
    <t>Seam_Notch_L</t>
  </si>
  <si>
    <t>Seam Split BTM Flat</t>
  </si>
  <si>
    <t>Stiffener_Y_DIST</t>
  </si>
  <si>
    <t>Stiffener_Y_Side_Hole_LOC</t>
  </si>
  <si>
    <t>Stiffener_Side_Hole</t>
  </si>
  <si>
    <t>Stiffener_Y_DIST_2</t>
  </si>
  <si>
    <t>Stiffener_Y_DIST_3</t>
  </si>
  <si>
    <t>Stamped Feature</t>
  </si>
  <si>
    <t>Channel LOC TAB</t>
  </si>
  <si>
    <t>Corner_Brace_X_Hole_Start_1</t>
  </si>
  <si>
    <t>Corner_Brace_X_Hole_Start_2</t>
  </si>
  <si>
    <t>Corner_Brace_X_Hole_Start_3</t>
  </si>
  <si>
    <t>Corner_Brace_X_Hole_Start_4</t>
  </si>
  <si>
    <t>Corner_Brace_X_Hole_Start_5</t>
  </si>
  <si>
    <t>Corner_Brace_X_Hole_Start_6</t>
  </si>
  <si>
    <t>Corner_Brace_X_Hole_Start_7</t>
  </si>
  <si>
    <t>Corner_Brace_X_Hole_Start_8</t>
  </si>
  <si>
    <t>Reconnect_X_Hole_Start_1</t>
  </si>
  <si>
    <t>Reconnect_X_Hole_Start_2</t>
  </si>
  <si>
    <t>Reconnect_X_Hole_Start_3</t>
  </si>
  <si>
    <t>Reconnect_X_Hole_Start_4</t>
  </si>
  <si>
    <t>Reconnect_X_Hole_Qty</t>
  </si>
  <si>
    <t>Reconnect_Y_Hole_Start_1</t>
  </si>
  <si>
    <t>Reconnect_Y_Hole_Start_2</t>
  </si>
  <si>
    <t>Reconnect_Y_Hole_Start_3</t>
  </si>
  <si>
    <t>Reconnect_Y_Hole_Qty</t>
  </si>
  <si>
    <t>Small_Feature_Angle</t>
  </si>
  <si>
    <t>Feature_H</t>
  </si>
  <si>
    <t>Feature_Dia</t>
  </si>
  <si>
    <t>Location</t>
  </si>
  <si>
    <t>1W BTM-R</t>
  </si>
  <si>
    <t>1W BTM-L</t>
  </si>
  <si>
    <t>1W TOP-R</t>
  </si>
  <si>
    <t>1W TOP-L</t>
  </si>
  <si>
    <t>2H</t>
  </si>
  <si>
    <t>2W or 2H</t>
  </si>
  <si>
    <t>3W or 2H</t>
  </si>
  <si>
    <t>2H-3W</t>
  </si>
  <si>
    <t>2H-4W</t>
  </si>
  <si>
    <t>&gt;=3H</t>
  </si>
  <si>
    <t>3H-2W</t>
  </si>
  <si>
    <t>3H-3W</t>
  </si>
  <si>
    <t>3H-4W</t>
  </si>
  <si>
    <t xml:space="preserve">2W </t>
  </si>
  <si>
    <t xml:space="preserve">2H </t>
  </si>
  <si>
    <t>2H-2W or&gt;=3H</t>
  </si>
  <si>
    <t>2H-2W or3W</t>
  </si>
  <si>
    <t>2H-2Wor3W</t>
  </si>
  <si>
    <t>Seam_Hole_Array_Qty</t>
  </si>
  <si>
    <t>Seam_Hole_Array_DIST</t>
  </si>
  <si>
    <t>Seam_Hole_Start</t>
  </si>
  <si>
    <t>Seam_Notch_W_2</t>
  </si>
  <si>
    <t>Channel_Corner_Brace_Start_Hole_2</t>
  </si>
  <si>
    <t>Channel_Corner_Brace_Start_Hole_1</t>
  </si>
  <si>
    <t>QTY</t>
  </si>
  <si>
    <t>0 = Default for 12GA, Any valid acceptable GA</t>
  </si>
  <si>
    <t>BASELINE</t>
  </si>
  <si>
    <t>6.5" or 9"</t>
  </si>
  <si>
    <t>Angle_Reconnect_Side_CB_Start_Hole</t>
  </si>
  <si>
    <t>Valid Height per tunnel Max Height is 142.5" for 1 Reconnect High= Max sheet size</t>
  </si>
  <si>
    <t>Angle_LR_CUL</t>
  </si>
  <si>
    <t>Corner_Brace_CLR_Holes</t>
  </si>
  <si>
    <t>CTR_Hole_DIA</t>
  </si>
  <si>
    <t>Hole_Spacing "REF" Seismic</t>
  </si>
  <si>
    <t>BASELINE = Default &lt;&gt; Changes the hole spacing</t>
  </si>
  <si>
    <t>Reconnect_X_Hole_Spacing</t>
  </si>
  <si>
    <t>Corner_Brace_Y_Hole_Start_1</t>
  </si>
  <si>
    <t>Corner_Brace_Y_Hole_Start_2</t>
  </si>
  <si>
    <t>Corner_Brace_Y_Hole_Start_3</t>
  </si>
  <si>
    <t>Corner_Brace_Y_Hole_Start_4</t>
  </si>
  <si>
    <t>Corner_Brace_Y_Hole_Start_5</t>
  </si>
  <si>
    <t>Corner_Brace_Y_Hole_Start_6</t>
  </si>
  <si>
    <t>Corner_Brace_Y_Hole_Qty</t>
  </si>
  <si>
    <t>Corner_Brace_Y_Hole_Spacing</t>
  </si>
  <si>
    <t>Reconnect_Y_Hole_Spacing</t>
  </si>
  <si>
    <t>Seam_BTM_Z_LOC</t>
  </si>
  <si>
    <t>Seam_BTM_Y_Hole_Start</t>
  </si>
  <si>
    <t>Seam_BTM_Y_Hole_Qty</t>
  </si>
  <si>
    <t>Seam_BTM_Y_Hole_Spacing</t>
  </si>
  <si>
    <t>1 = Default, 1 2 or 3 &lt;&gt; Works for Valid STD "Reconnect_Type" only</t>
  </si>
  <si>
    <t>1 = Default, 1 2 3 or 4 &lt;&gt; Works for Valid STD "Reconnect_Type" only</t>
  </si>
  <si>
    <t>Construction</t>
  </si>
  <si>
    <t>MaterialStyle</t>
  </si>
  <si>
    <t>Corner Braces</t>
  </si>
  <si>
    <t>Flat BTM - Only used for CUWA, or CUWC</t>
  </si>
  <si>
    <t>Bottom (Angle, Channel)</t>
  </si>
  <si>
    <t>Top (Angle, Channel)</t>
  </si>
  <si>
    <t>Left Side (Angle, Channel)</t>
  </si>
  <si>
    <t>Right Side (Angle, Channel)</t>
  </si>
  <si>
    <t>STL_GALV</t>
  </si>
  <si>
    <t>SST</t>
  </si>
  <si>
    <t>BTM_Seam</t>
  </si>
  <si>
    <t>Channel_CB_X_Start_Hole</t>
  </si>
  <si>
    <t>Channel_CB_Y_Start_Hole</t>
  </si>
  <si>
    <t>YES or NO &lt;&gt; YES is Deafult</t>
  </si>
  <si>
    <t>Z_Location</t>
  </si>
  <si>
    <t>Valid Width per tunnel &lt;&gt; Max. 120" Width for CUWA and CUWC</t>
  </si>
  <si>
    <t>Z_Location_CUW, CUL</t>
  </si>
  <si>
    <t>Angle_Reconnect_Z_Hole_DOA</t>
  </si>
  <si>
    <t>Angle_Reconnect_Z_Hole_Inward_FLG</t>
  </si>
  <si>
    <t>Channel_Reconnect_Z_Hole_Inward_FLG</t>
  </si>
  <si>
    <t>Channel_Reconnect_Z_Hole_DOA_FLG</t>
  </si>
  <si>
    <t>Tunnel_H</t>
  </si>
  <si>
    <t>Tunnel_W</t>
  </si>
  <si>
    <t>Stiffener_Z_Hole_LOC</t>
  </si>
  <si>
    <t>Seam_THK_CLR</t>
  </si>
  <si>
    <t>Angle_Reconnect_FLG_2</t>
  </si>
  <si>
    <t>Seam_Angle_FLG_2_THK</t>
  </si>
  <si>
    <t>Seam_Angle_Inward_FLG_THK</t>
  </si>
  <si>
    <t>Stamped_Hole_Cut_DIA</t>
  </si>
  <si>
    <t>YES or NO = Default &lt;&gt; Used only for CUWA or CUWC, Bottom Seam Cover</t>
  </si>
  <si>
    <t>Angle_Reconnect_STD_CUL_Hole_Dia</t>
  </si>
  <si>
    <t>Angle_Reconnect_CUL_Hole_Dia</t>
  </si>
  <si>
    <t>STL HOT ROLL</t>
  </si>
  <si>
    <t>R-777</t>
  </si>
  <si>
    <t>ALM SHT</t>
  </si>
  <si>
    <t>GALV PRFA</t>
  </si>
  <si>
    <t>GALV PRFD</t>
  </si>
  <si>
    <t>GALV PRFE</t>
  </si>
  <si>
    <t>GALV PRFG</t>
  </si>
  <si>
    <t>GALV PRFF</t>
  </si>
  <si>
    <t>GALV PRFH</t>
  </si>
  <si>
    <t>ALM PRF</t>
  </si>
  <si>
    <t>ALM PRFA</t>
  </si>
  <si>
    <t>ALM PRFB</t>
  </si>
  <si>
    <t>GALV EXPA</t>
  </si>
  <si>
    <t>GALV EXPB</t>
  </si>
  <si>
    <t>GALV EXPBY</t>
  </si>
  <si>
    <t>ALM EXP</t>
  </si>
  <si>
    <t>ALM EMB</t>
  </si>
  <si>
    <t>ALM GRATE</t>
  </si>
  <si>
    <t>GALV GRATE</t>
  </si>
  <si>
    <t>Sheet, Cloth</t>
  </si>
  <si>
    <t>19</t>
  </si>
  <si>
    <t>.04</t>
  </si>
  <si>
    <t>005 07112 041</t>
  </si>
  <si>
    <t>Cloth, Hdw, Glv, .5 x .5 x .04</t>
  </si>
  <si>
    <t>Galv</t>
  </si>
  <si>
    <t>GALV CLOTH</t>
  </si>
  <si>
    <t>GLVC040A</t>
  </si>
  <si>
    <t>STL DIA HR</t>
  </si>
  <si>
    <t>ALM DIA</t>
  </si>
  <si>
    <t>ALMB DIA</t>
  </si>
  <si>
    <t>GALV CORA</t>
  </si>
  <si>
    <t>Z_Location_CTR_Hole</t>
  </si>
  <si>
    <t>JC</t>
  </si>
  <si>
    <t>Countersink_Engagement_Hole</t>
  </si>
  <si>
    <t>Countersink_Callout_Hole</t>
  </si>
  <si>
    <t>Countersink_Callout_Depth</t>
  </si>
  <si>
    <t>Countersink_XY_DIST</t>
  </si>
  <si>
    <t>Countersink_1_DIST</t>
  </si>
  <si>
    <t>Countersink_2_DIST</t>
  </si>
  <si>
    <t>Corner_Relief_H</t>
  </si>
  <si>
    <t>Stiffener_Cutout</t>
  </si>
  <si>
    <t>Asy_End_Relief</t>
  </si>
  <si>
    <t>Z_Location_BTM</t>
  </si>
  <si>
    <t>Stiffener_CTR_Y_DIST_BTM</t>
  </si>
  <si>
    <t>Stiffener_CTR_Y_DIST_Top</t>
  </si>
  <si>
    <t>Z_Location_STD_Top</t>
  </si>
  <si>
    <t>ROOF_CHAN_16</t>
  </si>
  <si>
    <t>NO</t>
  </si>
  <si>
    <t>FLOOR_CHAN_21</t>
  </si>
  <si>
    <t>Corner_Brace_Hole_DIA</t>
  </si>
  <si>
    <t>3H</t>
  </si>
  <si>
    <t>4w, &gt;2H</t>
  </si>
  <si>
    <t>0 = Bolted Side to nearest split, Anything &gt; than 0 = Bolted Side away split &lt;&gt; Bolted Side = Butts the adjacent skid</t>
  </si>
  <si>
    <t>Stiffener Holes</t>
  </si>
  <si>
    <t>STD</t>
  </si>
  <si>
    <t>18-9947</t>
  </si>
  <si>
    <t>NEW, YC, INITIAL RELEASE</t>
  </si>
  <si>
    <t>W. Oberholzer</t>
  </si>
  <si>
    <t>Errors on Sheet 1</t>
  </si>
  <si>
    <t>Negative Values on Sheet</t>
  </si>
  <si>
    <t>Errors on Sheet1</t>
  </si>
  <si>
    <t>Negative Values on Sheet1</t>
  </si>
  <si>
    <t>STD, CUL, CUWA, CUWC</t>
  </si>
  <si>
    <t>STL GALV, SST304</t>
  </si>
  <si>
    <t>YES, NO</t>
  </si>
  <si>
    <t>1, 2, 3</t>
  </si>
  <si>
    <t>1, 2, 3, 4</t>
  </si>
  <si>
    <t>A</t>
  </si>
  <si>
    <t>ADDED DATA TAB COLUMN D DROP DOWN VALUES</t>
  </si>
  <si>
    <t>PS</t>
  </si>
  <si>
    <t>19-10292</t>
  </si>
  <si>
    <t>X_Location_Stiff_Hole_T_B_1</t>
  </si>
  <si>
    <t>X_Location_Stiff_Hole_T_B_2</t>
  </si>
  <si>
    <t>X_Location_Stiff_Hole_T_B_3</t>
  </si>
  <si>
    <t>X_Location_Stiff_Hole_T_B_4</t>
  </si>
  <si>
    <t>Z_Location_Stiff_Hole_Top</t>
  </si>
  <si>
    <t>Z_Location_Stiff_Hole_Btm</t>
  </si>
  <si>
    <t>Floor_Clearance_Hole_Dia</t>
  </si>
  <si>
    <t>#12 Hardware</t>
  </si>
  <si>
    <t>'18-14 ga. (&gt;=.04 and &lt;=.09 thickness)</t>
  </si>
  <si>
    <t>'12 ga and up (&gt;.09 thickness)</t>
  </si>
  <si>
    <t>B</t>
  </si>
  <si>
    <t>UPDATED FLOOR MOUNTING CLEARANCE HOLES</t>
  </si>
  <si>
    <t>MJG</t>
  </si>
  <si>
    <t>24-11527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</si>
</sst>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dd\-mmm\-yy_)"/>
  </numFmts>
  <fonts count="21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14"/>
      <color indexed="81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3" fillId="0" borderId="0"/>
    <xf numFmtId="0" fontId="16" fillId="0" borderId="0"/>
    <xf numFmtId="0" fontId="1" fillId="0" borderId="0"/>
    <xf numFmtId="0" fontId="5" fillId="0" borderId="0"/>
  </cellStyleXfs>
  <cellXfs count="50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4" xfId="0" applyFont="1" applyBorder="1"/>
    <xf numFmtId="0" fontId="3" fillId="0" borderId="4" xfId="0" applyFont="1" applyBorder="1"/>
    <xf numFmtId="0" fontId="0" fillId="0" borderId="0" xfId="0" applyAlignment="1">
      <alignment horizontal="center" vertical="center" wrapText="1"/>
    </xf>
    <xf numFmtId="0" fontId="18" fillId="0" borderId="7" xfId="0" applyFont="1" applyBorder="1" applyAlignment="1">
      <alignment horizontal="center"/>
    </xf>
    <xf numFmtId="0" fontId="3" fillId="0" borderId="11" xfId="3" applyBorder="1" applyProtection="1">
      <protection locked="0"/>
    </xf>
    <xf numFmtId="0" fontId="16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4" fillId="0" borderId="4" xfId="0" quotePrefix="1" applyFont="1" applyBorder="1"/>
    <xf numFmtId="16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3" fillId="0" borderId="4" xfId="6" applyFont="1" applyBorder="1"/>
    <xf numFmtId="164" fontId="3" fillId="0" borderId="4" xfId="6" applyNumberFormat="1" applyFont="1" applyBorder="1" applyAlignment="1">
      <alignment horizontal="left"/>
    </xf>
    <xf numFmtId="164" fontId="0" fillId="0" borderId="4" xfId="0" applyNumberFormat="1" applyBorder="1" applyAlignment="1">
      <alignment horizontal="left"/>
    </xf>
    <xf numFmtId="164" fontId="0" fillId="0" borderId="0" xfId="0" applyNumberFormat="1" applyAlignment="1">
      <alignment horizontal="center"/>
    </xf>
    <xf numFmtId="0" fontId="4" fillId="0" borderId="11" xfId="7" applyFont="1" applyBorder="1" applyAlignment="1">
      <alignment horizontal="center"/>
    </xf>
    <xf numFmtId="165" fontId="4" fillId="0" borderId="11" xfId="7" applyNumberFormat="1" applyFont="1" applyBorder="1" applyAlignment="1">
      <alignment horizontal="center"/>
    </xf>
    <xf numFmtId="0" fontId="5" fillId="0" borderId="0" xfId="7"/>
    <xf numFmtId="0" fontId="3" fillId="0" borderId="0" xfId="4" applyFont="1"/>
    <xf numFmtId="0" fontId="3" fillId="0" borderId="0" xfId="4" applyFont="1" applyAlignment="1">
      <alignment horizontal="left"/>
    </xf>
    <xf numFmtId="0" fontId="3" fillId="0" borderId="0" xfId="4" applyFont="1" applyAlignment="1">
      <alignment horizontal="center"/>
    </xf>
    <xf numFmtId="165" fontId="3" fillId="0" borderId="0" xfId="4" applyNumberFormat="1" applyFont="1" applyAlignment="1">
      <alignment horizontal="center"/>
    </xf>
    <xf numFmtId="0" fontId="3" fillId="0" borderId="0" xfId="4" applyFont="1" applyAlignment="1">
      <alignment wrapText="1"/>
    </xf>
    <xf numFmtId="0" fontId="9" fillId="0" borderId="14" xfId="4" applyFont="1" applyBorder="1"/>
    <xf numFmtId="0" fontId="3" fillId="0" borderId="15" xfId="4" applyFont="1" applyBorder="1"/>
    <xf numFmtId="0" fontId="9" fillId="0" borderId="15" xfId="4" applyFont="1" applyBorder="1" applyAlignment="1">
      <alignment horizontal="left"/>
    </xf>
    <xf numFmtId="0" fontId="10" fillId="0" borderId="15" xfId="4" applyFont="1" applyBorder="1"/>
    <xf numFmtId="0" fontId="3" fillId="0" borderId="15" xfId="4" applyFont="1" applyBorder="1" applyAlignment="1">
      <alignment horizontal="center"/>
    </xf>
    <xf numFmtId="165" fontId="3" fillId="0" borderId="15" xfId="4" applyNumberFormat="1" applyFont="1" applyBorder="1" applyAlignment="1">
      <alignment horizontal="center"/>
    </xf>
    <xf numFmtId="0" fontId="11" fillId="0" borderId="15" xfId="4" applyFont="1" applyBorder="1" applyAlignment="1">
      <alignment horizontal="center"/>
    </xf>
    <xf numFmtId="0" fontId="3" fillId="0" borderId="16" xfId="4" applyFont="1" applyBorder="1"/>
    <xf numFmtId="0" fontId="4" fillId="0" borderId="0" xfId="4" applyFont="1" applyAlignment="1">
      <alignment horizontal="center" wrapText="1"/>
    </xf>
    <xf numFmtId="0" fontId="4" fillId="0" borderId="17" xfId="4" applyFont="1" applyBorder="1" applyAlignment="1">
      <alignment horizontal="center" wrapText="1"/>
    </xf>
    <xf numFmtId="49" fontId="6" fillId="0" borderId="18" xfId="4" applyNumberFormat="1" applyFont="1" applyBorder="1" applyAlignment="1">
      <alignment horizontal="center" vertical="top" wrapText="1"/>
    </xf>
    <xf numFmtId="49" fontId="6" fillId="0" borderId="19" xfId="4" applyNumberFormat="1" applyFont="1" applyBorder="1" applyAlignment="1">
      <alignment horizontal="center" vertical="center" wrapText="1"/>
    </xf>
    <xf numFmtId="165" fontId="6" fillId="0" borderId="19" xfId="4" applyNumberFormat="1" applyFont="1" applyBorder="1" applyAlignment="1">
      <alignment horizontal="center" vertical="center" wrapText="1"/>
    </xf>
    <xf numFmtId="49" fontId="4" fillId="0" borderId="19" xfId="4" applyNumberFormat="1" applyFont="1" applyBorder="1" applyAlignment="1">
      <alignment horizontal="center" vertical="center" wrapText="1"/>
    </xf>
    <xf numFmtId="0" fontId="4" fillId="0" borderId="19" xfId="4" applyFont="1" applyBorder="1" applyAlignment="1">
      <alignment horizontal="center" vertical="center" wrapText="1"/>
    </xf>
    <xf numFmtId="49" fontId="4" fillId="0" borderId="20" xfId="4" applyNumberFormat="1" applyFont="1" applyBorder="1" applyAlignment="1">
      <alignment horizontal="center" vertical="center" wrapText="1"/>
    </xf>
    <xf numFmtId="0" fontId="4" fillId="0" borderId="16" xfId="4" applyFont="1" applyBorder="1" applyAlignment="1">
      <alignment horizontal="center" wrapText="1"/>
    </xf>
    <xf numFmtId="0" fontId="4" fillId="0" borderId="19" xfId="4" applyFont="1" applyBorder="1" applyAlignment="1">
      <alignment horizontal="center"/>
    </xf>
    <xf numFmtId="0" fontId="4" fillId="0" borderId="17" xfId="4" applyFont="1" applyBorder="1" applyAlignment="1">
      <alignment horizontal="center"/>
    </xf>
    <xf numFmtId="0" fontId="6" fillId="0" borderId="21" xfId="4" applyFont="1" applyBorder="1" applyAlignment="1">
      <alignment horizontal="center" vertical="top"/>
    </xf>
    <xf numFmtId="0" fontId="6" fillId="0" borderId="18" xfId="4" applyFont="1" applyBorder="1" applyAlignment="1">
      <alignment horizontal="center" vertical="center"/>
    </xf>
    <xf numFmtId="0" fontId="4" fillId="0" borderId="18" xfId="4" applyFont="1" applyBorder="1" applyAlignment="1">
      <alignment horizontal="center" vertical="center"/>
    </xf>
    <xf numFmtId="0" fontId="4" fillId="0" borderId="16" xfId="4" applyFont="1" applyBorder="1" applyAlignment="1">
      <alignment horizontal="center"/>
    </xf>
    <xf numFmtId="0" fontId="4" fillId="0" borderId="0" xfId="4" applyFont="1" applyAlignment="1">
      <alignment horizontal="center"/>
    </xf>
    <xf numFmtId="0" fontId="4" fillId="0" borderId="18" xfId="4" applyFont="1" applyBorder="1" applyAlignment="1">
      <alignment horizontal="center"/>
    </xf>
    <xf numFmtId="0" fontId="12" fillId="0" borderId="16" xfId="4" applyFont="1" applyBorder="1" applyAlignment="1">
      <alignment horizontal="left" vertical="center"/>
    </xf>
    <xf numFmtId="0" fontId="6" fillId="0" borderId="15" xfId="4" applyFont="1" applyBorder="1" applyAlignment="1">
      <alignment horizontal="center" vertical="center"/>
    </xf>
    <xf numFmtId="0" fontId="4" fillId="0" borderId="15" xfId="4" applyFont="1" applyBorder="1" applyAlignment="1">
      <alignment horizontal="center" vertical="center"/>
    </xf>
    <xf numFmtId="0" fontId="3" fillId="0" borderId="17" xfId="4" applyFont="1" applyBorder="1" applyAlignment="1">
      <alignment horizontal="center"/>
    </xf>
    <xf numFmtId="0" fontId="6" fillId="0" borderId="16" xfId="4" applyFont="1" applyBorder="1" applyAlignment="1">
      <alignment horizontal="center" vertical="top"/>
    </xf>
    <xf numFmtId="0" fontId="3" fillId="0" borderId="17" xfId="4" applyFont="1" applyBorder="1"/>
    <xf numFmtId="49" fontId="7" fillId="0" borderId="17" xfId="4" applyNumberFormat="1" applyFont="1" applyBorder="1" applyAlignment="1">
      <alignment horizontal="left" vertical="top"/>
    </xf>
    <xf numFmtId="0" fontId="3" fillId="0" borderId="21" xfId="4" applyFont="1" applyBorder="1" applyAlignment="1">
      <alignment horizontal="center"/>
    </xf>
    <xf numFmtId="49" fontId="7" fillId="0" borderId="17" xfId="4" applyNumberFormat="1" applyFont="1" applyBorder="1" applyAlignment="1">
      <alignment horizontal="center" vertical="top"/>
    </xf>
    <xf numFmtId="49" fontId="7" fillId="0" borderId="22" xfId="4" applyNumberFormat="1" applyFont="1" applyBorder="1" applyAlignment="1">
      <alignment horizontal="left" vertical="top"/>
    </xf>
    <xf numFmtId="49" fontId="12" fillId="0" borderId="14" xfId="4" applyNumberFormat="1" applyFont="1" applyBorder="1" applyAlignment="1">
      <alignment horizontal="left" vertical="center"/>
    </xf>
    <xf numFmtId="0" fontId="3" fillId="0" borderId="18" xfId="4" applyFont="1" applyBorder="1" applyAlignment="1">
      <alignment horizontal="center"/>
    </xf>
    <xf numFmtId="49" fontId="12" fillId="0" borderId="17" xfId="4" applyNumberFormat="1" applyFont="1" applyBorder="1" applyAlignment="1">
      <alignment horizontal="left" vertical="center"/>
    </xf>
    <xf numFmtId="49" fontId="7" fillId="0" borderId="16" xfId="4" applyNumberFormat="1" applyFont="1" applyBorder="1" applyAlignment="1">
      <alignment horizontal="left" vertical="top"/>
    </xf>
    <xf numFmtId="49" fontId="12" fillId="0" borderId="16" xfId="4" applyNumberFormat="1" applyFont="1" applyBorder="1" applyAlignment="1">
      <alignment horizontal="left" vertical="center"/>
    </xf>
    <xf numFmtId="49" fontId="7" fillId="0" borderId="22" xfId="4" applyNumberFormat="1" applyFont="1" applyBorder="1" applyAlignment="1">
      <alignment horizontal="left" vertical="center"/>
    </xf>
    <xf numFmtId="0" fontId="3" fillId="0" borderId="19" xfId="4" applyFont="1" applyBorder="1" applyAlignment="1">
      <alignment horizontal="center"/>
    </xf>
    <xf numFmtId="49" fontId="3" fillId="0" borderId="16" xfId="4" applyNumberFormat="1" applyFont="1" applyBorder="1" applyAlignment="1">
      <alignment vertical="top"/>
    </xf>
    <xf numFmtId="49" fontId="7" fillId="0" borderId="16" xfId="4" applyNumberFormat="1" applyFont="1" applyBorder="1" applyAlignment="1">
      <alignment vertical="top"/>
    </xf>
    <xf numFmtId="0" fontId="3" fillId="0" borderId="21" xfId="4" applyFont="1" applyBorder="1"/>
    <xf numFmtId="0" fontId="3" fillId="0" borderId="22" xfId="4" applyFont="1" applyBorder="1"/>
    <xf numFmtId="0" fontId="3" fillId="0" borderId="0" xfId="2"/>
    <xf numFmtId="0" fontId="3" fillId="0" borderId="0" xfId="2" applyAlignment="1">
      <alignment horizontal="left"/>
    </xf>
    <xf numFmtId="0" fontId="3" fillId="0" borderId="0" xfId="2" applyAlignment="1">
      <alignment horizontal="center"/>
    </xf>
    <xf numFmtId="165" fontId="3" fillId="0" borderId="0" xfId="2" applyNumberFormat="1" applyAlignment="1">
      <alignment horizontal="center"/>
    </xf>
    <xf numFmtId="0" fontId="3" fillId="0" borderId="0" xfId="2" applyAlignment="1">
      <alignment wrapText="1"/>
    </xf>
    <xf numFmtId="0" fontId="9" fillId="0" borderId="14" xfId="2" applyFont="1" applyBorder="1"/>
    <xf numFmtId="0" fontId="3" fillId="0" borderId="15" xfId="2" applyBorder="1"/>
    <xf numFmtId="0" fontId="9" fillId="0" borderId="15" xfId="2" applyFont="1" applyBorder="1" applyAlignment="1">
      <alignment horizontal="left"/>
    </xf>
    <xf numFmtId="0" fontId="10" fillId="0" borderId="15" xfId="2" applyFont="1" applyBorder="1"/>
    <xf numFmtId="0" fontId="3" fillId="0" borderId="15" xfId="2" applyBorder="1" applyAlignment="1">
      <alignment horizontal="center"/>
    </xf>
    <xf numFmtId="165" fontId="3" fillId="0" borderId="15" xfId="2" applyNumberFormat="1" applyBorder="1" applyAlignment="1">
      <alignment horizontal="center"/>
    </xf>
    <xf numFmtId="0" fontId="11" fillId="0" borderId="15" xfId="2" applyFont="1" applyBorder="1" applyAlignment="1">
      <alignment horizontal="center"/>
    </xf>
    <xf numFmtId="0" fontId="3" fillId="0" borderId="16" xfId="2" applyBorder="1"/>
    <xf numFmtId="0" fontId="4" fillId="0" borderId="0" xfId="2" applyFont="1" applyAlignment="1">
      <alignment horizontal="center" wrapText="1"/>
    </xf>
    <xf numFmtId="0" fontId="4" fillId="0" borderId="17" xfId="2" applyFont="1" applyBorder="1" applyAlignment="1">
      <alignment horizontal="center" wrapText="1"/>
    </xf>
    <xf numFmtId="49" fontId="6" fillId="0" borderId="18" xfId="2" applyNumberFormat="1" applyFont="1" applyBorder="1" applyAlignment="1">
      <alignment horizontal="center" vertical="top" wrapText="1"/>
    </xf>
    <xf numFmtId="49" fontId="6" fillId="0" borderId="19" xfId="2" applyNumberFormat="1" applyFont="1" applyBorder="1" applyAlignment="1">
      <alignment horizontal="center" vertical="center" wrapText="1"/>
    </xf>
    <xf numFmtId="165" fontId="6" fillId="0" borderId="19" xfId="2" applyNumberFormat="1" applyFont="1" applyBorder="1" applyAlignment="1">
      <alignment horizontal="center" vertical="center" wrapText="1"/>
    </xf>
    <xf numFmtId="49" fontId="4" fillId="0" borderId="19" xfId="2" applyNumberFormat="1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wrapText="1"/>
    </xf>
    <xf numFmtId="0" fontId="4" fillId="0" borderId="19" xfId="2" applyFont="1" applyBorder="1" applyAlignment="1">
      <alignment horizontal="center"/>
    </xf>
    <xf numFmtId="0" fontId="4" fillId="0" borderId="23" xfId="2" applyFont="1" applyBorder="1" applyAlignment="1">
      <alignment horizontal="center"/>
    </xf>
    <xf numFmtId="0" fontId="6" fillId="0" borderId="21" xfId="2" applyFont="1" applyBorder="1" applyAlignment="1">
      <alignment horizontal="center"/>
    </xf>
    <xf numFmtId="0" fontId="6" fillId="0" borderId="18" xfId="2" applyFont="1" applyBorder="1" applyAlignment="1">
      <alignment horizontal="center"/>
    </xf>
    <xf numFmtId="0" fontId="6" fillId="0" borderId="19" xfId="2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4" fillId="0" borderId="16" xfId="2" applyFont="1" applyBorder="1" applyAlignment="1">
      <alignment horizontal="center"/>
    </xf>
    <xf numFmtId="0" fontId="4" fillId="0" borderId="0" xfId="2" applyFont="1" applyAlignment="1">
      <alignment horizontal="center"/>
    </xf>
    <xf numFmtId="49" fontId="12" fillId="0" borderId="14" xfId="2" applyNumberFormat="1" applyFont="1" applyBorder="1"/>
    <xf numFmtId="49" fontId="7" fillId="0" borderId="24" xfId="2" applyNumberFormat="1" applyFont="1" applyBorder="1"/>
    <xf numFmtId="49" fontId="7" fillId="0" borderId="24" xfId="2" applyNumberFormat="1" applyFont="1" applyBorder="1" applyAlignment="1">
      <alignment horizontal="center"/>
    </xf>
    <xf numFmtId="49" fontId="7" fillId="0" borderId="0" xfId="2" applyNumberFormat="1" applyFont="1" applyAlignment="1">
      <alignment horizontal="center"/>
    </xf>
    <xf numFmtId="0" fontId="3" fillId="0" borderId="24" xfId="2" applyBorder="1" applyAlignment="1">
      <alignment horizontal="center"/>
    </xf>
    <xf numFmtId="49" fontId="3" fillId="0" borderId="24" xfId="2" applyNumberFormat="1" applyBorder="1" applyAlignment="1">
      <alignment horizontal="center"/>
    </xf>
    <xf numFmtId="0" fontId="3" fillId="0" borderId="25" xfId="2" applyBorder="1" applyAlignment="1">
      <alignment horizontal="center"/>
    </xf>
    <xf numFmtId="49" fontId="7" fillId="0" borderId="17" xfId="2" applyNumberFormat="1" applyFont="1" applyBorder="1" applyAlignment="1">
      <alignment horizontal="center"/>
    </xf>
    <xf numFmtId="0" fontId="3" fillId="0" borderId="25" xfId="2" applyBorder="1"/>
    <xf numFmtId="164" fontId="7" fillId="0" borderId="25" xfId="2" applyNumberFormat="1" applyFont="1" applyBorder="1" applyAlignment="1">
      <alignment horizontal="center"/>
    </xf>
    <xf numFmtId="49" fontId="7" fillId="0" borderId="25" xfId="2" applyNumberFormat="1" applyFont="1" applyBorder="1" applyAlignment="1">
      <alignment horizontal="center"/>
    </xf>
    <xf numFmtId="0" fontId="3" fillId="0" borderId="26" xfId="2" applyBorder="1" applyAlignment="1">
      <alignment horizontal="center"/>
    </xf>
    <xf numFmtId="0" fontId="3" fillId="0" borderId="26" xfId="2" applyBorder="1"/>
    <xf numFmtId="164" fontId="3" fillId="0" borderId="26" xfId="2" applyNumberFormat="1" applyBorder="1" applyAlignment="1">
      <alignment horizontal="center"/>
    </xf>
    <xf numFmtId="164" fontId="7" fillId="0" borderId="26" xfId="2" applyNumberFormat="1" applyFont="1" applyBorder="1" applyAlignment="1">
      <alignment horizontal="center"/>
    </xf>
    <xf numFmtId="49" fontId="7" fillId="0" borderId="26" xfId="2" applyNumberFormat="1" applyFont="1" applyBorder="1" applyAlignment="1">
      <alignment horizontal="center"/>
    </xf>
    <xf numFmtId="49" fontId="7" fillId="0" borderId="26" xfId="2" applyNumberFormat="1" applyFont="1" applyBorder="1"/>
    <xf numFmtId="164" fontId="7" fillId="0" borderId="26" xfId="2" quotePrefix="1" applyNumberFormat="1" applyFont="1" applyBorder="1" applyAlignment="1">
      <alignment horizontal="center"/>
    </xf>
    <xf numFmtId="0" fontId="6" fillId="0" borderId="16" xfId="2" applyFont="1" applyBorder="1" applyAlignment="1">
      <alignment horizontal="center"/>
    </xf>
    <xf numFmtId="164" fontId="3" fillId="0" borderId="26" xfId="5" applyNumberFormat="1" applyFont="1" applyBorder="1" applyAlignment="1">
      <alignment horizontal="center"/>
    </xf>
    <xf numFmtId="164" fontId="7" fillId="0" borderId="26" xfId="5" applyNumberFormat="1" applyFont="1" applyBorder="1" applyAlignment="1">
      <alignment horizontal="center"/>
    </xf>
    <xf numFmtId="0" fontId="3" fillId="0" borderId="26" xfId="5" applyFont="1" applyBorder="1" applyAlignment="1">
      <alignment horizontal="center"/>
    </xf>
    <xf numFmtId="49" fontId="7" fillId="0" borderId="26" xfId="5" applyNumberFormat="1" applyFont="1" applyBorder="1" applyAlignment="1">
      <alignment horizontal="center"/>
    </xf>
    <xf numFmtId="49" fontId="7" fillId="0" borderId="26" xfId="5" applyNumberFormat="1" applyFont="1" applyBorder="1"/>
    <xf numFmtId="0" fontId="7" fillId="0" borderId="26" xfId="2" applyFont="1" applyBorder="1"/>
    <xf numFmtId="14" fontId="3" fillId="0" borderId="26" xfId="2" applyNumberFormat="1" applyBorder="1" applyAlignment="1">
      <alignment horizontal="center"/>
    </xf>
    <xf numFmtId="0" fontId="3" fillId="0" borderId="21" xfId="2" applyBorder="1" applyAlignment="1">
      <alignment horizontal="center"/>
    </xf>
    <xf numFmtId="0" fontId="3" fillId="0" borderId="23" xfId="2" applyBorder="1" applyAlignment="1">
      <alignment horizontal="center"/>
    </xf>
    <xf numFmtId="49" fontId="7" fillId="0" borderId="27" xfId="2" applyNumberFormat="1" applyFont="1" applyBorder="1"/>
    <xf numFmtId="164" fontId="7" fillId="0" borderId="27" xfId="2" applyNumberFormat="1" applyFont="1" applyBorder="1" applyAlignment="1">
      <alignment horizontal="center"/>
    </xf>
    <xf numFmtId="49" fontId="7" fillId="0" borderId="27" xfId="2" applyNumberFormat="1" applyFont="1" applyBorder="1" applyAlignment="1">
      <alignment horizontal="center"/>
    </xf>
    <xf numFmtId="0" fontId="3" fillId="0" borderId="27" xfId="2" applyBorder="1" applyAlignment="1">
      <alignment horizontal="center"/>
    </xf>
    <xf numFmtId="0" fontId="3" fillId="0" borderId="27" xfId="2" applyBorder="1"/>
    <xf numFmtId="49" fontId="3" fillId="0" borderId="27" xfId="2" applyNumberFormat="1" applyBorder="1" applyAlignment="1">
      <alignment horizontal="center"/>
    </xf>
    <xf numFmtId="0" fontId="3" fillId="0" borderId="16" xfId="2" applyBorder="1" applyAlignment="1">
      <alignment horizontal="center"/>
    </xf>
    <xf numFmtId="49" fontId="7" fillId="0" borderId="22" xfId="2" applyNumberFormat="1" applyFont="1" applyBorder="1" applyAlignment="1">
      <alignment horizontal="center"/>
    </xf>
    <xf numFmtId="0" fontId="3" fillId="0" borderId="28" xfId="2" applyBorder="1"/>
    <xf numFmtId="164" fontId="3" fillId="0" borderId="28" xfId="2" applyNumberFormat="1" applyBorder="1" applyAlignment="1">
      <alignment horizontal="center"/>
    </xf>
    <xf numFmtId="0" fontId="3" fillId="0" borderId="28" xfId="2" applyBorder="1" applyAlignment="1">
      <alignment horizontal="center"/>
    </xf>
    <xf numFmtId="0" fontId="3" fillId="0" borderId="29" xfId="2" applyBorder="1" applyAlignment="1">
      <alignment horizontal="center"/>
    </xf>
    <xf numFmtId="164" fontId="3" fillId="0" borderId="0" xfId="2" applyNumberFormat="1" applyAlignment="1">
      <alignment horizontal="center"/>
    </xf>
    <xf numFmtId="49" fontId="7" fillId="0" borderId="25" xfId="2" applyNumberFormat="1" applyFont="1" applyBorder="1"/>
    <xf numFmtId="4" fontId="3" fillId="0" borderId="26" xfId="2" applyNumberFormat="1" applyBorder="1" applyAlignment="1">
      <alignment horizontal="center"/>
    </xf>
    <xf numFmtId="49" fontId="7" fillId="0" borderId="16" xfId="2" applyNumberFormat="1" applyFont="1" applyBorder="1" applyAlignment="1">
      <alignment horizontal="center"/>
    </xf>
    <xf numFmtId="0" fontId="3" fillId="0" borderId="30" xfId="2" applyBorder="1" applyAlignment="1">
      <alignment horizontal="center"/>
    </xf>
    <xf numFmtId="49" fontId="12" fillId="0" borderId="16" xfId="2" applyNumberFormat="1" applyFont="1" applyBorder="1"/>
    <xf numFmtId="164" fontId="3" fillId="0" borderId="25" xfId="2" applyNumberFormat="1" applyBorder="1" applyAlignment="1">
      <alignment horizontal="center"/>
    </xf>
    <xf numFmtId="0" fontId="3" fillId="0" borderId="31" xfId="2" applyBorder="1" applyAlignment="1">
      <alignment horizontal="center"/>
    </xf>
    <xf numFmtId="164" fontId="3" fillId="0" borderId="27" xfId="2" applyNumberFormat="1" applyBorder="1" applyAlignment="1">
      <alignment horizontal="center"/>
    </xf>
    <xf numFmtId="49" fontId="7" fillId="0" borderId="32" xfId="2" applyNumberFormat="1" applyFont="1" applyBorder="1"/>
    <xf numFmtId="164" fontId="7" fillId="0" borderId="32" xfId="2" applyNumberFormat="1" applyFont="1" applyBorder="1" applyAlignment="1">
      <alignment horizontal="center"/>
    </xf>
    <xf numFmtId="49" fontId="7" fillId="0" borderId="32" xfId="2" applyNumberFormat="1" applyFont="1" applyBorder="1" applyAlignment="1">
      <alignment horizontal="center"/>
    </xf>
    <xf numFmtId="164" fontId="3" fillId="0" borderId="26" xfId="2" quotePrefix="1" applyNumberFormat="1" applyBorder="1" applyAlignment="1">
      <alignment horizontal="center"/>
    </xf>
    <xf numFmtId="164" fontId="3" fillId="0" borderId="27" xfId="2" quotePrefix="1" applyNumberFormat="1" applyBorder="1" applyAlignment="1">
      <alignment horizontal="center"/>
    </xf>
    <xf numFmtId="49" fontId="3" fillId="0" borderId="25" xfId="2" applyNumberFormat="1" applyBorder="1" applyAlignment="1">
      <alignment horizontal="center"/>
    </xf>
    <xf numFmtId="49" fontId="3" fillId="0" borderId="32" xfId="2" applyNumberFormat="1" applyBorder="1" applyAlignment="1">
      <alignment horizontal="center"/>
    </xf>
    <xf numFmtId="164" fontId="7" fillId="0" borderId="32" xfId="2" quotePrefix="1" applyNumberFormat="1" applyFont="1" applyBorder="1" applyAlignment="1">
      <alignment horizontal="center"/>
    </xf>
    <xf numFmtId="164" fontId="7" fillId="0" borderId="27" xfId="2" quotePrefix="1" applyNumberFormat="1" applyFont="1" applyBorder="1" applyAlignment="1">
      <alignment horizontal="center"/>
    </xf>
    <xf numFmtId="49" fontId="7" fillId="0" borderId="21" xfId="2" applyNumberFormat="1" applyFont="1" applyBorder="1" applyAlignment="1">
      <alignment horizontal="center"/>
    </xf>
    <xf numFmtId="0" fontId="3" fillId="0" borderId="18" xfId="2" applyBorder="1" applyAlignment="1">
      <alignment horizontal="center"/>
    </xf>
    <xf numFmtId="0" fontId="3" fillId="0" borderId="33" xfId="2" applyBorder="1" applyAlignment="1">
      <alignment horizontal="center"/>
    </xf>
    <xf numFmtId="0" fontId="3" fillId="0" borderId="17" xfId="2" applyBorder="1" applyAlignment="1">
      <alignment horizontal="center"/>
    </xf>
    <xf numFmtId="49" fontId="7" fillId="0" borderId="16" xfId="2" applyNumberFormat="1" applyFont="1" applyBorder="1"/>
    <xf numFmtId="49" fontId="3" fillId="0" borderId="16" xfId="2" applyNumberFormat="1" applyBorder="1"/>
    <xf numFmtId="49" fontId="4" fillId="0" borderId="0" xfId="2" applyNumberFormat="1" applyFont="1"/>
    <xf numFmtId="49" fontId="3" fillId="0" borderId="0" xfId="2" applyNumberFormat="1"/>
    <xf numFmtId="165" fontId="3" fillId="0" borderId="0" xfId="2" applyNumberFormat="1"/>
    <xf numFmtId="49" fontId="3" fillId="0" borderId="0" xfId="2" applyNumberFormat="1" applyAlignment="1">
      <alignment horizontal="center"/>
    </xf>
    <xf numFmtId="49" fontId="7" fillId="0" borderId="0" xfId="2" applyNumberFormat="1" applyFont="1"/>
    <xf numFmtId="165" fontId="7" fillId="0" borderId="0" xfId="2" applyNumberFormat="1" applyFont="1"/>
    <xf numFmtId="0" fontId="3" fillId="0" borderId="22" xfId="2" applyBorder="1"/>
    <xf numFmtId="165" fontId="3" fillId="0" borderId="28" xfId="2" applyNumberFormat="1" applyBorder="1"/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19" fillId="3" borderId="0" xfId="0" applyFont="1" applyFill="1" applyAlignment="1">
      <alignment horizontal="center"/>
    </xf>
    <xf numFmtId="0" fontId="3" fillId="5" borderId="0" xfId="0" applyFont="1" applyFill="1"/>
    <xf numFmtId="0" fontId="15" fillId="0" borderId="4" xfId="0" applyFont="1" applyBorder="1" applyAlignment="1">
      <alignment horizontal="center"/>
    </xf>
    <xf numFmtId="0" fontId="3" fillId="0" borderId="38" xfId="0" applyFont="1" applyBorder="1"/>
    <xf numFmtId="165" fontId="0" fillId="0" borderId="4" xfId="0" applyNumberFormat="1" applyBorder="1" applyAlignment="1">
      <alignment horizontal="center"/>
    </xf>
    <xf numFmtId="0" fontId="4" fillId="0" borderId="40" xfId="0" applyFont="1" applyBorder="1" applyAlignment="1">
      <alignment horizontal="left"/>
    </xf>
    <xf numFmtId="0" fontId="0" fillId="0" borderId="42" xfId="0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0" fillId="0" borderId="38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4" borderId="4" xfId="0" applyFill="1" applyBorder="1" applyAlignment="1">
      <alignment horizontal="center"/>
    </xf>
    <xf numFmtId="164" fontId="0" fillId="0" borderId="0" xfId="0" applyNumberFormat="1"/>
    <xf numFmtId="164" fontId="3" fillId="0" borderId="0" xfId="0" applyNumberFormat="1" applyFont="1"/>
    <xf numFmtId="0" fontId="4" fillId="0" borderId="40" xfId="0" applyFont="1" applyBorder="1"/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3" fillId="6" borderId="45" xfId="3" applyFill="1" applyBorder="1" applyProtection="1">
      <protection locked="0"/>
    </xf>
    <xf numFmtId="164" fontId="16" fillId="6" borderId="46" xfId="0" applyNumberFormat="1" applyFont="1" applyFill="1" applyBorder="1" applyAlignment="1">
      <alignment horizontal="center"/>
    </xf>
    <xf numFmtId="0" fontId="3" fillId="6" borderId="47" xfId="3" applyFill="1" applyBorder="1" applyProtection="1">
      <protection locked="0"/>
    </xf>
    <xf numFmtId="164" fontId="16" fillId="6" borderId="9" xfId="0" applyNumberFormat="1" applyFont="1" applyFill="1" applyBorder="1" applyAlignment="1">
      <alignment horizontal="center"/>
    </xf>
    <xf numFmtId="0" fontId="3" fillId="8" borderId="47" xfId="3" applyFill="1" applyBorder="1" applyProtection="1">
      <protection locked="0"/>
    </xf>
    <xf numFmtId="164" fontId="16" fillId="8" borderId="9" xfId="0" applyNumberFormat="1" applyFont="1" applyFill="1" applyBorder="1" applyAlignment="1">
      <alignment horizontal="center"/>
    </xf>
    <xf numFmtId="0" fontId="3" fillId="8" borderId="10" xfId="3" applyFill="1" applyBorder="1" applyProtection="1">
      <protection locked="0"/>
    </xf>
    <xf numFmtId="164" fontId="16" fillId="8" borderId="48" xfId="0" applyNumberFormat="1" applyFont="1" applyFill="1" applyBorder="1" applyAlignment="1">
      <alignment horizontal="center"/>
    </xf>
    <xf numFmtId="0" fontId="3" fillId="9" borderId="10" xfId="3" applyFill="1" applyBorder="1" applyProtection="1">
      <protection locked="0"/>
    </xf>
    <xf numFmtId="164" fontId="16" fillId="9" borderId="9" xfId="0" applyNumberFormat="1" applyFont="1" applyFill="1" applyBorder="1" applyAlignment="1">
      <alignment horizontal="center"/>
    </xf>
    <xf numFmtId="0" fontId="0" fillId="9" borderId="0" xfId="0" applyFill="1"/>
    <xf numFmtId="0" fontId="3" fillId="9" borderId="0" xfId="0" applyFont="1" applyFill="1"/>
    <xf numFmtId="0" fontId="3" fillId="8" borderId="0" xfId="0" applyFont="1" applyFill="1"/>
    <xf numFmtId="0" fontId="0" fillId="8" borderId="0" xfId="0" applyFill="1"/>
    <xf numFmtId="0" fontId="3" fillId="0" borderId="7" xfId="0" applyFont="1" applyBorder="1"/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49" xfId="0" applyFont="1" applyBorder="1"/>
    <xf numFmtId="0" fontId="0" fillId="0" borderId="49" xfId="0" applyBorder="1" applyAlignment="1">
      <alignment horizontal="center"/>
    </xf>
    <xf numFmtId="0" fontId="0" fillId="0" borderId="49" xfId="0" applyBorder="1" applyAlignment="1">
      <alignment horizontal="left"/>
    </xf>
    <xf numFmtId="0" fontId="3" fillId="0" borderId="39" xfId="0" applyFont="1" applyBorder="1"/>
    <xf numFmtId="0" fontId="0" fillId="0" borderId="39" xfId="0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6" borderId="0" xfId="0" applyFill="1"/>
    <xf numFmtId="0" fontId="3" fillId="6" borderId="0" xfId="0" applyFont="1" applyFill="1"/>
    <xf numFmtId="164" fontId="0" fillId="6" borderId="0" xfId="0" applyNumberFormat="1" applyFill="1"/>
    <xf numFmtId="0" fontId="3" fillId="6" borderId="46" xfId="3" applyFill="1" applyBorder="1" applyProtection="1">
      <protection locked="0"/>
    </xf>
    <xf numFmtId="0" fontId="3" fillId="6" borderId="9" xfId="3" applyFill="1" applyBorder="1" applyProtection="1">
      <protection locked="0"/>
    </xf>
    <xf numFmtId="0" fontId="3" fillId="8" borderId="9" xfId="3" applyFill="1" applyBorder="1" applyProtection="1">
      <protection locked="0"/>
    </xf>
    <xf numFmtId="164" fontId="16" fillId="6" borderId="50" xfId="0" applyNumberFormat="1" applyFont="1" applyFill="1" applyBorder="1" applyAlignment="1">
      <alignment horizontal="center"/>
    </xf>
    <xf numFmtId="164" fontId="16" fillId="6" borderId="51" xfId="0" applyNumberFormat="1" applyFont="1" applyFill="1" applyBorder="1" applyAlignment="1">
      <alignment horizontal="center"/>
    </xf>
    <xf numFmtId="164" fontId="16" fillId="8" borderId="51" xfId="0" applyNumberFormat="1" applyFont="1" applyFill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52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4" fillId="0" borderId="53" xfId="0" applyFont="1" applyBorder="1"/>
    <xf numFmtId="0" fontId="0" fillId="0" borderId="54" xfId="0" applyBorder="1" applyAlignment="1">
      <alignment horizontal="center"/>
    </xf>
    <xf numFmtId="14" fontId="0" fillId="0" borderId="55" xfId="0" applyNumberFormat="1" applyBorder="1" applyAlignment="1">
      <alignment horizontal="center"/>
    </xf>
    <xf numFmtId="0" fontId="0" fillId="0" borderId="55" xfId="0" applyBorder="1"/>
    <xf numFmtId="14" fontId="0" fillId="0" borderId="4" xfId="0" applyNumberFormat="1" applyBorder="1"/>
    <xf numFmtId="0" fontId="4" fillId="16" borderId="0" xfId="0" applyFont="1" applyFill="1" applyAlignment="1">
      <alignment horizontal="left"/>
    </xf>
    <xf numFmtId="0" fontId="0" fillId="16" borderId="0" xfId="0" applyFill="1"/>
    <xf numFmtId="0" fontId="3" fillId="0" borderId="42" xfId="0" applyFont="1" applyBorder="1"/>
    <xf numFmtId="0" fontId="4" fillId="0" borderId="41" xfId="0" applyFont="1" applyBorder="1" applyAlignment="1">
      <alignment horizontal="left"/>
    </xf>
    <xf numFmtId="0" fontId="16" fillId="0" borderId="0" xfId="0" applyFont="1" applyAlignment="1">
      <alignment horizontal="center"/>
    </xf>
    <xf numFmtId="49" fontId="7" fillId="0" borderId="32" xfId="0" applyNumberFormat="1" applyFont="1" applyBorder="1" applyAlignment="1">
      <alignment horizontal="left" vertical="top"/>
    </xf>
    <xf numFmtId="49" fontId="7" fillId="0" borderId="26" xfId="0" applyNumberFormat="1" applyFont="1" applyBorder="1" applyAlignment="1">
      <alignment horizontal="left" vertical="top"/>
    </xf>
    <xf numFmtId="49" fontId="7" fillId="0" borderId="26" xfId="0" applyNumberFormat="1" applyFont="1" applyBorder="1" applyAlignment="1">
      <alignment horizontal="center" vertical="top"/>
    </xf>
    <xf numFmtId="165" fontId="7" fillId="0" borderId="26" xfId="0" applyNumberFormat="1" applyFont="1" applyBorder="1" applyAlignment="1">
      <alignment horizontal="center" vertical="top"/>
    </xf>
    <xf numFmtId="0" fontId="3" fillId="0" borderId="26" xfId="0" applyFont="1" applyBorder="1" applyAlignment="1">
      <alignment horizontal="center"/>
    </xf>
    <xf numFmtId="49" fontId="3" fillId="0" borderId="26" xfId="0" applyNumberFormat="1" applyFont="1" applyBorder="1" applyAlignment="1">
      <alignment horizontal="center" vertical="top"/>
    </xf>
    <xf numFmtId="0" fontId="3" fillId="0" borderId="57" xfId="0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7" fillId="0" borderId="32" xfId="0" applyNumberFormat="1" applyFont="1" applyBorder="1" applyAlignment="1">
      <alignment horizontal="center" vertical="top"/>
    </xf>
    <xf numFmtId="165" fontId="7" fillId="0" borderId="32" xfId="0" applyNumberFormat="1" applyFont="1" applyBorder="1" applyAlignment="1">
      <alignment horizontal="center" vertical="top"/>
    </xf>
    <xf numFmtId="0" fontId="3" fillId="0" borderId="32" xfId="0" applyFont="1" applyBorder="1" applyAlignment="1">
      <alignment horizontal="center"/>
    </xf>
    <xf numFmtId="49" fontId="7" fillId="0" borderId="57" xfId="0" applyNumberFormat="1" applyFont="1" applyBorder="1" applyAlignment="1">
      <alignment horizontal="center" vertical="top"/>
    </xf>
    <xf numFmtId="49" fontId="7" fillId="0" borderId="0" xfId="0" applyNumberFormat="1" applyFont="1" applyAlignment="1">
      <alignment horizontal="center" vertical="top"/>
    </xf>
    <xf numFmtId="49" fontId="7" fillId="0" borderId="32" xfId="0" quotePrefix="1" applyNumberFormat="1" applyFont="1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26" xfId="0" applyBorder="1"/>
    <xf numFmtId="0" fontId="3" fillId="0" borderId="26" xfId="0" applyFont="1" applyBorder="1"/>
    <xf numFmtId="49" fontId="7" fillId="0" borderId="27" xfId="0" applyNumberFormat="1" applyFont="1" applyBorder="1" applyAlignment="1">
      <alignment horizontal="left" vertical="top"/>
    </xf>
    <xf numFmtId="49" fontId="7" fillId="0" borderId="27" xfId="0" applyNumberFormat="1" applyFont="1" applyBorder="1" applyAlignment="1">
      <alignment horizontal="center" vertical="top"/>
    </xf>
    <xf numFmtId="165" fontId="7" fillId="0" borderId="27" xfId="0" applyNumberFormat="1" applyFont="1" applyBorder="1" applyAlignment="1">
      <alignment horizontal="center" vertical="top"/>
    </xf>
    <xf numFmtId="0" fontId="0" fillId="0" borderId="27" xfId="0" applyBorder="1" applyAlignment="1">
      <alignment horizontal="center"/>
    </xf>
    <xf numFmtId="0" fontId="3" fillId="0" borderId="27" xfId="0" applyFont="1" applyBorder="1"/>
    <xf numFmtId="49" fontId="3" fillId="0" borderId="27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28" xfId="0" applyFont="1" applyBorder="1"/>
    <xf numFmtId="0" fontId="3" fillId="0" borderId="28" xfId="0" applyFont="1" applyBorder="1" applyAlignment="1">
      <alignment horizontal="center"/>
    </xf>
    <xf numFmtId="49" fontId="7" fillId="0" borderId="25" xfId="0" applyNumberFormat="1" applyFont="1" applyBorder="1" applyAlignment="1">
      <alignment horizontal="left" vertical="top"/>
    </xf>
    <xf numFmtId="49" fontId="7" fillId="0" borderId="25" xfId="0" applyNumberFormat="1" applyFont="1" applyBorder="1" applyAlignment="1">
      <alignment horizontal="center" vertical="top"/>
    </xf>
    <xf numFmtId="165" fontId="7" fillId="0" borderId="25" xfId="0" applyNumberFormat="1" applyFont="1" applyBorder="1" applyAlignment="1">
      <alignment horizontal="center" vertical="top"/>
    </xf>
    <xf numFmtId="0" fontId="3" fillId="0" borderId="25" xfId="0" applyFont="1" applyBorder="1" applyAlignment="1">
      <alignment horizontal="center"/>
    </xf>
    <xf numFmtId="49" fontId="3" fillId="0" borderId="25" xfId="0" applyNumberFormat="1" applyFont="1" applyBorder="1" applyAlignment="1">
      <alignment horizontal="center" vertical="top"/>
    </xf>
    <xf numFmtId="0" fontId="3" fillId="0" borderId="18" xfId="0" applyFont="1" applyBorder="1" applyAlignment="1">
      <alignment horizontal="center"/>
    </xf>
    <xf numFmtId="49" fontId="7" fillId="0" borderId="21" xfId="0" applyNumberFormat="1" applyFont="1" applyBorder="1" applyAlignment="1">
      <alignment horizontal="left" vertical="top"/>
    </xf>
    <xf numFmtId="49" fontId="7" fillId="0" borderId="21" xfId="0" applyNumberFormat="1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9" fontId="3" fillId="0" borderId="27" xfId="0" applyNumberFormat="1" applyFont="1" applyBorder="1" applyAlignment="1">
      <alignment horizontal="center" vertical="top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165" fontId="7" fillId="0" borderId="32" xfId="0" quotePrefix="1" applyNumberFormat="1" applyFont="1" applyBorder="1" applyAlignment="1">
      <alignment horizontal="center" vertical="top"/>
    </xf>
    <xf numFmtId="0" fontId="7" fillId="0" borderId="32" xfId="0" applyFont="1" applyBorder="1" applyAlignment="1">
      <alignment horizontal="left" vertical="top"/>
    </xf>
    <xf numFmtId="0" fontId="3" fillId="0" borderId="29" xfId="0" applyFont="1" applyBorder="1" applyAlignment="1">
      <alignment horizontal="center"/>
    </xf>
    <xf numFmtId="49" fontId="3" fillId="0" borderId="32" xfId="0" applyNumberFormat="1" applyFont="1" applyBorder="1" applyAlignment="1">
      <alignment horizontal="center"/>
    </xf>
    <xf numFmtId="0" fontId="3" fillId="0" borderId="28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9" fontId="7" fillId="0" borderId="26" xfId="0" applyNumberFormat="1" applyFont="1" applyBorder="1" applyAlignment="1">
      <alignment horizontal="left" vertical="center"/>
    </xf>
    <xf numFmtId="49" fontId="7" fillId="0" borderId="26" xfId="0" applyNumberFormat="1" applyFont="1" applyBorder="1" applyAlignment="1">
      <alignment horizontal="center" vertical="center"/>
    </xf>
    <xf numFmtId="165" fontId="7" fillId="0" borderId="26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49" fontId="7" fillId="0" borderId="26" xfId="0" quotePrefix="1" applyNumberFormat="1" applyFont="1" applyBorder="1" applyAlignment="1">
      <alignment horizontal="center" vertical="center"/>
    </xf>
    <xf numFmtId="16" fontId="3" fillId="0" borderId="26" xfId="0" quotePrefix="1" applyNumberFormat="1" applyFont="1" applyBorder="1" applyAlignment="1">
      <alignment horizontal="left" vertical="center"/>
    </xf>
    <xf numFmtId="0" fontId="3" fillId="0" borderId="26" xfId="0" quotePrefix="1" applyFont="1" applyBorder="1" applyAlignment="1">
      <alignment horizontal="center" vertical="center"/>
    </xf>
    <xf numFmtId="165" fontId="3" fillId="0" borderId="26" xfId="0" applyNumberFormat="1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left" vertical="center"/>
    </xf>
    <xf numFmtId="0" fontId="3" fillId="0" borderId="27" xfId="0" quotePrefix="1" applyFont="1" applyBorder="1" applyAlignment="1">
      <alignment horizontal="left" vertical="center"/>
    </xf>
    <xf numFmtId="0" fontId="3" fillId="0" borderId="27" xfId="0" quotePrefix="1" applyFont="1" applyBorder="1" applyAlignment="1">
      <alignment horizontal="center" vertical="center"/>
    </xf>
    <xf numFmtId="165" fontId="3" fillId="0" borderId="27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left" vertical="top"/>
    </xf>
    <xf numFmtId="49" fontId="7" fillId="0" borderId="19" xfId="0" applyNumberFormat="1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9" fontId="7" fillId="0" borderId="19" xfId="0" quotePrefix="1" applyNumberFormat="1" applyFont="1" applyBorder="1" applyAlignment="1">
      <alignment horizontal="center" vertical="top"/>
    </xf>
    <xf numFmtId="0" fontId="3" fillId="0" borderId="19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5" xfId="0" applyBorder="1"/>
    <xf numFmtId="49" fontId="3" fillId="0" borderId="25" xfId="0" applyNumberFormat="1" applyFont="1" applyBorder="1" applyAlignment="1">
      <alignment horizontal="center"/>
    </xf>
    <xf numFmtId="49" fontId="7" fillId="0" borderId="26" xfId="0" quotePrefix="1" applyNumberFormat="1" applyFont="1" applyBorder="1" applyAlignment="1">
      <alignment horizontal="center" vertical="top"/>
    </xf>
    <xf numFmtId="165" fontId="3" fillId="0" borderId="26" xfId="0" applyNumberFormat="1" applyFont="1" applyBorder="1" applyAlignment="1">
      <alignment horizontal="center"/>
    </xf>
    <xf numFmtId="49" fontId="7" fillId="0" borderId="27" xfId="0" quotePrefix="1" applyNumberFormat="1" applyFont="1" applyBorder="1" applyAlignment="1">
      <alignment horizontal="left" vertical="top"/>
    </xf>
    <xf numFmtId="0" fontId="3" fillId="0" borderId="29" xfId="0" applyFont="1" applyBorder="1"/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horizontal="center" vertical="top"/>
    </xf>
    <xf numFmtId="0" fontId="3" fillId="0" borderId="28" xfId="0" applyFont="1" applyBorder="1" applyAlignment="1">
      <alignment horizontal="left"/>
    </xf>
    <xf numFmtId="165" fontId="3" fillId="0" borderId="28" xfId="0" applyNumberFormat="1" applyFont="1" applyBorder="1" applyAlignment="1">
      <alignment horizontal="center"/>
    </xf>
    <xf numFmtId="0" fontId="4" fillId="16" borderId="0" xfId="0" applyFont="1" applyFill="1"/>
    <xf numFmtId="0" fontId="16" fillId="16" borderId="0" xfId="0" applyFont="1" applyFill="1" applyAlignment="1">
      <alignment horizontal="right" vertical="center" wrapText="1"/>
    </xf>
    <xf numFmtId="0" fontId="18" fillId="0" borderId="44" xfId="0" applyFont="1" applyBorder="1" applyAlignment="1">
      <alignment horizontal="center"/>
    </xf>
    <xf numFmtId="164" fontId="16" fillId="6" borderId="60" xfId="0" applyNumberFormat="1" applyFont="1" applyFill="1" applyBorder="1" applyAlignment="1">
      <alignment horizontal="center"/>
    </xf>
    <xf numFmtId="164" fontId="16" fillId="8" borderId="60" xfId="0" applyNumberFormat="1" applyFont="1" applyFill="1" applyBorder="1" applyAlignment="1">
      <alignment horizontal="center"/>
    </xf>
    <xf numFmtId="164" fontId="16" fillId="6" borderId="66" xfId="0" applyNumberFormat="1" applyFont="1" applyFill="1" applyBorder="1" applyAlignment="1">
      <alignment horizontal="center"/>
    </xf>
    <xf numFmtId="0" fontId="3" fillId="0" borderId="52" xfId="3" applyBorder="1" applyProtection="1">
      <protection locked="0"/>
    </xf>
    <xf numFmtId="16" fontId="0" fillId="0" borderId="0" xfId="0" applyNumberFormat="1"/>
    <xf numFmtId="0" fontId="3" fillId="6" borderId="4" xfId="0" applyFont="1" applyFill="1" applyBorder="1" applyAlignment="1">
      <alignment horizontal="center"/>
    </xf>
    <xf numFmtId="0" fontId="20" fillId="3" borderId="10" xfId="3" applyFont="1" applyFill="1" applyBorder="1" applyProtection="1">
      <protection locked="0"/>
    </xf>
    <xf numFmtId="0" fontId="18" fillId="0" borderId="36" xfId="0" applyFont="1" applyBorder="1" applyAlignment="1">
      <alignment horizontal="center" vertical="center" wrapText="1"/>
    </xf>
    <xf numFmtId="0" fontId="18" fillId="9" borderId="36" xfId="0" applyFont="1" applyFill="1" applyBorder="1" applyAlignment="1">
      <alignment horizontal="left" vertical="center" wrapText="1"/>
    </xf>
    <xf numFmtId="164" fontId="16" fillId="8" borderId="56" xfId="0" applyNumberFormat="1" applyFont="1" applyFill="1" applyBorder="1" applyAlignment="1">
      <alignment horizontal="center"/>
    </xf>
    <xf numFmtId="164" fontId="16" fillId="9" borderId="60" xfId="0" applyNumberFormat="1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3" fillId="17" borderId="10" xfId="3" applyFill="1" applyBorder="1" applyProtection="1">
      <protection locked="0"/>
    </xf>
    <xf numFmtId="0" fontId="3" fillId="17" borderId="9" xfId="3" applyFill="1" applyBorder="1" applyProtection="1">
      <protection locked="0"/>
    </xf>
    <xf numFmtId="0" fontId="0" fillId="0" borderId="0" xfId="0" quotePrefix="1" applyAlignment="1">
      <alignment horizontal="center"/>
    </xf>
    <xf numFmtId="0" fontId="3" fillId="6" borderId="69" xfId="0" applyFont="1" applyFill="1" applyBorder="1" applyAlignment="1">
      <alignment horizontal="center"/>
    </xf>
    <xf numFmtId="0" fontId="3" fillId="0" borderId="5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9" xfId="0" applyFont="1" applyBorder="1" applyAlignment="1">
      <alignment horizontal="center"/>
    </xf>
    <xf numFmtId="0" fontId="3" fillId="0" borderId="37" xfId="0" applyFont="1" applyBorder="1" applyAlignment="1">
      <alignment horizontal="left"/>
    </xf>
    <xf numFmtId="164" fontId="0" fillId="9" borderId="0" xfId="0" applyNumberFormat="1" applyFill="1"/>
    <xf numFmtId="164" fontId="16" fillId="3" borderId="9" xfId="0" applyNumberFormat="1" applyFont="1" applyFill="1" applyBorder="1" applyAlignment="1">
      <alignment horizontal="center"/>
    </xf>
    <xf numFmtId="164" fontId="16" fillId="3" borderId="60" xfId="0" applyNumberFormat="1" applyFont="1" applyFill="1" applyBorder="1" applyAlignment="1">
      <alignment horizontal="center"/>
    </xf>
    <xf numFmtId="164" fontId="16" fillId="17" borderId="9" xfId="0" applyNumberFormat="1" applyFont="1" applyFill="1" applyBorder="1" applyAlignment="1">
      <alignment horizontal="center"/>
    </xf>
    <xf numFmtId="164" fontId="16" fillId="17" borderId="60" xfId="0" applyNumberFormat="1" applyFont="1" applyFill="1" applyBorder="1" applyAlignment="1">
      <alignment horizontal="center"/>
    </xf>
    <xf numFmtId="164" fontId="16" fillId="17" borderId="51" xfId="0" applyNumberFormat="1" applyFont="1" applyFill="1" applyBorder="1" applyAlignment="1">
      <alignment horizontal="center"/>
    </xf>
    <xf numFmtId="164" fontId="16" fillId="17" borderId="12" xfId="0" applyNumberFormat="1" applyFont="1" applyFill="1" applyBorder="1" applyAlignment="1">
      <alignment horizontal="center"/>
    </xf>
    <xf numFmtId="164" fontId="16" fillId="17" borderId="67" xfId="0" applyNumberFormat="1" applyFont="1" applyFill="1" applyBorder="1" applyAlignment="1">
      <alignment horizontal="center"/>
    </xf>
    <xf numFmtId="164" fontId="16" fillId="17" borderId="68" xfId="0" applyNumberFormat="1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left"/>
    </xf>
    <xf numFmtId="164" fontId="0" fillId="6" borderId="4" xfId="0" applyNumberForma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165" fontId="0" fillId="6" borderId="13" xfId="0" applyNumberFormat="1" applyFill="1" applyBorder="1" applyAlignment="1">
      <alignment horizontal="center"/>
    </xf>
    <xf numFmtId="0" fontId="4" fillId="6" borderId="41" xfId="0" applyFont="1" applyFill="1" applyBorder="1" applyAlignment="1">
      <alignment horizontal="left"/>
    </xf>
    <xf numFmtId="164" fontId="0" fillId="6" borderId="39" xfId="0" applyNumberFormat="1" applyFill="1" applyBorder="1" applyAlignment="1">
      <alignment horizontal="center"/>
    </xf>
    <xf numFmtId="165" fontId="0" fillId="6" borderId="37" xfId="0" applyNumberForma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6" borderId="4" xfId="0" applyFont="1" applyFill="1" applyBorder="1" applyAlignment="1">
      <alignment horizontal="center"/>
    </xf>
    <xf numFmtId="0" fontId="18" fillId="0" borderId="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/>
    </xf>
    <xf numFmtId="164" fontId="16" fillId="6" borderId="45" xfId="0" applyNumberFormat="1" applyFont="1" applyFill="1" applyBorder="1" applyAlignment="1">
      <alignment horizontal="center"/>
    </xf>
    <xf numFmtId="164" fontId="16" fillId="6" borderId="47" xfId="0" applyNumberFormat="1" applyFont="1" applyFill="1" applyBorder="1" applyAlignment="1">
      <alignment horizontal="center"/>
    </xf>
    <xf numFmtId="164" fontId="16" fillId="8" borderId="47" xfId="0" applyNumberFormat="1" applyFont="1" applyFill="1" applyBorder="1" applyAlignment="1">
      <alignment horizontal="center"/>
    </xf>
    <xf numFmtId="164" fontId="16" fillId="8" borderId="10" xfId="0" applyNumberFormat="1" applyFont="1" applyFill="1" applyBorder="1" applyAlignment="1">
      <alignment horizontal="center"/>
    </xf>
    <xf numFmtId="164" fontId="16" fillId="9" borderId="47" xfId="0" applyNumberFormat="1" applyFont="1" applyFill="1" applyBorder="1" applyAlignment="1">
      <alignment horizontal="center"/>
    </xf>
    <xf numFmtId="164" fontId="16" fillId="17" borderId="47" xfId="0" applyNumberFormat="1" applyFont="1" applyFill="1" applyBorder="1" applyAlignment="1">
      <alignment horizontal="center"/>
    </xf>
    <xf numFmtId="164" fontId="16" fillId="3" borderId="47" xfId="0" applyNumberFormat="1" applyFont="1" applyFill="1" applyBorder="1" applyAlignment="1">
      <alignment horizontal="center"/>
    </xf>
    <xf numFmtId="164" fontId="16" fillId="3" borderId="48" xfId="0" applyNumberFormat="1" applyFont="1" applyFill="1" applyBorder="1" applyAlignment="1">
      <alignment horizontal="center"/>
    </xf>
    <xf numFmtId="164" fontId="16" fillId="3" borderId="56" xfId="0" applyNumberFormat="1" applyFont="1" applyFill="1" applyBorder="1" applyAlignment="1">
      <alignment horizontal="center"/>
    </xf>
    <xf numFmtId="164" fontId="16" fillId="3" borderId="10" xfId="0" applyNumberFormat="1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1" fillId="4" borderId="40" xfId="0" applyFont="1" applyFill="1" applyBorder="1"/>
    <xf numFmtId="0" fontId="1" fillId="4" borderId="40" xfId="0" applyFont="1" applyFill="1" applyBorder="1" applyAlignment="1">
      <alignment horizontal="left"/>
    </xf>
    <xf numFmtId="0" fontId="4" fillId="20" borderId="0" xfId="0" applyFont="1" applyFill="1" applyAlignment="1">
      <alignment horizontal="left"/>
    </xf>
    <xf numFmtId="0" fontId="0" fillId="20" borderId="0" xfId="0" applyFill="1"/>
    <xf numFmtId="0" fontId="4" fillId="20" borderId="0" xfId="0" applyFont="1" applyFill="1"/>
    <xf numFmtId="0" fontId="3" fillId="17" borderId="12" xfId="3" applyFill="1" applyBorder="1" applyProtection="1">
      <protection locked="0"/>
    </xf>
    <xf numFmtId="0" fontId="3" fillId="0" borderId="52" xfId="0" applyFont="1" applyBorder="1" applyAlignment="1">
      <alignment horizontal="center" vertical="center" textRotation="90" wrapText="1"/>
    </xf>
    <xf numFmtId="0" fontId="3" fillId="8" borderId="70" xfId="3" applyFill="1" applyBorder="1" applyProtection="1">
      <protection locked="0"/>
    </xf>
    <xf numFmtId="164" fontId="16" fillId="8" borderId="12" xfId="0" applyNumberFormat="1" applyFont="1" applyFill="1" applyBorder="1" applyAlignment="1">
      <alignment horizontal="center"/>
    </xf>
    <xf numFmtId="164" fontId="16" fillId="8" borderId="67" xfId="0" applyNumberFormat="1" applyFont="1" applyFill="1" applyBorder="1" applyAlignment="1">
      <alignment horizontal="center"/>
    </xf>
    <xf numFmtId="164" fontId="16" fillId="8" borderId="68" xfId="0" applyNumberFormat="1" applyFont="1" applyFill="1" applyBorder="1" applyAlignment="1">
      <alignment horizontal="center"/>
    </xf>
    <xf numFmtId="0" fontId="3" fillId="8" borderId="12" xfId="3" applyFill="1" applyBorder="1" applyProtection="1">
      <protection locked="0"/>
    </xf>
    <xf numFmtId="0" fontId="1" fillId="0" borderId="4" xfId="0" applyFont="1" applyBorder="1" applyAlignment="1">
      <alignment horizontal="left"/>
    </xf>
    <xf numFmtId="0" fontId="0" fillId="0" borderId="4" xfId="0" applyBorder="1" applyProtection="1">
      <protection locked="0"/>
    </xf>
    <xf numFmtId="1" fontId="0" fillId="0" borderId="4" xfId="0" applyNumberFormat="1" applyBorder="1" applyAlignment="1">
      <alignment horizontal="center"/>
    </xf>
    <xf numFmtId="0" fontId="1" fillId="0" borderId="4" xfId="0" applyFont="1" applyBorder="1" applyProtection="1">
      <protection locked="0"/>
    </xf>
    <xf numFmtId="0" fontId="1" fillId="4" borderId="4" xfId="0" applyFont="1" applyFill="1" applyBorder="1"/>
    <xf numFmtId="165" fontId="0" fillId="4" borderId="4" xfId="0" applyNumberForma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0" fontId="0" fillId="4" borderId="0" xfId="0" applyFill="1"/>
    <xf numFmtId="0" fontId="0" fillId="4" borderId="13" xfId="0" applyFill="1" applyBorder="1"/>
    <xf numFmtId="0" fontId="0" fillId="4" borderId="35" xfId="0" applyFill="1" applyBorder="1"/>
    <xf numFmtId="0" fontId="0" fillId="4" borderId="13" xfId="0" applyFill="1" applyBorder="1" applyAlignment="1">
      <alignment horizontal="left"/>
    </xf>
    <xf numFmtId="0" fontId="0" fillId="4" borderId="35" xfId="0" applyFill="1" applyBorder="1" applyAlignment="1">
      <alignment horizontal="left"/>
    </xf>
    <xf numFmtId="0" fontId="0" fillId="4" borderId="0" xfId="0" quotePrefix="1" applyFill="1"/>
    <xf numFmtId="164" fontId="0" fillId="4" borderId="35" xfId="0" applyNumberFormat="1" applyFill="1" applyBorder="1" applyAlignment="1">
      <alignment horizontal="left"/>
    </xf>
    <xf numFmtId="14" fontId="0" fillId="4" borderId="4" xfId="0" applyNumberFormat="1" applyFill="1" applyBorder="1"/>
    <xf numFmtId="0" fontId="4" fillId="6" borderId="43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4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14" borderId="0" xfId="0" applyFill="1" applyAlignment="1">
      <alignment horizontal="center"/>
    </xf>
    <xf numFmtId="0" fontId="18" fillId="0" borderId="36" xfId="0" applyFont="1" applyBorder="1" applyAlignment="1">
      <alignment horizontal="center" vertical="center" textRotation="90" wrapText="1"/>
    </xf>
    <xf numFmtId="0" fontId="18" fillId="0" borderId="61" xfId="0" applyFont="1" applyBorder="1" applyAlignment="1">
      <alignment horizontal="center" vertical="center" textRotation="90" wrapText="1"/>
    </xf>
    <xf numFmtId="0" fontId="18" fillId="0" borderId="62" xfId="0" applyFont="1" applyBorder="1" applyAlignment="1">
      <alignment horizontal="center" vertical="center" textRotation="90" wrapText="1"/>
    </xf>
    <xf numFmtId="0" fontId="20" fillId="3" borderId="36" xfId="0" applyFont="1" applyFill="1" applyBorder="1" applyAlignment="1">
      <alignment horizontal="left" vertical="center" wrapText="1"/>
    </xf>
    <xf numFmtId="0" fontId="20" fillId="3" borderId="61" xfId="0" applyFont="1" applyFill="1" applyBorder="1" applyAlignment="1">
      <alignment horizontal="left" vertical="center" wrapText="1"/>
    </xf>
    <xf numFmtId="0" fontId="20" fillId="3" borderId="62" xfId="0" applyFont="1" applyFill="1" applyBorder="1" applyAlignment="1">
      <alignment horizontal="left" vertical="center" wrapText="1"/>
    </xf>
    <xf numFmtId="0" fontId="18" fillId="8" borderId="44" xfId="0" applyFont="1" applyFill="1" applyBorder="1" applyAlignment="1">
      <alignment horizontal="left" vertical="center" wrapText="1"/>
    </xf>
    <xf numFmtId="0" fontId="18" fillId="8" borderId="65" xfId="0" applyFont="1" applyFill="1" applyBorder="1" applyAlignment="1">
      <alignment horizontal="left" vertical="center" wrapText="1"/>
    </xf>
    <xf numFmtId="0" fontId="18" fillId="6" borderId="44" xfId="0" applyFont="1" applyFill="1" applyBorder="1" applyAlignment="1">
      <alignment horizontal="left" vertical="center" wrapText="1"/>
    </xf>
    <xf numFmtId="0" fontId="18" fillId="6" borderId="65" xfId="0" applyFont="1" applyFill="1" applyBorder="1" applyAlignment="1">
      <alignment horizontal="left" vertical="center" wrapText="1"/>
    </xf>
    <xf numFmtId="0" fontId="18" fillId="6" borderId="64" xfId="0" applyFont="1" applyFill="1" applyBorder="1" applyAlignment="1">
      <alignment horizontal="left" vertical="center" wrapText="1"/>
    </xf>
    <xf numFmtId="0" fontId="18" fillId="8" borderId="64" xfId="0" applyFont="1" applyFill="1" applyBorder="1" applyAlignment="1">
      <alignment horizontal="left" vertical="center" wrapText="1"/>
    </xf>
    <xf numFmtId="0" fontId="18" fillId="17" borderId="44" xfId="0" applyFont="1" applyFill="1" applyBorder="1" applyAlignment="1">
      <alignment horizontal="left" vertical="center" wrapText="1"/>
    </xf>
    <xf numFmtId="0" fontId="18" fillId="17" borderId="65" xfId="0" applyFont="1" applyFill="1" applyBorder="1" applyAlignment="1">
      <alignment horizontal="left" vertical="center" wrapText="1"/>
    </xf>
    <xf numFmtId="0" fontId="18" fillId="17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8" fillId="6" borderId="36" xfId="0" applyFont="1" applyFill="1" applyBorder="1" applyAlignment="1">
      <alignment horizontal="left" vertical="center" wrapText="1"/>
    </xf>
    <xf numFmtId="0" fontId="18" fillId="6" borderId="61" xfId="0" applyFont="1" applyFill="1" applyBorder="1" applyAlignment="1">
      <alignment horizontal="left" vertical="center" wrapText="1"/>
    </xf>
    <xf numFmtId="0" fontId="18" fillId="6" borderId="62" xfId="0" applyFont="1" applyFill="1" applyBorder="1" applyAlignment="1">
      <alignment horizontal="left" vertical="center" wrapText="1"/>
    </xf>
    <xf numFmtId="0" fontId="18" fillId="8" borderId="36" xfId="0" applyFont="1" applyFill="1" applyBorder="1" applyAlignment="1">
      <alignment horizontal="left" vertical="center" wrapText="1"/>
    </xf>
    <xf numFmtId="0" fontId="18" fillId="8" borderId="61" xfId="0" applyFont="1" applyFill="1" applyBorder="1" applyAlignment="1">
      <alignment horizontal="left" vertical="center" wrapText="1"/>
    </xf>
    <xf numFmtId="0" fontId="18" fillId="8" borderId="62" xfId="0" applyFont="1" applyFill="1" applyBorder="1" applyAlignment="1">
      <alignment horizontal="left" vertical="center" wrapText="1"/>
    </xf>
    <xf numFmtId="0" fontId="18" fillId="17" borderId="48" xfId="0" applyFont="1" applyFill="1" applyBorder="1" applyAlignment="1">
      <alignment horizontal="left" vertical="center" wrapText="1"/>
    </xf>
    <xf numFmtId="0" fontId="18" fillId="17" borderId="61" xfId="0" applyFont="1" applyFill="1" applyBorder="1" applyAlignment="1">
      <alignment horizontal="left" vertical="center" wrapText="1"/>
    </xf>
    <xf numFmtId="0" fontId="4" fillId="0" borderId="5" xfId="7" applyFont="1" applyBorder="1" applyAlignment="1">
      <alignment horizontal="left"/>
    </xf>
    <xf numFmtId="0" fontId="4" fillId="0" borderId="11" xfId="7" applyFont="1" applyBorder="1" applyAlignment="1">
      <alignment horizontal="left"/>
    </xf>
    <xf numFmtId="0" fontId="4" fillId="0" borderId="6" xfId="7" applyFont="1" applyBorder="1" applyAlignment="1">
      <alignment horizontal="left"/>
    </xf>
    <xf numFmtId="0" fontId="2" fillId="0" borderId="43" xfId="1" applyFill="1" applyBorder="1" applyAlignment="1" applyProtection="1">
      <alignment horizontal="left" vertical="center" wrapText="1"/>
    </xf>
    <xf numFmtId="0" fontId="2" fillId="0" borderId="8" xfId="1" applyFill="1" applyBorder="1" applyAlignment="1" applyProtection="1">
      <alignment horizontal="left" vertical="center" wrapText="1"/>
    </xf>
    <xf numFmtId="0" fontId="2" fillId="0" borderId="44" xfId="1" applyFill="1" applyBorder="1" applyAlignment="1" applyProtection="1">
      <alignment horizontal="left" vertical="center" wrapText="1"/>
    </xf>
    <xf numFmtId="0" fontId="2" fillId="0" borderId="63" xfId="1" applyFill="1" applyBorder="1" applyAlignment="1" applyProtection="1">
      <alignment horizontal="left" vertical="center" wrapText="1"/>
    </xf>
    <xf numFmtId="0" fontId="2" fillId="0" borderId="52" xfId="1" applyFill="1" applyBorder="1" applyAlignment="1" applyProtection="1">
      <alignment horizontal="left" vertical="center" wrapText="1"/>
    </xf>
    <xf numFmtId="0" fontId="2" fillId="0" borderId="64" xfId="1" applyFill="1" applyBorder="1" applyAlignment="1" applyProtection="1">
      <alignment horizontal="left" vertical="center" wrapText="1"/>
    </xf>
    <xf numFmtId="166" fontId="4" fillId="0" borderId="5" xfId="7" applyNumberFormat="1" applyFont="1" applyBorder="1" applyAlignment="1">
      <alignment horizontal="left"/>
    </xf>
    <xf numFmtId="166" fontId="4" fillId="0" borderId="11" xfId="7" applyNumberFormat="1" applyFont="1" applyBorder="1" applyAlignment="1">
      <alignment horizontal="left"/>
    </xf>
    <xf numFmtId="166" fontId="4" fillId="0" borderId="6" xfId="7" applyNumberFormat="1" applyFont="1" applyBorder="1" applyAlignment="1">
      <alignment horizontal="left"/>
    </xf>
    <xf numFmtId="0" fontId="4" fillId="0" borderId="5" xfId="7" applyFont="1" applyBorder="1" applyAlignment="1">
      <alignment horizontal="left" wrapText="1"/>
    </xf>
  </cellXfs>
  <cellStyles count="8">
    <cellStyle name="Hyperlink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_138-001-001" xfId="6" xr:uid="{00000000-0005-0000-0000-000006000000}"/>
    <cellStyle name="Normal_EDITINDXlinked" xfId="7" xr:uid="{00000000-0005-0000-0000-000007000000}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433667</xdr:colOff>
      <xdr:row>16</xdr:row>
      <xdr:rowOff>97491</xdr:rowOff>
    </xdr:from>
    <xdr:to>
      <xdr:col>2</xdr:col>
      <xdr:colOff>7205942</xdr:colOff>
      <xdr:row>53</xdr:row>
      <xdr:rowOff>78441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1814" y="2708462"/>
          <a:ext cx="6772275" cy="578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1266825</xdr:colOff>
      <xdr:row>5</xdr:row>
      <xdr:rowOff>19050</xdr:rowOff>
    </xdr:from>
    <xdr:to>
      <xdr:col>3</xdr:col>
      <xdr:colOff>1409700</xdr:colOff>
      <xdr:row>5</xdr:row>
      <xdr:rowOff>152400</xdr:rowOff>
    </xdr:to>
    <xdr:pic>
      <xdr:nvPicPr>
        <xdr:cNvPr id="46641" name="Picture 65088" descr="C:\Users\Bryan\AppData\Local\Microsoft\Windows\Temporary Internet Files\Content.IE5\MVT8L020\MC900433812[1].png">
          <a:extLst>
            <a:ext uri="{FF2B5EF4-FFF2-40B4-BE49-F238E27FC236}">
              <a16:creationId xmlns:a16="http://schemas.microsoft.com/office/drawing/2014/main" id="{00000000-0008-0000-0600-000031B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146685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1266825</xdr:colOff>
      <xdr:row>15</xdr:row>
      <xdr:rowOff>19050</xdr:rowOff>
    </xdr:from>
    <xdr:to>
      <xdr:col>3</xdr:col>
      <xdr:colOff>1409700</xdr:colOff>
      <xdr:row>15</xdr:row>
      <xdr:rowOff>152400</xdr:rowOff>
    </xdr:to>
    <xdr:pic>
      <xdr:nvPicPr>
        <xdr:cNvPr id="46642" name="Picture 65088" descr="C:\Users\Bryan\AppData\Local\Microsoft\Windows\Temporary Internet Files\Content.IE5\MVT8L020\MC900433812[1].png">
          <a:extLst>
            <a:ext uri="{FF2B5EF4-FFF2-40B4-BE49-F238E27FC236}">
              <a16:creationId xmlns:a16="http://schemas.microsoft.com/office/drawing/2014/main" id="{00000000-0008-0000-0600-000032B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18135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1266825</xdr:colOff>
      <xdr:row>27</xdr:row>
      <xdr:rowOff>19050</xdr:rowOff>
    </xdr:from>
    <xdr:to>
      <xdr:col>3</xdr:col>
      <xdr:colOff>1409700</xdr:colOff>
      <xdr:row>27</xdr:row>
      <xdr:rowOff>152400</xdr:rowOff>
    </xdr:to>
    <xdr:pic>
      <xdr:nvPicPr>
        <xdr:cNvPr id="46643" name="Picture 65088" descr="C:\Users\Bryan\AppData\Local\Microsoft\Windows\Temporary Internet Files\Content.IE5\MVT8L020\MC900433812[1].png">
          <a:extLst>
            <a:ext uri="{FF2B5EF4-FFF2-40B4-BE49-F238E27FC236}">
              <a16:creationId xmlns:a16="http://schemas.microsoft.com/office/drawing/2014/main" id="{00000000-0008-0000-0600-000033B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523875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1266825</xdr:colOff>
      <xdr:row>32</xdr:row>
      <xdr:rowOff>19050</xdr:rowOff>
    </xdr:from>
    <xdr:to>
      <xdr:col>3</xdr:col>
      <xdr:colOff>1409700</xdr:colOff>
      <xdr:row>32</xdr:row>
      <xdr:rowOff>152400</xdr:rowOff>
    </xdr:to>
    <xdr:pic>
      <xdr:nvPicPr>
        <xdr:cNvPr id="46644" name="Picture 65088" descr="C:\Users\Bryan\AppData\Local\Microsoft\Windows\Temporary Internet Files\Content.IE5\MVT8L020\MC900433812[1].png">
          <a:extLst>
            <a:ext uri="{FF2B5EF4-FFF2-40B4-BE49-F238E27FC236}">
              <a16:creationId xmlns:a16="http://schemas.microsoft.com/office/drawing/2014/main" id="{00000000-0008-0000-0600-000034B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609600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1257300</xdr:colOff>
      <xdr:row>61</xdr:row>
      <xdr:rowOff>19050</xdr:rowOff>
    </xdr:from>
    <xdr:to>
      <xdr:col>3</xdr:col>
      <xdr:colOff>1400175</xdr:colOff>
      <xdr:row>61</xdr:row>
      <xdr:rowOff>152400</xdr:rowOff>
    </xdr:to>
    <xdr:pic>
      <xdr:nvPicPr>
        <xdr:cNvPr id="46645" name="Picture 65088" descr="C:\Users\Bryan\AppData\Local\Microsoft\Windows\Temporary Internet Files\Content.IE5\MVT8L020\MC900433812[1].png">
          <a:extLst>
            <a:ext uri="{FF2B5EF4-FFF2-40B4-BE49-F238E27FC236}">
              <a16:creationId xmlns:a16="http://schemas.microsoft.com/office/drawing/2014/main" id="{00000000-0008-0000-0600-000035B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8025" y="1135380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1257300</xdr:colOff>
      <xdr:row>62</xdr:row>
      <xdr:rowOff>19050</xdr:rowOff>
    </xdr:from>
    <xdr:to>
      <xdr:col>3</xdr:col>
      <xdr:colOff>1400175</xdr:colOff>
      <xdr:row>62</xdr:row>
      <xdr:rowOff>152400</xdr:rowOff>
    </xdr:to>
    <xdr:pic>
      <xdr:nvPicPr>
        <xdr:cNvPr id="46646" name="Picture 65088" descr="C:\Users\Bryan\AppData\Local\Microsoft\Windows\Temporary Internet Files\Content.IE5\MVT8L020\MC900433812[1].png">
          <a:extLst>
            <a:ext uri="{FF2B5EF4-FFF2-40B4-BE49-F238E27FC236}">
              <a16:creationId xmlns:a16="http://schemas.microsoft.com/office/drawing/2014/main" id="{00000000-0008-0000-0600-000036B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8025" y="1152525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1266825</xdr:colOff>
      <xdr:row>69</xdr:row>
      <xdr:rowOff>19050</xdr:rowOff>
    </xdr:from>
    <xdr:to>
      <xdr:col>3</xdr:col>
      <xdr:colOff>1409700</xdr:colOff>
      <xdr:row>69</xdr:row>
      <xdr:rowOff>152400</xdr:rowOff>
    </xdr:to>
    <xdr:pic>
      <xdr:nvPicPr>
        <xdr:cNvPr id="46647" name="Picture 65088" descr="C:\Users\Bryan\AppData\Local\Microsoft\Windows\Temporary Internet Files\Content.IE5\MVT8L020\MC900433812[1].png">
          <a:extLst>
            <a:ext uri="{FF2B5EF4-FFF2-40B4-BE49-F238E27FC236}">
              <a16:creationId xmlns:a16="http://schemas.microsoft.com/office/drawing/2014/main" id="{00000000-0008-0000-0600-000037B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1282065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1266825</xdr:colOff>
      <xdr:row>71</xdr:row>
      <xdr:rowOff>19050</xdr:rowOff>
    </xdr:from>
    <xdr:to>
      <xdr:col>3</xdr:col>
      <xdr:colOff>1409700</xdr:colOff>
      <xdr:row>71</xdr:row>
      <xdr:rowOff>152400</xdr:rowOff>
    </xdr:to>
    <xdr:pic>
      <xdr:nvPicPr>
        <xdr:cNvPr id="46648" name="Picture 65088" descr="C:\Users\Bryan\AppData\Local\Microsoft\Windows\Temporary Internet Files\Content.IE5\MVT8L020\MC900433812[1].png">
          <a:extLst>
            <a:ext uri="{FF2B5EF4-FFF2-40B4-BE49-F238E27FC236}">
              <a16:creationId xmlns:a16="http://schemas.microsoft.com/office/drawing/2014/main" id="{00000000-0008-0000-0600-000038B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1316355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1266825</xdr:colOff>
      <xdr:row>19</xdr:row>
      <xdr:rowOff>19050</xdr:rowOff>
    </xdr:from>
    <xdr:to>
      <xdr:col>3</xdr:col>
      <xdr:colOff>1409700</xdr:colOff>
      <xdr:row>19</xdr:row>
      <xdr:rowOff>152400</xdr:rowOff>
    </xdr:to>
    <xdr:pic>
      <xdr:nvPicPr>
        <xdr:cNvPr id="46649" name="Picture 65088" descr="C:\Users\Bryan\AppData\Local\Microsoft\Windows\Temporary Internet Files\Content.IE5\MVT8L020\MC900433812[1].png">
          <a:extLst>
            <a:ext uri="{FF2B5EF4-FFF2-40B4-BE49-F238E27FC236}">
              <a16:creationId xmlns:a16="http://schemas.microsoft.com/office/drawing/2014/main" id="{00000000-0008-0000-0600-000039B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86715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274"/>
  <sheetViews>
    <sheetView tabSelected="1" topLeftCell="A256" zoomScale="85" zoomScaleNormal="85" workbookViewId="0">
      <selection activeCell="C272" sqref="C272"/>
    </sheetView>
  </sheetViews>
  <sheetFormatPr defaultRowHeight="12.75" x14ac:dyDescent="0.2"/>
  <cols>
    <col min="1" max="1" width="39.140625" bestFit="1" customWidth="1"/>
    <col min="2" max="2" width="12.140625" style="240" bestFit="1" customWidth="1"/>
    <col min="3" max="3" width="6.7109375" style="2" customWidth="1"/>
    <col min="4" max="4" width="39.85546875" style="17" bestFit="1" customWidth="1"/>
    <col min="5" max="5" width="11.85546875" style="2" bestFit="1" customWidth="1"/>
  </cols>
  <sheetData>
    <row r="1" spans="1:4" x14ac:dyDescent="0.2">
      <c r="A1" s="9" t="s">
        <v>0</v>
      </c>
      <c r="B1" s="238" t="s">
        <v>1</v>
      </c>
      <c r="C1" s="18" t="s">
        <v>2</v>
      </c>
      <c r="D1" s="19" t="s">
        <v>3</v>
      </c>
    </row>
    <row r="2" spans="1:4" x14ac:dyDescent="0.2">
      <c r="A2" s="10" t="s">
        <v>805</v>
      </c>
      <c r="B2" s="239">
        <f>Tunnel_H</f>
        <v>90</v>
      </c>
      <c r="C2" s="26" t="s">
        <v>232</v>
      </c>
      <c r="D2" s="201"/>
    </row>
    <row r="3" spans="1:4" x14ac:dyDescent="0.2">
      <c r="A3" s="10" t="s">
        <v>806</v>
      </c>
      <c r="B3" s="239">
        <f>Tunnel_W</f>
        <v>90</v>
      </c>
      <c r="C3" s="26" t="s">
        <v>232</v>
      </c>
      <c r="D3" s="201"/>
    </row>
    <row r="4" spans="1:4" x14ac:dyDescent="0.2">
      <c r="A4" s="10" t="s">
        <v>822</v>
      </c>
      <c r="B4" s="194">
        <f>Corner_Brace_Thk</f>
        <v>9.7009999999999999E-2</v>
      </c>
      <c r="C4" s="26" t="s">
        <v>232</v>
      </c>
    </row>
    <row r="5" spans="1:4" x14ac:dyDescent="0.2">
      <c r="A5" s="10" t="s">
        <v>819</v>
      </c>
      <c r="B5" s="194">
        <f>Reconnect_Thk</f>
        <v>9.7009999999999999E-2</v>
      </c>
      <c r="C5" s="26" t="s">
        <v>232</v>
      </c>
    </row>
    <row r="6" spans="1:4" x14ac:dyDescent="0.2">
      <c r="A6" s="25" t="s">
        <v>887</v>
      </c>
      <c r="B6" s="194">
        <f>Stiffener_Thk</f>
        <v>9.7009999999999999E-2</v>
      </c>
      <c r="C6" s="26" t="s">
        <v>232</v>
      </c>
    </row>
    <row r="7" spans="1:4" x14ac:dyDescent="0.2">
      <c r="A7" s="10" t="s">
        <v>9</v>
      </c>
      <c r="B7" s="194">
        <f>'Excel Calcs'!B19</f>
        <v>3.1E-2</v>
      </c>
      <c r="C7" s="26" t="s">
        <v>232</v>
      </c>
    </row>
    <row r="8" spans="1:4" x14ac:dyDescent="0.2">
      <c r="A8" s="10" t="s">
        <v>828</v>
      </c>
      <c r="B8" s="194" t="str">
        <f>'Excel Calcs'!B20</f>
        <v>0.152</v>
      </c>
      <c r="C8" s="26" t="s">
        <v>232</v>
      </c>
    </row>
    <row r="9" spans="1:4" x14ac:dyDescent="0.2">
      <c r="A9" s="10" t="s">
        <v>799</v>
      </c>
      <c r="B9" s="194" t="str">
        <f>'Excel Calcs'!B21</f>
        <v>0.218</v>
      </c>
      <c r="C9" s="26" t="s">
        <v>232</v>
      </c>
    </row>
    <row r="10" spans="1:4" x14ac:dyDescent="0.2">
      <c r="A10" s="10" t="s">
        <v>853</v>
      </c>
      <c r="B10" s="194">
        <f>'Excel Calcs'!B22</f>
        <v>0.56200000000000006</v>
      </c>
      <c r="C10" s="26" t="s">
        <v>232</v>
      </c>
    </row>
    <row r="11" spans="1:4" x14ac:dyDescent="0.2">
      <c r="A11" s="10" t="s">
        <v>854</v>
      </c>
      <c r="B11" s="194">
        <f>'Excel Calcs'!B23</f>
        <v>0.312</v>
      </c>
      <c r="C11" s="26" t="s">
        <v>232</v>
      </c>
    </row>
    <row r="12" spans="1:4" x14ac:dyDescent="0.2">
      <c r="A12" s="10" t="s">
        <v>891</v>
      </c>
      <c r="B12" s="194" t="str">
        <f>'Excel Calcs'!B24</f>
        <v>0.218</v>
      </c>
      <c r="C12" s="26" t="s">
        <v>232</v>
      </c>
    </row>
    <row r="13" spans="1:4" x14ac:dyDescent="0.2">
      <c r="A13" s="200" t="s">
        <v>896</v>
      </c>
      <c r="B13" s="194">
        <f>'Excel Calcs'!B28</f>
        <v>1E-3</v>
      </c>
      <c r="C13" s="26" t="s">
        <v>232</v>
      </c>
    </row>
    <row r="14" spans="1:4" x14ac:dyDescent="0.2">
      <c r="A14" s="10" t="s">
        <v>1109</v>
      </c>
      <c r="B14" s="194">
        <f>'Excel Calcs'!B29</f>
        <v>0.109</v>
      </c>
      <c r="C14" s="26" t="s">
        <v>232</v>
      </c>
    </row>
    <row r="15" spans="1:4" x14ac:dyDescent="0.2">
      <c r="A15" s="10" t="s">
        <v>1156</v>
      </c>
      <c r="B15" s="194">
        <f>'Excel Calcs'!B30</f>
        <v>0.218</v>
      </c>
      <c r="C15" s="26" t="s">
        <v>232</v>
      </c>
    </row>
    <row r="16" spans="1:4" x14ac:dyDescent="0.2">
      <c r="A16" s="193" t="s">
        <v>1199</v>
      </c>
      <c r="B16" s="194">
        <f>'Excel Calcs'!B31</f>
        <v>0.25</v>
      </c>
      <c r="C16" s="26" t="s">
        <v>232</v>
      </c>
    </row>
    <row r="17" spans="1:3" x14ac:dyDescent="0.2">
      <c r="A17" s="10" t="s">
        <v>1201</v>
      </c>
      <c r="B17" s="194">
        <f>'Excel Calcs'!B32</f>
        <v>3.125E-2</v>
      </c>
      <c r="C17" s="26" t="s">
        <v>232</v>
      </c>
    </row>
    <row r="18" spans="1:3" x14ac:dyDescent="0.2">
      <c r="A18" s="10" t="s">
        <v>820</v>
      </c>
      <c r="B18" s="194">
        <f>'Excel Calcs'!E2</f>
        <v>5.8059799999999999</v>
      </c>
      <c r="C18" s="26" t="s">
        <v>232</v>
      </c>
    </row>
    <row r="19" spans="1:3" x14ac:dyDescent="0.2">
      <c r="A19" s="10" t="s">
        <v>821</v>
      </c>
      <c r="B19" s="194">
        <f>'Excel Calcs'!E3</f>
        <v>5.90299</v>
      </c>
      <c r="C19" s="26" t="s">
        <v>232</v>
      </c>
    </row>
    <row r="20" spans="1:3" x14ac:dyDescent="0.2">
      <c r="A20" s="10" t="s">
        <v>836</v>
      </c>
      <c r="B20" s="194">
        <f>'Excel Calcs'!E4</f>
        <v>0.90298999999999996</v>
      </c>
      <c r="C20" s="26" t="s">
        <v>232</v>
      </c>
    </row>
    <row r="21" spans="1:3" x14ac:dyDescent="0.2">
      <c r="A21" s="10" t="s">
        <v>837</v>
      </c>
      <c r="B21" s="194">
        <f>'Excel Calcs'!E5</f>
        <v>2</v>
      </c>
      <c r="C21" s="26" t="s">
        <v>797</v>
      </c>
    </row>
    <row r="22" spans="1:3" x14ac:dyDescent="0.2">
      <c r="A22" s="10" t="s">
        <v>838</v>
      </c>
      <c r="B22" s="194">
        <f>'Excel Calcs'!E6</f>
        <v>4</v>
      </c>
      <c r="C22" s="26" t="s">
        <v>232</v>
      </c>
    </row>
    <row r="23" spans="1:3" x14ac:dyDescent="0.2">
      <c r="A23" s="25" t="s">
        <v>799</v>
      </c>
      <c r="B23" s="239" t="str">
        <f>'Excel Calcs'!E7</f>
        <v>0.218</v>
      </c>
      <c r="C23" s="26" t="s">
        <v>232</v>
      </c>
    </row>
    <row r="24" spans="1:3" x14ac:dyDescent="0.2">
      <c r="A24" s="10" t="s">
        <v>808</v>
      </c>
      <c r="B24" s="194">
        <f>'Excel Calcs'!E8</f>
        <v>1.3</v>
      </c>
      <c r="C24" s="26" t="s">
        <v>232</v>
      </c>
    </row>
    <row r="25" spans="1:3" x14ac:dyDescent="0.2">
      <c r="A25" s="10" t="s">
        <v>809</v>
      </c>
      <c r="B25" s="194">
        <f>'Excel Calcs'!E9</f>
        <v>0.75</v>
      </c>
      <c r="C25" s="26" t="s">
        <v>232</v>
      </c>
    </row>
    <row r="26" spans="1:3" x14ac:dyDescent="0.2">
      <c r="A26" s="10" t="s">
        <v>810</v>
      </c>
      <c r="B26" s="194">
        <f>'Excel Calcs'!E10</f>
        <v>1.25</v>
      </c>
      <c r="C26" s="26" t="s">
        <v>232</v>
      </c>
    </row>
    <row r="27" spans="1:3" x14ac:dyDescent="0.2">
      <c r="A27" s="10" t="s">
        <v>811</v>
      </c>
      <c r="B27" s="194">
        <f>'Excel Calcs'!E11</f>
        <v>0.65298999999999996</v>
      </c>
      <c r="C27" s="26" t="s">
        <v>232</v>
      </c>
    </row>
    <row r="28" spans="1:3" x14ac:dyDescent="0.2">
      <c r="A28" s="10" t="s">
        <v>812</v>
      </c>
      <c r="B28" s="194">
        <f>'Excel Calcs'!E12</f>
        <v>2.25</v>
      </c>
      <c r="C28" s="26" t="s">
        <v>232</v>
      </c>
    </row>
    <row r="29" spans="1:3" x14ac:dyDescent="0.2">
      <c r="A29" s="21" t="s">
        <v>881</v>
      </c>
      <c r="B29" s="194">
        <f>'Excel Calcs'!E13</f>
        <v>89.886930000000007</v>
      </c>
      <c r="C29" s="26" t="s">
        <v>232</v>
      </c>
    </row>
    <row r="30" spans="1:3" x14ac:dyDescent="0.2">
      <c r="A30" s="21" t="s">
        <v>882</v>
      </c>
      <c r="B30" s="194">
        <f>'Excel Calcs'!E14</f>
        <v>89.90043</v>
      </c>
      <c r="C30" s="26" t="s">
        <v>232</v>
      </c>
    </row>
    <row r="31" spans="1:3" x14ac:dyDescent="0.2">
      <c r="A31" s="21" t="s">
        <v>997</v>
      </c>
      <c r="B31" s="194">
        <f>'Excel Calcs'!E15</f>
        <v>9.7009999999999999E-2</v>
      </c>
      <c r="C31" s="26" t="s">
        <v>232</v>
      </c>
    </row>
    <row r="32" spans="1:3" x14ac:dyDescent="0.2">
      <c r="A32" s="21" t="s">
        <v>998</v>
      </c>
      <c r="B32" s="194">
        <f>'Excel Calcs'!E16</f>
        <v>89.90043</v>
      </c>
      <c r="C32" s="26" t="s">
        <v>232</v>
      </c>
    </row>
    <row r="33" spans="1:3" x14ac:dyDescent="0.2">
      <c r="A33" s="21" t="s">
        <v>999</v>
      </c>
      <c r="B33" s="194">
        <f>'Excel Calcs'!E17</f>
        <v>90.094449999999995</v>
      </c>
      <c r="C33" s="26" t="s">
        <v>232</v>
      </c>
    </row>
    <row r="34" spans="1:3" x14ac:dyDescent="0.2">
      <c r="A34" s="21" t="s">
        <v>1000</v>
      </c>
      <c r="B34" s="194">
        <f>'Excel Calcs'!E18</f>
        <v>179.89787000000001</v>
      </c>
      <c r="C34" s="26" t="s">
        <v>232</v>
      </c>
    </row>
    <row r="35" spans="1:3" x14ac:dyDescent="0.2">
      <c r="A35" s="21" t="s">
        <v>1001</v>
      </c>
      <c r="B35" s="194">
        <f>'Excel Calcs'!E19</f>
        <v>180.09189000000001</v>
      </c>
      <c r="C35" s="26" t="s">
        <v>232</v>
      </c>
    </row>
    <row r="36" spans="1:3" x14ac:dyDescent="0.2">
      <c r="A36" s="21" t="s">
        <v>1002</v>
      </c>
      <c r="B36" s="194">
        <f>'Excel Calcs'!E20</f>
        <v>269.89530999999999</v>
      </c>
      <c r="C36" s="26" t="s">
        <v>232</v>
      </c>
    </row>
    <row r="37" spans="1:3" x14ac:dyDescent="0.2">
      <c r="A37" s="21" t="s">
        <v>1003</v>
      </c>
      <c r="B37" s="194">
        <f>'Excel Calcs'!E21</f>
        <v>270.08933000000002</v>
      </c>
      <c r="C37" s="26" t="s">
        <v>232</v>
      </c>
    </row>
    <row r="38" spans="1:3" x14ac:dyDescent="0.2">
      <c r="A38" s="21" t="s">
        <v>1004</v>
      </c>
      <c r="B38" s="194">
        <f>'Excel Calcs'!E22</f>
        <v>89.902990000000003</v>
      </c>
      <c r="C38" s="26" t="s">
        <v>232</v>
      </c>
    </row>
    <row r="39" spans="1:3" x14ac:dyDescent="0.2">
      <c r="A39" s="21" t="s">
        <v>1005</v>
      </c>
      <c r="B39" s="194">
        <f>'Excel Calcs'!E23</f>
        <v>9.7009999999999999E-2</v>
      </c>
      <c r="C39" s="26" t="s">
        <v>232</v>
      </c>
    </row>
    <row r="40" spans="1:3" x14ac:dyDescent="0.2">
      <c r="A40" s="21" t="s">
        <v>1006</v>
      </c>
      <c r="B40" s="194">
        <f>'Excel Calcs'!E24</f>
        <v>89.902990000000003</v>
      </c>
      <c r="C40" s="26" t="s">
        <v>232</v>
      </c>
    </row>
    <row r="41" spans="1:3" x14ac:dyDescent="0.2">
      <c r="A41" s="21" t="s">
        <v>1007</v>
      </c>
      <c r="B41" s="194">
        <f>'Excel Calcs'!E25</f>
        <v>90.097009999999997</v>
      </c>
      <c r="C41" s="26" t="s">
        <v>232</v>
      </c>
    </row>
    <row r="42" spans="1:3" x14ac:dyDescent="0.2">
      <c r="A42" s="21" t="s">
        <v>1008</v>
      </c>
      <c r="B42" s="194">
        <f>'Excel Calcs'!E26</f>
        <v>179.90243000000001</v>
      </c>
      <c r="C42" s="26" t="s">
        <v>232</v>
      </c>
    </row>
    <row r="43" spans="1:3" x14ac:dyDescent="0.2">
      <c r="A43" s="21" t="s">
        <v>1009</v>
      </c>
      <c r="B43" s="194">
        <f>'Excel Calcs'!E27</f>
        <v>180.09645</v>
      </c>
      <c r="C43" s="26" t="s">
        <v>232</v>
      </c>
    </row>
    <row r="44" spans="1:3" x14ac:dyDescent="0.2">
      <c r="A44" s="21" t="s">
        <v>1010</v>
      </c>
      <c r="B44" s="194">
        <f>'Excel Calcs'!E28</f>
        <v>89.902990000000003</v>
      </c>
      <c r="C44" s="26" t="s">
        <v>232</v>
      </c>
    </row>
    <row r="45" spans="1:3" x14ac:dyDescent="0.2">
      <c r="A45" s="21" t="s">
        <v>1011</v>
      </c>
      <c r="B45" s="194">
        <f>'Excel Calcs'!E29</f>
        <v>9.7009999999999999E-2</v>
      </c>
      <c r="C45" s="26" t="s">
        <v>232</v>
      </c>
    </row>
    <row r="46" spans="1:3" x14ac:dyDescent="0.2">
      <c r="A46" s="10" t="s">
        <v>1108</v>
      </c>
      <c r="B46" s="194">
        <f>'Excel Calcs'!E30</f>
        <v>0.185</v>
      </c>
      <c r="C46" s="26" t="s">
        <v>232</v>
      </c>
    </row>
    <row r="47" spans="1:3" x14ac:dyDescent="0.2">
      <c r="A47" s="21" t="s">
        <v>1042</v>
      </c>
      <c r="B47" s="194">
        <f>'Excel Calcs'!E39</f>
        <v>0.12801000000000001</v>
      </c>
      <c r="C47" s="26" t="s">
        <v>232</v>
      </c>
    </row>
    <row r="48" spans="1:3" x14ac:dyDescent="0.2">
      <c r="A48" s="21" t="s">
        <v>1043</v>
      </c>
      <c r="B48" s="194">
        <f>'Excel Calcs'!E40</f>
        <v>89.743980000000008</v>
      </c>
      <c r="C48" s="26" t="s">
        <v>232</v>
      </c>
    </row>
    <row r="49" spans="1:3" x14ac:dyDescent="0.2">
      <c r="A49" s="21" t="s">
        <v>1045</v>
      </c>
      <c r="B49" s="194">
        <f>'Excel Calcs'!E41</f>
        <v>3</v>
      </c>
      <c r="C49" s="26" t="s">
        <v>232</v>
      </c>
    </row>
    <row r="50" spans="1:3" x14ac:dyDescent="0.2">
      <c r="A50" s="21" t="s">
        <v>1046</v>
      </c>
      <c r="B50" s="194">
        <f>'Excel Calcs'!E42</f>
        <v>0.11251</v>
      </c>
      <c r="C50" s="26" t="s">
        <v>232</v>
      </c>
    </row>
    <row r="51" spans="1:3" x14ac:dyDescent="0.2">
      <c r="A51" s="10" t="s">
        <v>1098</v>
      </c>
      <c r="B51" s="194">
        <f>'Excel Calcs'!E43</f>
        <v>0.25</v>
      </c>
      <c r="C51" s="26" t="s">
        <v>232</v>
      </c>
    </row>
    <row r="52" spans="1:3" x14ac:dyDescent="0.2">
      <c r="A52" s="21" t="s">
        <v>1047</v>
      </c>
      <c r="B52" s="194">
        <f>'Excel Calcs'!E44</f>
        <v>1.9339899999999999</v>
      </c>
      <c r="C52" s="26" t="s">
        <v>232</v>
      </c>
    </row>
    <row r="53" spans="1:3" x14ac:dyDescent="0.2">
      <c r="A53" s="21" t="s">
        <v>1044</v>
      </c>
      <c r="B53" s="194">
        <f>'Excel Calcs'!E45</f>
        <v>0.5</v>
      </c>
      <c r="C53" s="26" t="s">
        <v>232</v>
      </c>
    </row>
    <row r="54" spans="1:3" x14ac:dyDescent="0.2">
      <c r="A54" s="10" t="s">
        <v>1095</v>
      </c>
      <c r="B54" s="194">
        <f>'Excel Calcs'!E46</f>
        <v>11</v>
      </c>
      <c r="C54" s="26" t="s">
        <v>797</v>
      </c>
    </row>
    <row r="55" spans="1:3" x14ac:dyDescent="0.2">
      <c r="A55" s="10" t="s">
        <v>1096</v>
      </c>
      <c r="B55" s="194">
        <f>'Excel Calcs'!E47</f>
        <v>8.1743980000000001</v>
      </c>
      <c r="C55" s="26" t="s">
        <v>232</v>
      </c>
    </row>
    <row r="56" spans="1:3" x14ac:dyDescent="0.2">
      <c r="A56" s="10" t="s">
        <v>1097</v>
      </c>
      <c r="B56" s="194">
        <f>'Excel Calcs'!E48</f>
        <v>4</v>
      </c>
      <c r="C56" s="26" t="s">
        <v>232</v>
      </c>
    </row>
    <row r="57" spans="1:3" x14ac:dyDescent="0.2">
      <c r="A57" s="10" t="s">
        <v>1152</v>
      </c>
      <c r="B57" s="194">
        <f>'Excel Calcs'!E49</f>
        <v>0.12801000000000001</v>
      </c>
      <c r="C57" s="26" t="s">
        <v>232</v>
      </c>
    </row>
    <row r="58" spans="1:3" x14ac:dyDescent="0.2">
      <c r="A58" s="10" t="s">
        <v>1154</v>
      </c>
      <c r="B58" s="194">
        <f>'Excel Calcs'!E50</f>
        <v>0.65298999999999996</v>
      </c>
      <c r="C58" s="26" t="s">
        <v>232</v>
      </c>
    </row>
    <row r="59" spans="1:3" x14ac:dyDescent="0.2">
      <c r="A59" s="10" t="s">
        <v>1155</v>
      </c>
      <c r="B59" s="194">
        <f>'Excel Calcs'!E51</f>
        <v>1.90299</v>
      </c>
      <c r="C59" s="26" t="s">
        <v>232</v>
      </c>
    </row>
    <row r="60" spans="1:3" x14ac:dyDescent="0.2">
      <c r="A60" s="25" t="s">
        <v>813</v>
      </c>
      <c r="B60" s="194">
        <f>'Excel Calcs'!H2</f>
        <v>1.5</v>
      </c>
      <c r="C60" s="26" t="s">
        <v>232</v>
      </c>
    </row>
    <row r="61" spans="1:3" x14ac:dyDescent="0.2">
      <c r="A61" s="10" t="s">
        <v>814</v>
      </c>
      <c r="B61" s="194">
        <f>'Excel Calcs'!H3</f>
        <v>2</v>
      </c>
      <c r="C61" s="26" t="s">
        <v>232</v>
      </c>
    </row>
    <row r="62" spans="1:3" x14ac:dyDescent="0.2">
      <c r="A62" s="10" t="s">
        <v>817</v>
      </c>
      <c r="B62" s="194">
        <f>'Excel Calcs'!H4</f>
        <v>89.803420000000003</v>
      </c>
      <c r="C62" s="26" t="s">
        <v>232</v>
      </c>
    </row>
    <row r="63" spans="1:3" x14ac:dyDescent="0.2">
      <c r="A63" s="10" t="s">
        <v>829</v>
      </c>
      <c r="B63" s="194">
        <f>'Excel Calcs'!H5</f>
        <v>2</v>
      </c>
      <c r="C63" s="26" t="s">
        <v>232</v>
      </c>
    </row>
    <row r="64" spans="1:3" x14ac:dyDescent="0.2">
      <c r="A64" s="10" t="s">
        <v>830</v>
      </c>
      <c r="B64" s="194">
        <f>'Excel Calcs'!H6</f>
        <v>11</v>
      </c>
      <c r="C64" s="26" t="s">
        <v>797</v>
      </c>
    </row>
    <row r="65" spans="1:3" x14ac:dyDescent="0.2">
      <c r="A65" s="10" t="s">
        <v>831</v>
      </c>
      <c r="B65" s="194">
        <f>'Excel Calcs'!H7</f>
        <v>8.5803419999999999</v>
      </c>
      <c r="C65" s="26" t="s">
        <v>232</v>
      </c>
    </row>
    <row r="66" spans="1:3" x14ac:dyDescent="0.2">
      <c r="A66" s="10" t="s">
        <v>816</v>
      </c>
      <c r="B66" s="194">
        <f>'Excel Calcs'!H8</f>
        <v>2</v>
      </c>
      <c r="C66" s="26" t="s">
        <v>232</v>
      </c>
    </row>
    <row r="67" spans="1:3" x14ac:dyDescent="0.2">
      <c r="A67" s="10" t="s">
        <v>815</v>
      </c>
      <c r="B67" s="194">
        <f>'Excel Calcs'!H9</f>
        <v>1.5</v>
      </c>
      <c r="C67" s="26" t="s">
        <v>232</v>
      </c>
    </row>
    <row r="68" spans="1:3" x14ac:dyDescent="0.2">
      <c r="A68" s="10" t="s">
        <v>818</v>
      </c>
      <c r="B68" s="194">
        <f>'Excel Calcs'!H10</f>
        <v>89.805420000000012</v>
      </c>
      <c r="C68" s="26" t="s">
        <v>232</v>
      </c>
    </row>
    <row r="69" spans="1:3" x14ac:dyDescent="0.2">
      <c r="A69" s="21" t="s">
        <v>826</v>
      </c>
      <c r="B69" s="194">
        <f>'Excel Calcs'!H11</f>
        <v>2</v>
      </c>
      <c r="C69" s="26" t="s">
        <v>232</v>
      </c>
    </row>
    <row r="70" spans="1:3" x14ac:dyDescent="0.2">
      <c r="A70" s="21" t="s">
        <v>824</v>
      </c>
      <c r="B70" s="194">
        <f>'Excel Calcs'!H12</f>
        <v>11</v>
      </c>
      <c r="C70" s="26" t="s">
        <v>797</v>
      </c>
    </row>
    <row r="71" spans="1:3" x14ac:dyDescent="0.2">
      <c r="A71" s="21" t="s">
        <v>825</v>
      </c>
      <c r="B71" s="194">
        <f>'Excel Calcs'!H13</f>
        <v>8.5805420000000012</v>
      </c>
      <c r="C71" s="26" t="s">
        <v>232</v>
      </c>
    </row>
    <row r="72" spans="1:3" x14ac:dyDescent="0.2">
      <c r="A72" s="21" t="s">
        <v>871</v>
      </c>
      <c r="B72" s="194">
        <f>'Excel Calcs'!H14</f>
        <v>2.90299</v>
      </c>
      <c r="C72" s="26" t="s">
        <v>232</v>
      </c>
    </row>
    <row r="73" spans="1:3" x14ac:dyDescent="0.2">
      <c r="A73" s="21" t="s">
        <v>872</v>
      </c>
      <c r="B73" s="194">
        <f>'Excel Calcs'!H15</f>
        <v>11</v>
      </c>
      <c r="C73" s="26" t="s">
        <v>797</v>
      </c>
    </row>
    <row r="74" spans="1:3" x14ac:dyDescent="0.2">
      <c r="A74" s="21" t="s">
        <v>873</v>
      </c>
      <c r="B74" s="194">
        <f>'Excel Calcs'!H16</f>
        <v>8.3997440000000001</v>
      </c>
      <c r="C74" s="26" t="s">
        <v>232</v>
      </c>
    </row>
    <row r="75" spans="1:3" x14ac:dyDescent="0.2">
      <c r="A75" s="21" t="s">
        <v>874</v>
      </c>
      <c r="B75" s="194">
        <f>'Excel Calcs'!H17</f>
        <v>2.90299</v>
      </c>
      <c r="C75" s="26" t="s">
        <v>232</v>
      </c>
    </row>
    <row r="76" spans="1:3" x14ac:dyDescent="0.2">
      <c r="A76" s="21" t="s">
        <v>875</v>
      </c>
      <c r="B76" s="194">
        <f>'Excel Calcs'!H18</f>
        <v>11</v>
      </c>
      <c r="C76" s="26" t="s">
        <v>797</v>
      </c>
    </row>
    <row r="77" spans="1:3" x14ac:dyDescent="0.2">
      <c r="A77" s="21" t="s">
        <v>876</v>
      </c>
      <c r="B77" s="194">
        <f>'Excel Calcs'!H19</f>
        <v>8.3999440000000014</v>
      </c>
      <c r="C77" s="26" t="s">
        <v>232</v>
      </c>
    </row>
    <row r="78" spans="1:3" x14ac:dyDescent="0.2">
      <c r="A78" s="10" t="s">
        <v>1146</v>
      </c>
      <c r="B78" s="194">
        <f>'Excel Calcs'!H21</f>
        <v>1.25</v>
      </c>
      <c r="C78" s="26" t="s">
        <v>232</v>
      </c>
    </row>
    <row r="79" spans="1:3" x14ac:dyDescent="0.2">
      <c r="A79" s="10" t="s">
        <v>1145</v>
      </c>
      <c r="B79" s="194">
        <f>'Excel Calcs'!H22</f>
        <v>0.75</v>
      </c>
      <c r="C79" s="26" t="s">
        <v>232</v>
      </c>
    </row>
    <row r="80" spans="1:3" x14ac:dyDescent="0.2">
      <c r="A80" s="10" t="s">
        <v>1153</v>
      </c>
      <c r="B80" s="194">
        <f>'Excel Calcs'!H23</f>
        <v>0.75</v>
      </c>
      <c r="C80" s="26" t="s">
        <v>232</v>
      </c>
    </row>
    <row r="81" spans="1:5" x14ac:dyDescent="0.2">
      <c r="A81" s="10" t="s">
        <v>1158</v>
      </c>
      <c r="B81" s="194">
        <f>'Excel Calcs'!H24</f>
        <v>0.312</v>
      </c>
      <c r="C81" s="26" t="s">
        <v>232</v>
      </c>
    </row>
    <row r="82" spans="1:5" x14ac:dyDescent="0.2">
      <c r="A82" s="10" t="s">
        <v>1159</v>
      </c>
      <c r="B82" s="194">
        <f>'Excel Calcs'!H25</f>
        <v>0.312</v>
      </c>
      <c r="C82" s="26" t="s">
        <v>232</v>
      </c>
    </row>
    <row r="83" spans="1:5" x14ac:dyDescent="0.2">
      <c r="A83" s="10" t="s">
        <v>1074</v>
      </c>
      <c r="B83" s="194">
        <f>'Excel Calcs'!H29</f>
        <v>0.125</v>
      </c>
      <c r="C83" s="26" t="s">
        <v>232</v>
      </c>
    </row>
    <row r="84" spans="1:5" x14ac:dyDescent="0.2">
      <c r="A84" s="10" t="s">
        <v>1075</v>
      </c>
      <c r="B84" s="194">
        <f>'Excel Calcs'!H30</f>
        <v>0.28000000000000003</v>
      </c>
      <c r="C84" s="26" t="s">
        <v>232</v>
      </c>
    </row>
    <row r="85" spans="1:5" x14ac:dyDescent="0.2">
      <c r="A85" s="10" t="s">
        <v>1073</v>
      </c>
      <c r="B85" s="194">
        <f>'Excel Calcs'!H31</f>
        <v>41</v>
      </c>
      <c r="C85" s="26" t="s">
        <v>797</v>
      </c>
    </row>
    <row r="86" spans="1:5" x14ac:dyDescent="0.2">
      <c r="A86" s="10" t="s">
        <v>1193</v>
      </c>
      <c r="B86" s="194">
        <f>'Excel Calcs'!H32</f>
        <v>0.218</v>
      </c>
      <c r="C86" s="26" t="s">
        <v>232</v>
      </c>
    </row>
    <row r="87" spans="1:5" x14ac:dyDescent="0.2">
      <c r="A87" s="10" t="s">
        <v>1194</v>
      </c>
      <c r="B87" s="194">
        <f>'Excel Calcs'!H33</f>
        <v>0.497</v>
      </c>
      <c r="C87" s="26" t="s">
        <v>232</v>
      </c>
    </row>
    <row r="88" spans="1:5" x14ac:dyDescent="0.2">
      <c r="A88" s="10" t="s">
        <v>1195</v>
      </c>
      <c r="B88" s="194">
        <f>'Excel Calcs'!H34</f>
        <v>1.25E-3</v>
      </c>
      <c r="C88" s="26" t="s">
        <v>232</v>
      </c>
    </row>
    <row r="89" spans="1:5" x14ac:dyDescent="0.2">
      <c r="A89" s="10" t="s">
        <v>1196</v>
      </c>
      <c r="B89" s="194">
        <f>'Excel Calcs'!H35</f>
        <v>0.55597999999999992</v>
      </c>
      <c r="C89" s="26" t="s">
        <v>232</v>
      </c>
    </row>
    <row r="90" spans="1:5" x14ac:dyDescent="0.2">
      <c r="A90" s="10" t="s">
        <v>1197</v>
      </c>
      <c r="B90" s="194">
        <f>'Excel Calcs'!E31</f>
        <v>2</v>
      </c>
      <c r="C90" s="26" t="s">
        <v>232</v>
      </c>
    </row>
    <row r="91" spans="1:5" x14ac:dyDescent="0.2">
      <c r="A91" s="10" t="s">
        <v>1198</v>
      </c>
      <c r="B91" s="194">
        <f>'Excel Calcs'!E32</f>
        <v>4.25</v>
      </c>
      <c r="C91" s="26" t="s">
        <v>232</v>
      </c>
    </row>
    <row r="92" spans="1:5" x14ac:dyDescent="0.2">
      <c r="A92" s="25" t="s">
        <v>1209</v>
      </c>
      <c r="B92" s="194">
        <f>'Excel Calcs'!E33</f>
        <v>0.25</v>
      </c>
      <c r="C92" s="26" t="s">
        <v>232</v>
      </c>
    </row>
    <row r="93" spans="1:5" x14ac:dyDescent="0.2">
      <c r="A93" s="10" t="s">
        <v>833</v>
      </c>
      <c r="B93" s="194">
        <f>'Excel Calcs'!B35</f>
        <v>89.596459999999993</v>
      </c>
      <c r="C93" s="26" t="s">
        <v>232</v>
      </c>
    </row>
    <row r="94" spans="1:5" x14ac:dyDescent="0.2">
      <c r="A94" s="10" t="s">
        <v>834</v>
      </c>
      <c r="B94" s="194">
        <f>'Excel Calcs'!B36</f>
        <v>1.40299</v>
      </c>
      <c r="C94" s="26" t="s">
        <v>232</v>
      </c>
    </row>
    <row r="95" spans="1:5" x14ac:dyDescent="0.2">
      <c r="A95" s="10" t="s">
        <v>835</v>
      </c>
      <c r="B95" s="194">
        <f>'Excel Calcs'!B37</f>
        <v>3</v>
      </c>
      <c r="C95" s="26" t="s">
        <v>232</v>
      </c>
      <c r="D95"/>
      <c r="E95"/>
    </row>
    <row r="96" spans="1:5" x14ac:dyDescent="0.2">
      <c r="A96" s="21" t="s">
        <v>1014</v>
      </c>
      <c r="B96" s="194" t="str">
        <f>'Excel Calcs'!B38</f>
        <v>0.218</v>
      </c>
      <c r="C96" s="26" t="s">
        <v>232</v>
      </c>
      <c r="D96"/>
      <c r="E96"/>
    </row>
    <row r="97" spans="1:5" x14ac:dyDescent="0.2">
      <c r="A97" s="21" t="s">
        <v>1016</v>
      </c>
      <c r="B97" s="194">
        <f>'Excel Calcs'!B39</f>
        <v>45</v>
      </c>
      <c r="C97" s="26" t="s">
        <v>232</v>
      </c>
      <c r="D97"/>
      <c r="E97"/>
    </row>
    <row r="98" spans="1:5" x14ac:dyDescent="0.2">
      <c r="A98" s="21" t="s">
        <v>1017</v>
      </c>
      <c r="B98" s="194">
        <f>'Excel Calcs'!B40</f>
        <v>134.99616</v>
      </c>
      <c r="C98" s="26" t="s">
        <v>232</v>
      </c>
      <c r="D98"/>
      <c r="E98"/>
    </row>
    <row r="99" spans="1:5" x14ac:dyDescent="0.2">
      <c r="A99" s="21" t="s">
        <v>1018</v>
      </c>
      <c r="B99" s="194">
        <f>'Excel Calcs'!B41</f>
        <v>224.99360000000001</v>
      </c>
      <c r="C99" s="26" t="s">
        <v>232</v>
      </c>
      <c r="D99"/>
      <c r="E99"/>
    </row>
    <row r="100" spans="1:5" x14ac:dyDescent="0.2">
      <c r="A100" s="21" t="s">
        <v>1019</v>
      </c>
      <c r="B100" s="194">
        <f>'Excel Calcs'!B42</f>
        <v>314.99104000000005</v>
      </c>
      <c r="C100" s="26" t="s">
        <v>232</v>
      </c>
      <c r="D100"/>
      <c r="E100"/>
    </row>
    <row r="101" spans="1:5" x14ac:dyDescent="0.2">
      <c r="A101" s="21" t="s">
        <v>1041</v>
      </c>
      <c r="B101" s="194">
        <f>'Excel Calcs'!B43</f>
        <v>0.54047999999999996</v>
      </c>
      <c r="C101" s="26" t="s">
        <v>232</v>
      </c>
      <c r="D101"/>
      <c r="E101"/>
    </row>
    <row r="102" spans="1:5" x14ac:dyDescent="0.2">
      <c r="A102" s="21" t="s">
        <v>1050</v>
      </c>
      <c r="B102" s="194">
        <f>'Excel Calcs'!B44</f>
        <v>1.40299</v>
      </c>
      <c r="C102" s="26" t="s">
        <v>232</v>
      </c>
      <c r="D102"/>
      <c r="E102"/>
    </row>
    <row r="103" spans="1:5" x14ac:dyDescent="0.2">
      <c r="A103" s="21" t="s">
        <v>1049</v>
      </c>
      <c r="B103" s="194">
        <f>'Excel Calcs'!B45</f>
        <v>44.999720000000003</v>
      </c>
      <c r="C103" s="26" t="s">
        <v>232</v>
      </c>
      <c r="D103"/>
      <c r="E103"/>
    </row>
    <row r="104" spans="1:5" x14ac:dyDescent="0.2">
      <c r="A104" s="21" t="s">
        <v>1052</v>
      </c>
      <c r="B104" s="194">
        <f>'Excel Calcs'!B46</f>
        <v>134.99916000000002</v>
      </c>
      <c r="C104" s="26" t="s">
        <v>232</v>
      </c>
      <c r="D104"/>
      <c r="E104"/>
    </row>
    <row r="105" spans="1:5" x14ac:dyDescent="0.2">
      <c r="A105" s="21" t="s">
        <v>1053</v>
      </c>
      <c r="B105" s="194">
        <f>'Excel Calcs'!B47</f>
        <v>224.99860000000004</v>
      </c>
      <c r="C105" s="26" t="s">
        <v>232</v>
      </c>
      <c r="D105"/>
      <c r="E105"/>
    </row>
    <row r="106" spans="1:5" x14ac:dyDescent="0.2">
      <c r="A106" t="s">
        <v>1203</v>
      </c>
      <c r="B106" s="194">
        <f>'Excel Calcs'!B48</f>
        <v>6.0000000000000026E-2</v>
      </c>
      <c r="C106" s="26" t="s">
        <v>232</v>
      </c>
      <c r="D106"/>
      <c r="E106"/>
    </row>
    <row r="107" spans="1:5" x14ac:dyDescent="0.2">
      <c r="A107" t="s">
        <v>1204</v>
      </c>
      <c r="B107" s="194">
        <f>'Excel Calcs'!B49</f>
        <v>0.2</v>
      </c>
      <c r="C107" s="26" t="s">
        <v>232</v>
      </c>
      <c r="D107"/>
      <c r="E107"/>
    </row>
    <row r="108" spans="1:5" x14ac:dyDescent="0.2">
      <c r="A108" t="s">
        <v>1051</v>
      </c>
      <c r="B108" s="194">
        <f>'Excel Calcs'!B50</f>
        <v>0.40299000000000001</v>
      </c>
      <c r="C108" s="26" t="s">
        <v>232</v>
      </c>
      <c r="D108"/>
      <c r="E108"/>
    </row>
    <row r="109" spans="1:5" x14ac:dyDescent="0.2">
      <c r="A109" t="s">
        <v>1151</v>
      </c>
      <c r="B109" s="194">
        <f>'Excel Calcs'!B51</f>
        <v>9.7009999999999999E-2</v>
      </c>
      <c r="C109" s="26" t="s">
        <v>232</v>
      </c>
      <c r="D109"/>
      <c r="E109"/>
    </row>
    <row r="110" spans="1:5" x14ac:dyDescent="0.2">
      <c r="A110" s="10" t="s">
        <v>1200</v>
      </c>
      <c r="B110" s="194">
        <f>'Excel Calcs'!B52</f>
        <v>0.249</v>
      </c>
      <c r="C110" s="26" t="s">
        <v>232</v>
      </c>
      <c r="D110"/>
      <c r="E110"/>
    </row>
    <row r="111" spans="1:5" x14ac:dyDescent="0.2">
      <c r="A111" s="21" t="s">
        <v>855</v>
      </c>
      <c r="B111" s="194">
        <f>'Excel Calcs'!K2</f>
        <v>1.5</v>
      </c>
      <c r="C111" s="26" t="s">
        <v>232</v>
      </c>
      <c r="D111"/>
      <c r="E111"/>
    </row>
    <row r="112" spans="1:5" x14ac:dyDescent="0.2">
      <c r="A112" s="21" t="s">
        <v>856</v>
      </c>
      <c r="B112" s="194">
        <f>'Excel Calcs'!K3</f>
        <v>2</v>
      </c>
      <c r="C112" s="26" t="s">
        <v>232</v>
      </c>
      <c r="D112"/>
      <c r="E112"/>
    </row>
    <row r="113" spans="1:5" x14ac:dyDescent="0.2">
      <c r="A113" s="21" t="s">
        <v>857</v>
      </c>
      <c r="B113" s="194">
        <f>'Excel Calcs'!K4</f>
        <v>89.802419999999998</v>
      </c>
      <c r="C113" s="26" t="s">
        <v>232</v>
      </c>
      <c r="D113"/>
      <c r="E113"/>
    </row>
    <row r="114" spans="1:5" x14ac:dyDescent="0.2">
      <c r="A114" s="21" t="s">
        <v>859</v>
      </c>
      <c r="B114" s="194">
        <f>'Excel Calcs'!K5</f>
        <v>2</v>
      </c>
      <c r="C114" s="26" t="s">
        <v>232</v>
      </c>
      <c r="D114"/>
      <c r="E114"/>
    </row>
    <row r="115" spans="1:5" x14ac:dyDescent="0.2">
      <c r="A115" s="21" t="s">
        <v>860</v>
      </c>
      <c r="B115" s="194">
        <f>'Excel Calcs'!K6</f>
        <v>11</v>
      </c>
      <c r="C115" s="26" t="s">
        <v>797</v>
      </c>
      <c r="D115"/>
      <c r="E115"/>
    </row>
    <row r="116" spans="1:5" x14ac:dyDescent="0.2">
      <c r="A116" s="21" t="s">
        <v>861</v>
      </c>
      <c r="B116" s="194">
        <f>'Excel Calcs'!K7</f>
        <v>8.5802420000000001</v>
      </c>
      <c r="C116" s="26" t="s">
        <v>232</v>
      </c>
      <c r="D116"/>
      <c r="E116"/>
    </row>
    <row r="117" spans="1:5" x14ac:dyDescent="0.2">
      <c r="A117" s="21" t="s">
        <v>858</v>
      </c>
      <c r="B117" s="194">
        <f>'Excel Calcs'!K8</f>
        <v>89.805980000000005</v>
      </c>
      <c r="C117" s="26" t="s">
        <v>232</v>
      </c>
      <c r="D117"/>
      <c r="E117"/>
    </row>
    <row r="118" spans="1:5" x14ac:dyDescent="0.2">
      <c r="A118" s="21" t="s">
        <v>862</v>
      </c>
      <c r="B118" s="194">
        <f>'Excel Calcs'!K9</f>
        <v>2</v>
      </c>
      <c r="C118" s="26" t="s">
        <v>232</v>
      </c>
      <c r="D118"/>
      <c r="E118"/>
    </row>
    <row r="119" spans="1:5" x14ac:dyDescent="0.2">
      <c r="A119" s="21" t="s">
        <v>863</v>
      </c>
      <c r="B119" s="194">
        <f>'Excel Calcs'!K10</f>
        <v>11</v>
      </c>
      <c r="C119" s="26" t="s">
        <v>797</v>
      </c>
      <c r="D119"/>
      <c r="E119"/>
    </row>
    <row r="120" spans="1:5" x14ac:dyDescent="0.2">
      <c r="A120" s="21" t="s">
        <v>864</v>
      </c>
      <c r="B120" s="194">
        <f>'Excel Calcs'!K11</f>
        <v>8.4</v>
      </c>
      <c r="C120" s="26" t="s">
        <v>232</v>
      </c>
      <c r="D120"/>
      <c r="E120"/>
    </row>
    <row r="121" spans="1:5" x14ac:dyDescent="0.2">
      <c r="A121" s="21" t="s">
        <v>866</v>
      </c>
      <c r="B121" s="194">
        <f>'Excel Calcs'!K12</f>
        <v>2.90299</v>
      </c>
      <c r="C121" s="26" t="s">
        <v>232</v>
      </c>
      <c r="D121"/>
      <c r="E121"/>
    </row>
    <row r="122" spans="1:5" x14ac:dyDescent="0.2">
      <c r="A122" s="21" t="s">
        <v>865</v>
      </c>
      <c r="B122" s="194">
        <f>'Excel Calcs'!K13</f>
        <v>11</v>
      </c>
      <c r="C122" s="26" t="s">
        <v>797</v>
      </c>
      <c r="D122"/>
      <c r="E122"/>
    </row>
    <row r="123" spans="1:5" x14ac:dyDescent="0.2">
      <c r="A123" s="21" t="s">
        <v>867</v>
      </c>
      <c r="B123" s="194">
        <f>'Excel Calcs'!K14</f>
        <v>8.3996439999999986</v>
      </c>
      <c r="C123" s="26" t="s">
        <v>232</v>
      </c>
      <c r="D123"/>
      <c r="E123"/>
    </row>
    <row r="124" spans="1:5" x14ac:dyDescent="0.2">
      <c r="A124" s="21" t="s">
        <v>868</v>
      </c>
      <c r="B124" s="194">
        <f>'Excel Calcs'!K15</f>
        <v>3</v>
      </c>
      <c r="C124" s="26" t="s">
        <v>232</v>
      </c>
      <c r="D124"/>
      <c r="E124"/>
    </row>
    <row r="125" spans="1:5" x14ac:dyDescent="0.2">
      <c r="A125" s="21" t="s">
        <v>869</v>
      </c>
      <c r="B125" s="194">
        <f>'Excel Calcs'!K16</f>
        <v>11</v>
      </c>
      <c r="C125" s="26" t="s">
        <v>797</v>
      </c>
      <c r="D125"/>
      <c r="E125"/>
    </row>
    <row r="126" spans="1:5" x14ac:dyDescent="0.2">
      <c r="A126" s="21" t="s">
        <v>870</v>
      </c>
      <c r="B126" s="194">
        <f>'Excel Calcs'!K17</f>
        <v>8.3805980000000009</v>
      </c>
      <c r="C126" s="26" t="s">
        <v>232</v>
      </c>
      <c r="D126"/>
      <c r="E126"/>
    </row>
    <row r="127" spans="1:5" x14ac:dyDescent="0.2">
      <c r="A127" s="21" t="s">
        <v>877</v>
      </c>
      <c r="B127" s="194">
        <f>'Excel Calcs'!B25</f>
        <v>1.9340899999999999</v>
      </c>
      <c r="C127" s="26" t="s">
        <v>232</v>
      </c>
      <c r="D127"/>
      <c r="E127"/>
    </row>
    <row r="128" spans="1:5" x14ac:dyDescent="0.2">
      <c r="A128" s="10" t="s">
        <v>1100</v>
      </c>
      <c r="B128" s="194">
        <f>'Excel Calcs'!K18</f>
        <v>2.09701</v>
      </c>
      <c r="C128" s="26" t="s">
        <v>232</v>
      </c>
      <c r="D128"/>
      <c r="E128"/>
    </row>
    <row r="129" spans="1:5" x14ac:dyDescent="0.2">
      <c r="A129" s="10" t="s">
        <v>1099</v>
      </c>
      <c r="B129" s="194">
        <f>'Excel Calcs'!K19</f>
        <v>4.34701</v>
      </c>
      <c r="C129" s="26" t="s">
        <v>232</v>
      </c>
      <c r="D129"/>
      <c r="E129"/>
    </row>
    <row r="130" spans="1:5" x14ac:dyDescent="0.2">
      <c r="A130" s="10" t="s">
        <v>1139</v>
      </c>
      <c r="B130" s="194">
        <f>'Excel Calcs'!K21</f>
        <v>0.90298999999999996</v>
      </c>
      <c r="C130" s="26" t="s">
        <v>232</v>
      </c>
      <c r="D130"/>
      <c r="E130"/>
    </row>
    <row r="131" spans="1:5" x14ac:dyDescent="0.2">
      <c r="A131" s="10" t="s">
        <v>1140</v>
      </c>
      <c r="B131" s="194">
        <f>'Excel Calcs'!K22</f>
        <v>1.15299</v>
      </c>
      <c r="C131" s="26" t="s">
        <v>232</v>
      </c>
      <c r="D131"/>
      <c r="E131"/>
    </row>
    <row r="132" spans="1:5" x14ac:dyDescent="0.2">
      <c r="A132" s="10" t="s">
        <v>1147</v>
      </c>
      <c r="B132" s="194">
        <f>'Excel Calcs'!K23</f>
        <v>1.25</v>
      </c>
      <c r="C132" s="26" t="s">
        <v>232</v>
      </c>
      <c r="D132"/>
      <c r="E132"/>
    </row>
    <row r="133" spans="1:5" x14ac:dyDescent="0.2">
      <c r="A133" s="10" t="s">
        <v>1148</v>
      </c>
      <c r="B133" s="194">
        <f>'Excel Calcs'!K24</f>
        <v>0.65298999999999996</v>
      </c>
      <c r="C133" s="26" t="s">
        <v>232</v>
      </c>
      <c r="D133"/>
      <c r="E133"/>
    </row>
    <row r="134" spans="1:5" x14ac:dyDescent="0.2">
      <c r="A134" s="21" t="s">
        <v>899</v>
      </c>
      <c r="B134" s="194">
        <f>'Excel Calcs'!H41</f>
        <v>44.999720000000003</v>
      </c>
      <c r="C134" s="26" t="s">
        <v>232</v>
      </c>
      <c r="D134"/>
      <c r="E134"/>
    </row>
    <row r="135" spans="1:5" x14ac:dyDescent="0.2">
      <c r="A135" s="21" t="s">
        <v>900</v>
      </c>
      <c r="B135" s="194">
        <f>'Excel Calcs'!H42</f>
        <v>45</v>
      </c>
      <c r="C135" s="26" t="s">
        <v>232</v>
      </c>
      <c r="D135"/>
      <c r="E135"/>
    </row>
    <row r="136" spans="1:5" x14ac:dyDescent="0.2">
      <c r="A136" s="21" t="s">
        <v>901</v>
      </c>
      <c r="B136" s="194">
        <f>'Excel Calcs'!H43</f>
        <v>45.000279999999997</v>
      </c>
      <c r="C136" s="26" t="s">
        <v>232</v>
      </c>
      <c r="D136"/>
      <c r="E136"/>
    </row>
    <row r="137" spans="1:5" x14ac:dyDescent="0.2">
      <c r="A137" s="21" t="s">
        <v>1023</v>
      </c>
      <c r="B137" s="194">
        <f>'Excel Calcs'!H44</f>
        <v>90</v>
      </c>
      <c r="C137" s="26" t="s">
        <v>232</v>
      </c>
      <c r="D137"/>
      <c r="E137"/>
    </row>
    <row r="138" spans="1:5" x14ac:dyDescent="0.2">
      <c r="A138" s="21" t="s">
        <v>1022</v>
      </c>
      <c r="B138" s="194">
        <f>'Excel Calcs'!H45</f>
        <v>0</v>
      </c>
      <c r="C138" s="26" t="s">
        <v>232</v>
      </c>
      <c r="D138"/>
      <c r="E138"/>
    </row>
    <row r="139" spans="1:5" x14ac:dyDescent="0.2">
      <c r="A139" s="21" t="s">
        <v>956</v>
      </c>
      <c r="B139" s="194">
        <f>'Excel Calcs'!H46</f>
        <v>45</v>
      </c>
      <c r="C139" s="26" t="s">
        <v>232</v>
      </c>
      <c r="D139"/>
      <c r="E139"/>
    </row>
    <row r="140" spans="1:5" x14ac:dyDescent="0.2">
      <c r="A140" s="21" t="s">
        <v>902</v>
      </c>
      <c r="B140" s="194">
        <f>'Excel Calcs'!H47</f>
        <v>90</v>
      </c>
      <c r="C140" s="26" t="s">
        <v>232</v>
      </c>
      <c r="D140"/>
      <c r="E140"/>
    </row>
    <row r="141" spans="1:5" x14ac:dyDescent="0.2">
      <c r="A141" s="21" t="s">
        <v>903</v>
      </c>
      <c r="B141" s="194">
        <f>'Excel Calcs'!H48</f>
        <v>224.99444000000003</v>
      </c>
      <c r="C141" s="26" t="s">
        <v>232</v>
      </c>
      <c r="D141"/>
      <c r="E141"/>
    </row>
    <row r="142" spans="1:5" x14ac:dyDescent="0.2">
      <c r="A142" s="21" t="s">
        <v>904</v>
      </c>
      <c r="B142" s="194">
        <f>'Excel Calcs'!H49</f>
        <v>45.001280000000001</v>
      </c>
      <c r="C142" s="26" t="s">
        <v>232</v>
      </c>
      <c r="D142"/>
      <c r="E142"/>
    </row>
    <row r="143" spans="1:5" x14ac:dyDescent="0.2">
      <c r="A143" s="21" t="s">
        <v>965</v>
      </c>
      <c r="B143" s="194">
        <f>'Excel Calcs'!H50</f>
        <v>89.803420000000003</v>
      </c>
      <c r="C143" s="26" t="s">
        <v>232</v>
      </c>
      <c r="D143"/>
      <c r="E143"/>
    </row>
    <row r="144" spans="1:5" x14ac:dyDescent="0.2">
      <c r="A144" s="21" t="s">
        <v>966</v>
      </c>
      <c r="B144" s="194">
        <f>'Excel Calcs'!H51</f>
        <v>89.805420000000012</v>
      </c>
      <c r="C144" s="26" t="s">
        <v>232</v>
      </c>
      <c r="D144"/>
      <c r="E144"/>
    </row>
    <row r="145" spans="1:5" x14ac:dyDescent="0.2">
      <c r="A145" s="21" t="s">
        <v>1024</v>
      </c>
      <c r="B145" s="194">
        <f>'Excel Calcs'!K41</f>
        <v>0</v>
      </c>
      <c r="C145" s="26" t="s">
        <v>232</v>
      </c>
      <c r="D145"/>
      <c r="E145"/>
    </row>
    <row r="146" spans="1:5" x14ac:dyDescent="0.2">
      <c r="A146" s="21" t="s">
        <v>1025</v>
      </c>
      <c r="B146" s="194">
        <f>'Excel Calcs'!K42</f>
        <v>89.997439999999997</v>
      </c>
      <c r="C146" s="26" t="s">
        <v>232</v>
      </c>
      <c r="D146"/>
      <c r="E146"/>
    </row>
    <row r="147" spans="1:5" x14ac:dyDescent="0.2">
      <c r="A147" s="21" t="s">
        <v>1026</v>
      </c>
      <c r="B147" s="194">
        <f>'Excel Calcs'!K43</f>
        <v>89.997439999999997</v>
      </c>
      <c r="C147" s="26" t="s">
        <v>232</v>
      </c>
      <c r="D147"/>
      <c r="E147"/>
    </row>
    <row r="148" spans="1:5" x14ac:dyDescent="0.2">
      <c r="A148" s="21" t="s">
        <v>1027</v>
      </c>
      <c r="B148" s="194">
        <f>'Excel Calcs'!K44</f>
        <v>179.99487999999999</v>
      </c>
      <c r="C148" s="26" t="s">
        <v>232</v>
      </c>
      <c r="D148"/>
      <c r="E148"/>
    </row>
    <row r="149" spans="1:5" x14ac:dyDescent="0.2">
      <c r="A149" s="21" t="s">
        <v>1028</v>
      </c>
      <c r="B149" s="194">
        <f>'Excel Calcs'!K45</f>
        <v>179.99487999999999</v>
      </c>
      <c r="C149" s="26" t="s">
        <v>232</v>
      </c>
      <c r="D149"/>
      <c r="E149"/>
    </row>
    <row r="150" spans="1:5" x14ac:dyDescent="0.2">
      <c r="A150" s="21" t="s">
        <v>1029</v>
      </c>
      <c r="B150" s="194">
        <f>'Excel Calcs'!K46</f>
        <v>269.99232000000001</v>
      </c>
      <c r="C150" s="26" t="s">
        <v>232</v>
      </c>
      <c r="D150"/>
      <c r="E150"/>
    </row>
    <row r="151" spans="1:5" x14ac:dyDescent="0.2">
      <c r="A151" s="21" t="s">
        <v>1030</v>
      </c>
      <c r="B151" s="194">
        <f>'Excel Calcs'!K47</f>
        <v>269.99232000000001</v>
      </c>
      <c r="C151" s="26" t="s">
        <v>232</v>
      </c>
      <c r="D151"/>
      <c r="E151"/>
    </row>
    <row r="152" spans="1:5" x14ac:dyDescent="0.2">
      <c r="A152" s="21" t="s">
        <v>1031</v>
      </c>
      <c r="B152" s="194">
        <f>'Excel Calcs'!K48</f>
        <v>90</v>
      </c>
      <c r="C152" s="26" t="s">
        <v>232</v>
      </c>
      <c r="D152"/>
      <c r="E152"/>
    </row>
    <row r="153" spans="1:5" x14ac:dyDescent="0.2">
      <c r="A153" s="10" t="s">
        <v>849</v>
      </c>
      <c r="B153" s="194">
        <f>'Excel Calcs'!B55</f>
        <v>1</v>
      </c>
      <c r="C153" s="7" t="s">
        <v>797</v>
      </c>
      <c r="D153"/>
      <c r="E153"/>
    </row>
    <row r="154" spans="1:5" x14ac:dyDescent="0.2">
      <c r="A154" s="10" t="s">
        <v>850</v>
      </c>
      <c r="B154" s="194">
        <f>'Excel Calcs'!B56</f>
        <v>1</v>
      </c>
      <c r="C154" s="7" t="s">
        <v>797</v>
      </c>
      <c r="D154"/>
      <c r="E154"/>
    </row>
    <row r="155" spans="1:5" x14ac:dyDescent="0.2">
      <c r="A155" s="10" t="s">
        <v>851</v>
      </c>
      <c r="B155" s="194">
        <f>'Excel Calcs'!B57</f>
        <v>1</v>
      </c>
      <c r="C155" s="7" t="s">
        <v>797</v>
      </c>
      <c r="D155"/>
      <c r="E155"/>
    </row>
    <row r="156" spans="1:5" x14ac:dyDescent="0.2">
      <c r="A156" s="10" t="s">
        <v>852</v>
      </c>
      <c r="B156" s="194">
        <f>'Excel Calcs'!B58</f>
        <v>1</v>
      </c>
      <c r="C156" s="7" t="s">
        <v>797</v>
      </c>
      <c r="D156"/>
      <c r="E156"/>
    </row>
    <row r="157" spans="1:5" x14ac:dyDescent="0.2">
      <c r="A157" s="10" t="s">
        <v>883</v>
      </c>
      <c r="B157" s="194">
        <f>'Excel Calcs'!B59</f>
        <v>0</v>
      </c>
      <c r="C157" s="7" t="s">
        <v>797</v>
      </c>
      <c r="D157"/>
      <c r="E157"/>
    </row>
    <row r="158" spans="1:5" x14ac:dyDescent="0.2">
      <c r="A158" s="10" t="s">
        <v>884</v>
      </c>
      <c r="B158" s="194">
        <f>'Excel Calcs'!B60</f>
        <v>0</v>
      </c>
      <c r="C158" s="7" t="s">
        <v>797</v>
      </c>
      <c r="D158"/>
      <c r="E158"/>
    </row>
    <row r="159" spans="1:5" x14ac:dyDescent="0.2">
      <c r="A159" s="10" t="s">
        <v>885</v>
      </c>
      <c r="B159" s="194">
        <f>'Excel Calcs'!B61</f>
        <v>0</v>
      </c>
      <c r="C159" s="7" t="s">
        <v>797</v>
      </c>
      <c r="D159"/>
      <c r="E159"/>
    </row>
    <row r="160" spans="1:5" x14ac:dyDescent="0.2">
      <c r="A160" s="10" t="s">
        <v>886</v>
      </c>
      <c r="B160" s="194">
        <f>'Excel Calcs'!B62</f>
        <v>0</v>
      </c>
      <c r="C160" s="7" t="s">
        <v>797</v>
      </c>
      <c r="D160"/>
      <c r="E160"/>
    </row>
    <row r="161" spans="1:5" x14ac:dyDescent="0.2">
      <c r="A161" s="10" t="s">
        <v>905</v>
      </c>
      <c r="B161" s="194">
        <f>'Excel Calcs'!B63</f>
        <v>0</v>
      </c>
      <c r="C161" s="7" t="s">
        <v>797</v>
      </c>
      <c r="D161"/>
      <c r="E161"/>
    </row>
    <row r="162" spans="1:5" x14ac:dyDescent="0.2">
      <c r="A162" s="10" t="s">
        <v>906</v>
      </c>
      <c r="B162" s="194">
        <f>'Excel Calcs'!B64</f>
        <v>0</v>
      </c>
      <c r="C162" s="7" t="s">
        <v>797</v>
      </c>
      <c r="D162"/>
      <c r="E162"/>
    </row>
    <row r="163" spans="1:5" x14ac:dyDescent="0.2">
      <c r="A163" s="10" t="s">
        <v>907</v>
      </c>
      <c r="B163" s="194">
        <f>'Excel Calcs'!B65</f>
        <v>0</v>
      </c>
      <c r="C163" s="7" t="s">
        <v>797</v>
      </c>
      <c r="D163"/>
      <c r="E163"/>
    </row>
    <row r="164" spans="1:5" x14ac:dyDescent="0.2">
      <c r="A164" s="10" t="s">
        <v>908</v>
      </c>
      <c r="B164" s="194">
        <f>'Excel Calcs'!B66</f>
        <v>0</v>
      </c>
      <c r="C164" s="7" t="s">
        <v>797</v>
      </c>
      <c r="D164"/>
      <c r="E164"/>
    </row>
    <row r="165" spans="1:5" x14ac:dyDescent="0.2">
      <c r="A165" s="10" t="s">
        <v>909</v>
      </c>
      <c r="B165" s="194">
        <f>'Excel Calcs'!B67</f>
        <v>0</v>
      </c>
      <c r="C165" s="7" t="s">
        <v>797</v>
      </c>
      <c r="D165"/>
      <c r="E165"/>
    </row>
    <row r="166" spans="1:5" x14ac:dyDescent="0.2">
      <c r="A166" s="10" t="s">
        <v>910</v>
      </c>
      <c r="B166" s="194">
        <f>'Excel Calcs'!B68</f>
        <v>0</v>
      </c>
      <c r="C166" s="7" t="s">
        <v>797</v>
      </c>
      <c r="D166"/>
      <c r="E166"/>
    </row>
    <row r="167" spans="1:5" x14ac:dyDescent="0.2">
      <c r="A167" s="10" t="s">
        <v>911</v>
      </c>
      <c r="B167" s="194">
        <f>'Excel Calcs'!B69</f>
        <v>0</v>
      </c>
      <c r="C167" s="7" t="s">
        <v>797</v>
      </c>
      <c r="D167"/>
      <c r="E167"/>
    </row>
    <row r="168" spans="1:5" x14ac:dyDescent="0.2">
      <c r="A168" s="10" t="s">
        <v>912</v>
      </c>
      <c r="B168" s="194">
        <f>'Excel Calcs'!B70</f>
        <v>0</v>
      </c>
      <c r="C168" s="7" t="s">
        <v>797</v>
      </c>
      <c r="D168"/>
      <c r="E168"/>
    </row>
    <row r="169" spans="1:5" x14ac:dyDescent="0.2">
      <c r="A169" s="10" t="s">
        <v>913</v>
      </c>
      <c r="B169" s="194">
        <f>'Excel Calcs'!B71</f>
        <v>0</v>
      </c>
      <c r="C169" s="7" t="s">
        <v>797</v>
      </c>
      <c r="D169"/>
      <c r="E169"/>
    </row>
    <row r="170" spans="1:5" x14ac:dyDescent="0.2">
      <c r="A170" s="10" t="s">
        <v>914</v>
      </c>
      <c r="B170" s="194">
        <f>'Excel Calcs'!B72</f>
        <v>0</v>
      </c>
      <c r="C170" s="7" t="s">
        <v>797</v>
      </c>
      <c r="D170"/>
      <c r="E170"/>
    </row>
    <row r="171" spans="1:5" x14ac:dyDescent="0.2">
      <c r="A171" s="10" t="s">
        <v>915</v>
      </c>
      <c r="B171" s="194">
        <f>'Excel Calcs'!B73</f>
        <v>0</v>
      </c>
      <c r="C171" s="7" t="s">
        <v>797</v>
      </c>
      <c r="D171"/>
      <c r="E171"/>
    </row>
    <row r="172" spans="1:5" x14ac:dyDescent="0.2">
      <c r="A172" s="10" t="s">
        <v>916</v>
      </c>
      <c r="B172" s="194">
        <f>'Excel Calcs'!B74</f>
        <v>0</v>
      </c>
      <c r="C172" s="7" t="s">
        <v>797</v>
      </c>
      <c r="D172"/>
      <c r="E172"/>
    </row>
    <row r="173" spans="1:5" x14ac:dyDescent="0.2">
      <c r="A173" s="10" t="s">
        <v>917</v>
      </c>
      <c r="B173" s="194">
        <f>'Excel Calcs'!B75</f>
        <v>0</v>
      </c>
      <c r="C173" s="7" t="s">
        <v>797</v>
      </c>
      <c r="D173"/>
      <c r="E173"/>
    </row>
    <row r="174" spans="1:5" x14ac:dyDescent="0.2">
      <c r="A174" s="10" t="s">
        <v>918</v>
      </c>
      <c r="B174" s="194">
        <f>'Excel Calcs'!B76</f>
        <v>0</v>
      </c>
      <c r="C174" s="7" t="s">
        <v>797</v>
      </c>
      <c r="D174"/>
      <c r="E174"/>
    </row>
    <row r="175" spans="1:5" x14ac:dyDescent="0.2">
      <c r="A175" s="10" t="s">
        <v>919</v>
      </c>
      <c r="B175" s="194">
        <f>'Excel Calcs'!B77</f>
        <v>0</v>
      </c>
      <c r="C175" s="7" t="s">
        <v>797</v>
      </c>
      <c r="D175"/>
      <c r="E175"/>
    </row>
    <row r="176" spans="1:5" x14ac:dyDescent="0.2">
      <c r="A176" s="10" t="s">
        <v>920</v>
      </c>
      <c r="B176" s="194">
        <f>'Excel Calcs'!B78</f>
        <v>0</v>
      </c>
      <c r="C176" s="7" t="s">
        <v>797</v>
      </c>
      <c r="D176"/>
      <c r="E176"/>
    </row>
    <row r="177" spans="1:5" x14ac:dyDescent="0.2">
      <c r="A177" s="10" t="s">
        <v>921</v>
      </c>
      <c r="B177" s="194">
        <f>'Excel Calcs'!B79</f>
        <v>0</v>
      </c>
      <c r="C177" s="7" t="s">
        <v>797</v>
      </c>
      <c r="D177"/>
      <c r="E177"/>
    </row>
    <row r="178" spans="1:5" x14ac:dyDescent="0.2">
      <c r="A178" s="10" t="s">
        <v>922</v>
      </c>
      <c r="B178" s="194">
        <f>'Excel Calcs'!B80</f>
        <v>0</v>
      </c>
      <c r="C178" s="7" t="s">
        <v>797</v>
      </c>
      <c r="D178"/>
      <c r="E178"/>
    </row>
    <row r="179" spans="1:5" x14ac:dyDescent="0.2">
      <c r="A179" s="10" t="s">
        <v>923</v>
      </c>
      <c r="B179" s="194">
        <f>'Excel Calcs'!B81</f>
        <v>0</v>
      </c>
      <c r="C179" s="7" t="s">
        <v>797</v>
      </c>
      <c r="D179"/>
      <c r="E179"/>
    </row>
    <row r="180" spans="1:5" x14ac:dyDescent="0.2">
      <c r="A180" s="10" t="s">
        <v>924</v>
      </c>
      <c r="B180" s="194">
        <f>'Excel Calcs'!B82</f>
        <v>0</v>
      </c>
      <c r="C180" s="7" t="s">
        <v>797</v>
      </c>
      <c r="D180"/>
      <c r="E180"/>
    </row>
    <row r="181" spans="1:5" x14ac:dyDescent="0.2">
      <c r="A181" s="10" t="s">
        <v>925</v>
      </c>
      <c r="B181" s="194">
        <f>'Excel Calcs'!B83</f>
        <v>0</v>
      </c>
      <c r="C181" s="7" t="s">
        <v>797</v>
      </c>
      <c r="D181"/>
      <c r="E181"/>
    </row>
    <row r="182" spans="1:5" x14ac:dyDescent="0.2">
      <c r="A182" s="10" t="s">
        <v>926</v>
      </c>
      <c r="B182" s="194">
        <f>'Excel Calcs'!B84</f>
        <v>0</v>
      </c>
      <c r="C182" s="7" t="s">
        <v>797</v>
      </c>
      <c r="D182"/>
      <c r="E182"/>
    </row>
    <row r="183" spans="1:5" x14ac:dyDescent="0.2">
      <c r="A183" s="10" t="s">
        <v>927</v>
      </c>
      <c r="B183" s="194">
        <f>'Excel Calcs'!B85</f>
        <v>0</v>
      </c>
      <c r="C183" s="7" t="s">
        <v>797</v>
      </c>
      <c r="D183"/>
      <c r="E183"/>
    </row>
    <row r="184" spans="1:5" x14ac:dyDescent="0.2">
      <c r="A184" s="10" t="s">
        <v>928</v>
      </c>
      <c r="B184" s="194">
        <f>'Excel Calcs'!B86</f>
        <v>0</v>
      </c>
      <c r="C184" s="7" t="s">
        <v>797</v>
      </c>
      <c r="D184"/>
      <c r="E184"/>
    </row>
    <row r="185" spans="1:5" x14ac:dyDescent="0.2">
      <c r="A185" s="10" t="s">
        <v>929</v>
      </c>
      <c r="B185" s="194">
        <f>'Excel Calcs'!B87</f>
        <v>0</v>
      </c>
      <c r="C185" s="7" t="s">
        <v>797</v>
      </c>
      <c r="D185"/>
      <c r="E185"/>
    </row>
    <row r="186" spans="1:5" x14ac:dyDescent="0.2">
      <c r="A186" s="10" t="s">
        <v>930</v>
      </c>
      <c r="B186" s="194">
        <f>'Excel Calcs'!B88</f>
        <v>0</v>
      </c>
      <c r="C186" s="7" t="s">
        <v>797</v>
      </c>
      <c r="D186"/>
      <c r="E186"/>
    </row>
    <row r="187" spans="1:5" x14ac:dyDescent="0.2">
      <c r="A187" s="10" t="s">
        <v>931</v>
      </c>
      <c r="B187" s="194">
        <f>'Excel Calcs'!B89</f>
        <v>0</v>
      </c>
      <c r="C187" s="7" t="s">
        <v>797</v>
      </c>
      <c r="D187"/>
      <c r="E187"/>
    </row>
    <row r="188" spans="1:5" x14ac:dyDescent="0.2">
      <c r="A188" s="10" t="s">
        <v>932</v>
      </c>
      <c r="B188" s="194">
        <f>'Excel Calcs'!B90</f>
        <v>0</v>
      </c>
      <c r="C188" s="7" t="s">
        <v>797</v>
      </c>
      <c r="D188"/>
      <c r="E188"/>
    </row>
    <row r="189" spans="1:5" x14ac:dyDescent="0.2">
      <c r="A189" s="10" t="s">
        <v>933</v>
      </c>
      <c r="B189" s="194">
        <f>'Excel Calcs'!B91</f>
        <v>0</v>
      </c>
      <c r="C189" s="7" t="s">
        <v>797</v>
      </c>
      <c r="D189"/>
      <c r="E189"/>
    </row>
    <row r="190" spans="1:5" x14ac:dyDescent="0.2">
      <c r="A190" s="10" t="s">
        <v>934</v>
      </c>
      <c r="B190" s="194">
        <f>'Excel Calcs'!B92</f>
        <v>0</v>
      </c>
      <c r="C190" s="7" t="s">
        <v>797</v>
      </c>
      <c r="D190"/>
      <c r="E190"/>
    </row>
    <row r="191" spans="1:5" x14ac:dyDescent="0.2">
      <c r="A191" s="10" t="s">
        <v>935</v>
      </c>
      <c r="B191" s="194">
        <f>'Excel Calcs'!B93</f>
        <v>0</v>
      </c>
      <c r="C191" s="7" t="s">
        <v>797</v>
      </c>
      <c r="D191"/>
      <c r="E191"/>
    </row>
    <row r="192" spans="1:5" x14ac:dyDescent="0.2">
      <c r="A192" s="10" t="s">
        <v>936</v>
      </c>
      <c r="B192" s="194">
        <f>'Excel Calcs'!B94</f>
        <v>0</v>
      </c>
      <c r="C192" s="7" t="s">
        <v>797</v>
      </c>
      <c r="D192"/>
      <c r="E192"/>
    </row>
    <row r="193" spans="1:5" x14ac:dyDescent="0.2">
      <c r="A193" s="10" t="s">
        <v>937</v>
      </c>
      <c r="B193" s="194">
        <f>'Excel Calcs'!B95</f>
        <v>0</v>
      </c>
      <c r="C193" s="7" t="s">
        <v>797</v>
      </c>
      <c r="D193"/>
      <c r="E193"/>
    </row>
    <row r="194" spans="1:5" x14ac:dyDescent="0.2">
      <c r="A194" s="10" t="s">
        <v>938</v>
      </c>
      <c r="B194" s="194">
        <f>'Excel Calcs'!B96</f>
        <v>0</v>
      </c>
      <c r="C194" s="7" t="s">
        <v>797</v>
      </c>
      <c r="D194"/>
      <c r="E194"/>
    </row>
    <row r="195" spans="1:5" x14ac:dyDescent="0.2">
      <c r="A195" s="10" t="s">
        <v>939</v>
      </c>
      <c r="B195" s="194">
        <f>'Excel Calcs'!B97</f>
        <v>0</v>
      </c>
      <c r="C195" s="7" t="s">
        <v>797</v>
      </c>
      <c r="D195"/>
      <c r="E195"/>
    </row>
    <row r="196" spans="1:5" x14ac:dyDescent="0.2">
      <c r="A196" s="10" t="s">
        <v>940</v>
      </c>
      <c r="B196" s="194">
        <f>'Excel Calcs'!B98</f>
        <v>0</v>
      </c>
      <c r="C196" s="7" t="s">
        <v>797</v>
      </c>
      <c r="D196"/>
      <c r="E196"/>
    </row>
    <row r="197" spans="1:5" x14ac:dyDescent="0.2">
      <c r="A197" s="10" t="s">
        <v>941</v>
      </c>
      <c r="B197" s="194">
        <f>'Excel Calcs'!B99</f>
        <v>0</v>
      </c>
      <c r="C197" s="7" t="s">
        <v>797</v>
      </c>
      <c r="D197"/>
      <c r="E197"/>
    </row>
    <row r="198" spans="1:5" x14ac:dyDescent="0.2">
      <c r="A198" s="10" t="s">
        <v>942</v>
      </c>
      <c r="B198" s="194">
        <f>'Excel Calcs'!B100</f>
        <v>0</v>
      </c>
      <c r="C198" s="7" t="s">
        <v>797</v>
      </c>
      <c r="D198"/>
      <c r="E198"/>
    </row>
    <row r="199" spans="1:5" x14ac:dyDescent="0.2">
      <c r="A199" s="10" t="s">
        <v>943</v>
      </c>
      <c r="B199" s="194">
        <f>'Excel Calcs'!B101</f>
        <v>0</v>
      </c>
      <c r="C199" s="7" t="s">
        <v>797</v>
      </c>
      <c r="D199"/>
      <c r="E199"/>
    </row>
    <row r="200" spans="1:5" x14ac:dyDescent="0.2">
      <c r="A200" s="10" t="s">
        <v>944</v>
      </c>
      <c r="B200" s="194">
        <f>'Excel Calcs'!B102</f>
        <v>0</v>
      </c>
      <c r="C200" s="7" t="s">
        <v>797</v>
      </c>
      <c r="D200"/>
      <c r="E200"/>
    </row>
    <row r="201" spans="1:5" x14ac:dyDescent="0.2">
      <c r="A201" s="10" t="s">
        <v>842</v>
      </c>
      <c r="B201" s="194">
        <f>'Excel Calcs'!B103</f>
        <v>1</v>
      </c>
      <c r="C201" s="7" t="s">
        <v>797</v>
      </c>
      <c r="D201"/>
      <c r="E201"/>
    </row>
    <row r="202" spans="1:5" x14ac:dyDescent="0.2">
      <c r="A202" s="10" t="s">
        <v>841</v>
      </c>
      <c r="B202" s="194">
        <f>'Excel Calcs'!B104</f>
        <v>1</v>
      </c>
      <c r="C202" s="7" t="s">
        <v>797</v>
      </c>
      <c r="D202"/>
      <c r="E202"/>
    </row>
    <row r="203" spans="1:5" x14ac:dyDescent="0.2">
      <c r="A203" s="10" t="s">
        <v>945</v>
      </c>
      <c r="B203" s="194">
        <f>'Excel Calcs'!B105</f>
        <v>0</v>
      </c>
      <c r="C203" s="7" t="s">
        <v>797</v>
      </c>
      <c r="D203"/>
      <c r="E203"/>
    </row>
    <row r="204" spans="1:5" x14ac:dyDescent="0.2">
      <c r="A204" s="10" t="s">
        <v>946</v>
      </c>
      <c r="B204" s="194">
        <f>'Excel Calcs'!B106</f>
        <v>0</v>
      </c>
      <c r="C204" s="7" t="s">
        <v>797</v>
      </c>
      <c r="D204"/>
      <c r="E204"/>
    </row>
    <row r="205" spans="1:5" x14ac:dyDescent="0.2">
      <c r="A205" s="10" t="s">
        <v>947</v>
      </c>
      <c r="B205" s="194">
        <f>'Excel Calcs'!B107</f>
        <v>0</v>
      </c>
      <c r="C205" s="7" t="s">
        <v>797</v>
      </c>
      <c r="D205"/>
      <c r="E205"/>
    </row>
    <row r="206" spans="1:5" x14ac:dyDescent="0.2">
      <c r="A206" s="10" t="s">
        <v>948</v>
      </c>
      <c r="B206" s="194">
        <f>'Excel Calcs'!B108</f>
        <v>0</v>
      </c>
      <c r="C206" s="7" t="s">
        <v>797</v>
      </c>
      <c r="D206"/>
      <c r="E206"/>
    </row>
    <row r="207" spans="1:5" x14ac:dyDescent="0.2">
      <c r="A207" s="10" t="s">
        <v>843</v>
      </c>
      <c r="B207" s="194">
        <f>'Excel Calcs'!B109</f>
        <v>1</v>
      </c>
      <c r="C207" s="7" t="s">
        <v>797</v>
      </c>
      <c r="D207"/>
      <c r="E207"/>
    </row>
    <row r="208" spans="1:5" x14ac:dyDescent="0.2">
      <c r="A208" s="10" t="s">
        <v>951</v>
      </c>
      <c r="B208" s="194">
        <f>'Excel Calcs'!B110</f>
        <v>1</v>
      </c>
      <c r="C208" s="7" t="s">
        <v>797</v>
      </c>
      <c r="D208"/>
      <c r="E208"/>
    </row>
    <row r="209" spans="1:5" x14ac:dyDescent="0.2">
      <c r="A209" s="10" t="s">
        <v>949</v>
      </c>
      <c r="B209" s="194">
        <f>'Excel Calcs'!B111</f>
        <v>0</v>
      </c>
      <c r="C209" s="7" t="s">
        <v>797</v>
      </c>
      <c r="D209"/>
      <c r="E209"/>
    </row>
    <row r="210" spans="1:5" x14ac:dyDescent="0.2">
      <c r="A210" s="10" t="s">
        <v>952</v>
      </c>
      <c r="B210" s="194">
        <f>'Excel Calcs'!B112</f>
        <v>0</v>
      </c>
      <c r="C210" s="7" t="s">
        <v>797</v>
      </c>
      <c r="D210"/>
      <c r="E210"/>
    </row>
    <row r="211" spans="1:5" x14ac:dyDescent="0.2">
      <c r="A211" s="10" t="s">
        <v>950</v>
      </c>
      <c r="B211" s="194">
        <f>'Excel Calcs'!B113</f>
        <v>0</v>
      </c>
      <c r="C211" s="7" t="s">
        <v>797</v>
      </c>
      <c r="D211"/>
      <c r="E211"/>
    </row>
    <row r="212" spans="1:5" x14ac:dyDescent="0.2">
      <c r="A212" s="10" t="s">
        <v>953</v>
      </c>
      <c r="B212" s="194">
        <f>'Excel Calcs'!B114</f>
        <v>0</v>
      </c>
      <c r="C212" s="7" t="s">
        <v>797</v>
      </c>
      <c r="D212"/>
      <c r="E212"/>
    </row>
    <row r="213" spans="1:5" x14ac:dyDescent="0.2">
      <c r="A213" s="10" t="s">
        <v>954</v>
      </c>
      <c r="B213" s="194">
        <f>'Excel Calcs'!B115</f>
        <v>0</v>
      </c>
      <c r="C213" s="7" t="s">
        <v>797</v>
      </c>
      <c r="D213"/>
      <c r="E213"/>
    </row>
    <row r="214" spans="1:5" x14ac:dyDescent="0.2">
      <c r="A214" s="10" t="s">
        <v>955</v>
      </c>
      <c r="B214" s="194">
        <f>'Excel Calcs'!B116</f>
        <v>0</v>
      </c>
      <c r="C214" s="7" t="s">
        <v>797</v>
      </c>
      <c r="D214"/>
      <c r="E214"/>
    </row>
    <row r="215" spans="1:5" x14ac:dyDescent="0.2">
      <c r="A215" s="10" t="s">
        <v>971</v>
      </c>
      <c r="B215" s="194">
        <f>'Excel Calcs'!B117</f>
        <v>0</v>
      </c>
      <c r="C215" s="7" t="s">
        <v>797</v>
      </c>
      <c r="D215"/>
      <c r="E215"/>
    </row>
    <row r="216" spans="1:5" x14ac:dyDescent="0.2">
      <c r="A216" s="10" t="s">
        <v>958</v>
      </c>
      <c r="B216" s="194">
        <f>'Excel Calcs'!B118</f>
        <v>0</v>
      </c>
      <c r="C216" s="7" t="s">
        <v>797</v>
      </c>
      <c r="D216"/>
      <c r="E216"/>
    </row>
    <row r="217" spans="1:5" x14ac:dyDescent="0.2">
      <c r="A217" s="10" t="s">
        <v>972</v>
      </c>
      <c r="B217" s="194">
        <f>'Excel Calcs'!B119</f>
        <v>0</v>
      </c>
      <c r="C217" s="7" t="s">
        <v>797</v>
      </c>
      <c r="D217"/>
      <c r="E217"/>
    </row>
    <row r="218" spans="1:5" x14ac:dyDescent="0.2">
      <c r="A218" s="10" t="s">
        <v>960</v>
      </c>
      <c r="B218" s="194">
        <f>'Excel Calcs'!B120</f>
        <v>0</v>
      </c>
      <c r="C218" s="7" t="s">
        <v>797</v>
      </c>
      <c r="D218"/>
      <c r="E218"/>
    </row>
    <row r="219" spans="1:5" x14ac:dyDescent="0.2">
      <c r="A219" s="10" t="s">
        <v>973</v>
      </c>
      <c r="B219" s="194">
        <f>'Excel Calcs'!B121</f>
        <v>0</v>
      </c>
      <c r="C219" s="7" t="s">
        <v>797</v>
      </c>
      <c r="D219"/>
      <c r="E219"/>
    </row>
    <row r="220" spans="1:5" x14ac:dyDescent="0.2">
      <c r="A220" s="10" t="s">
        <v>962</v>
      </c>
      <c r="B220" s="194">
        <f>'Excel Calcs'!B122</f>
        <v>0</v>
      </c>
      <c r="C220" s="7" t="s">
        <v>797</v>
      </c>
      <c r="D220"/>
      <c r="E220"/>
    </row>
    <row r="221" spans="1:5" x14ac:dyDescent="0.2">
      <c r="A221" s="10" t="s">
        <v>974</v>
      </c>
      <c r="B221" s="194">
        <f>'Excel Calcs'!B123</f>
        <v>0</v>
      </c>
      <c r="C221" s="7" t="s">
        <v>797</v>
      </c>
      <c r="D221"/>
      <c r="E221"/>
    </row>
    <row r="222" spans="1:5" x14ac:dyDescent="0.2">
      <c r="A222" s="10" t="s">
        <v>964</v>
      </c>
      <c r="B222" s="194">
        <f>'Excel Calcs'!B124</f>
        <v>0</v>
      </c>
      <c r="C222" s="7" t="s">
        <v>797</v>
      </c>
      <c r="D222"/>
      <c r="E222"/>
    </row>
    <row r="223" spans="1:5" x14ac:dyDescent="0.2">
      <c r="A223" s="10" t="s">
        <v>957</v>
      </c>
      <c r="B223" s="194">
        <f>'Excel Calcs'!B125</f>
        <v>0</v>
      </c>
      <c r="C223" s="7" t="s">
        <v>797</v>
      </c>
      <c r="D223"/>
      <c r="E223"/>
    </row>
    <row r="224" spans="1:5" x14ac:dyDescent="0.2">
      <c r="A224" s="10" t="s">
        <v>967</v>
      </c>
      <c r="B224" s="194">
        <f>'Excel Calcs'!B126</f>
        <v>0</v>
      </c>
      <c r="C224" s="7" t="s">
        <v>797</v>
      </c>
      <c r="D224"/>
      <c r="E224"/>
    </row>
    <row r="225" spans="1:5" x14ac:dyDescent="0.2">
      <c r="A225" s="10" t="s">
        <v>959</v>
      </c>
      <c r="B225" s="194">
        <f>'Excel Calcs'!B127</f>
        <v>0</v>
      </c>
      <c r="C225" s="7" t="s">
        <v>797</v>
      </c>
      <c r="D225"/>
      <c r="E225"/>
    </row>
    <row r="226" spans="1:5" x14ac:dyDescent="0.2">
      <c r="A226" s="10" t="s">
        <v>968</v>
      </c>
      <c r="B226" s="194">
        <f>'Excel Calcs'!B128</f>
        <v>0</v>
      </c>
      <c r="C226" s="7" t="s">
        <v>797</v>
      </c>
      <c r="D226"/>
      <c r="E226"/>
    </row>
    <row r="227" spans="1:5" x14ac:dyDescent="0.2">
      <c r="A227" s="10" t="s">
        <v>961</v>
      </c>
      <c r="B227" s="194">
        <f>'Excel Calcs'!B129</f>
        <v>0</v>
      </c>
      <c r="C227" s="7" t="s">
        <v>797</v>
      </c>
      <c r="D227"/>
      <c r="E227"/>
    </row>
    <row r="228" spans="1:5" x14ac:dyDescent="0.2">
      <c r="A228" s="10" t="s">
        <v>969</v>
      </c>
      <c r="B228" s="194">
        <f>'Excel Calcs'!B130</f>
        <v>0</v>
      </c>
      <c r="C228" s="7" t="s">
        <v>797</v>
      </c>
      <c r="D228"/>
      <c r="E228"/>
    </row>
    <row r="229" spans="1:5" x14ac:dyDescent="0.2">
      <c r="A229" s="10" t="s">
        <v>963</v>
      </c>
      <c r="B229" s="194">
        <f>'Excel Calcs'!B131</f>
        <v>0</v>
      </c>
      <c r="C229" s="7" t="s">
        <v>797</v>
      </c>
      <c r="D229"/>
      <c r="E229"/>
    </row>
    <row r="230" spans="1:5" x14ac:dyDescent="0.2">
      <c r="A230" s="10" t="s">
        <v>970</v>
      </c>
      <c r="B230" s="194">
        <f>'Excel Calcs'!B132</f>
        <v>0</v>
      </c>
      <c r="C230" s="7" t="s">
        <v>797</v>
      </c>
      <c r="D230"/>
      <c r="E230"/>
    </row>
    <row r="231" spans="1:5" x14ac:dyDescent="0.2">
      <c r="A231" s="10" t="s">
        <v>977</v>
      </c>
      <c r="B231" s="194">
        <f>'Excel Calcs'!B133</f>
        <v>0</v>
      </c>
      <c r="C231" s="7" t="s">
        <v>797</v>
      </c>
      <c r="D231"/>
      <c r="E231"/>
    </row>
    <row r="232" spans="1:5" x14ac:dyDescent="0.2">
      <c r="A232" s="10" t="s">
        <v>978</v>
      </c>
      <c r="B232" s="194">
        <f>'Excel Calcs'!B134</f>
        <v>0</v>
      </c>
      <c r="C232" s="7" t="s">
        <v>797</v>
      </c>
      <c r="D232"/>
      <c r="E232"/>
    </row>
    <row r="233" spans="1:5" x14ac:dyDescent="0.2">
      <c r="A233" s="10" t="s">
        <v>979</v>
      </c>
      <c r="B233" s="194">
        <f>'Excel Calcs'!B135</f>
        <v>0</v>
      </c>
      <c r="C233" s="7" t="s">
        <v>797</v>
      </c>
      <c r="D233"/>
      <c r="E233"/>
    </row>
    <row r="234" spans="1:5" x14ac:dyDescent="0.2">
      <c r="A234" s="10" t="s">
        <v>980</v>
      </c>
      <c r="B234" s="194">
        <f>'Excel Calcs'!B136</f>
        <v>0</v>
      </c>
      <c r="C234" s="7" t="s">
        <v>797</v>
      </c>
      <c r="D234"/>
      <c r="E234"/>
    </row>
    <row r="235" spans="1:5" x14ac:dyDescent="0.2">
      <c r="A235" s="10" t="s">
        <v>981</v>
      </c>
      <c r="B235" s="194">
        <f>'Excel Calcs'!B137</f>
        <v>0</v>
      </c>
      <c r="C235" s="7" t="s">
        <v>797</v>
      </c>
      <c r="D235"/>
      <c r="E235"/>
    </row>
    <row r="236" spans="1:5" x14ac:dyDescent="0.2">
      <c r="A236" s="10" t="s">
        <v>982</v>
      </c>
      <c r="B236" s="194">
        <f>'Excel Calcs'!B138</f>
        <v>0</v>
      </c>
      <c r="C236" s="7" t="s">
        <v>797</v>
      </c>
      <c r="D236"/>
      <c r="E236"/>
    </row>
    <row r="237" spans="1:5" x14ac:dyDescent="0.2">
      <c r="A237" s="10" t="s">
        <v>983</v>
      </c>
      <c r="B237" s="194">
        <f>'Excel Calcs'!B139</f>
        <v>0</v>
      </c>
      <c r="C237" s="7" t="s">
        <v>797</v>
      </c>
      <c r="D237"/>
      <c r="E237"/>
    </row>
    <row r="238" spans="1:5" x14ac:dyDescent="0.2">
      <c r="A238" s="10" t="s">
        <v>984</v>
      </c>
      <c r="B238" s="194">
        <f>'Excel Calcs'!B140</f>
        <v>0</v>
      </c>
      <c r="C238" s="7" t="s">
        <v>797</v>
      </c>
      <c r="D238"/>
      <c r="E238"/>
    </row>
    <row r="239" spans="1:5" x14ac:dyDescent="0.2">
      <c r="A239" s="10" t="s">
        <v>985</v>
      </c>
      <c r="B239" s="194">
        <f>'Excel Calcs'!B141</f>
        <v>0</v>
      </c>
      <c r="C239" s="7" t="s">
        <v>797</v>
      </c>
      <c r="D239"/>
      <c r="E239"/>
    </row>
    <row r="240" spans="1:5" x14ac:dyDescent="0.2">
      <c r="A240" s="10" t="s">
        <v>986</v>
      </c>
      <c r="B240" s="194">
        <f>'Excel Calcs'!B142</f>
        <v>0</v>
      </c>
      <c r="C240" s="7" t="s">
        <v>797</v>
      </c>
      <c r="D240"/>
      <c r="E240"/>
    </row>
    <row r="241" spans="1:5" x14ac:dyDescent="0.2">
      <c r="A241" s="10" t="s">
        <v>987</v>
      </c>
      <c r="B241" s="194">
        <f>'Excel Calcs'!B143</f>
        <v>0</v>
      </c>
      <c r="C241" s="7" t="s">
        <v>797</v>
      </c>
      <c r="D241"/>
      <c r="E241"/>
    </row>
    <row r="242" spans="1:5" x14ac:dyDescent="0.2">
      <c r="A242" s="10" t="s">
        <v>988</v>
      </c>
      <c r="B242" s="194">
        <f>'Excel Calcs'!B144</f>
        <v>0</v>
      </c>
      <c r="C242" s="7" t="s">
        <v>797</v>
      </c>
      <c r="D242"/>
      <c r="E242"/>
    </row>
    <row r="243" spans="1:5" x14ac:dyDescent="0.2">
      <c r="A243" s="10" t="s">
        <v>989</v>
      </c>
      <c r="B243" s="194">
        <f>'Excel Calcs'!B145</f>
        <v>0</v>
      </c>
      <c r="C243" s="7" t="s">
        <v>797</v>
      </c>
      <c r="D243"/>
      <c r="E243"/>
    </row>
    <row r="244" spans="1:5" x14ac:dyDescent="0.2">
      <c r="A244" s="10" t="s">
        <v>990</v>
      </c>
      <c r="B244" s="194">
        <f>'Excel Calcs'!B146</f>
        <v>0</v>
      </c>
      <c r="C244" s="7" t="s">
        <v>797</v>
      </c>
      <c r="D244"/>
      <c r="E244"/>
    </row>
    <row r="245" spans="1:5" x14ac:dyDescent="0.2">
      <c r="A245" s="10" t="s">
        <v>991</v>
      </c>
      <c r="B245" s="194">
        <f>'Excel Calcs'!B147</f>
        <v>0</v>
      </c>
      <c r="C245" s="7" t="s">
        <v>797</v>
      </c>
      <c r="D245"/>
      <c r="E245"/>
    </row>
    <row r="246" spans="1:5" x14ac:dyDescent="0.2">
      <c r="A246" s="10" t="s">
        <v>992</v>
      </c>
      <c r="B246" s="194">
        <f>'Excel Calcs'!B148</f>
        <v>0</v>
      </c>
      <c r="C246" s="7" t="s">
        <v>797</v>
      </c>
      <c r="D246"/>
      <c r="E246"/>
    </row>
    <row r="247" spans="1:5" x14ac:dyDescent="0.2">
      <c r="A247" s="10" t="s">
        <v>993</v>
      </c>
      <c r="B247" s="194">
        <f>'Excel Calcs'!B149</f>
        <v>0</v>
      </c>
      <c r="C247" s="7" t="s">
        <v>797</v>
      </c>
      <c r="D247"/>
      <c r="E247"/>
    </row>
    <row r="248" spans="1:5" x14ac:dyDescent="0.2">
      <c r="A248" s="10" t="s">
        <v>994</v>
      </c>
      <c r="B248" s="194">
        <f>'Excel Calcs'!B150</f>
        <v>0</v>
      </c>
      <c r="C248" s="7" t="s">
        <v>797</v>
      </c>
      <c r="D248"/>
      <c r="E248"/>
    </row>
    <row r="249" spans="1:5" x14ac:dyDescent="0.2">
      <c r="A249" s="10" t="s">
        <v>888</v>
      </c>
      <c r="B249" s="194">
        <f>'Excel Calcs'!B151</f>
        <v>0</v>
      </c>
      <c r="C249" s="7" t="s">
        <v>797</v>
      </c>
      <c r="D249"/>
      <c r="E249"/>
    </row>
    <row r="250" spans="1:5" x14ac:dyDescent="0.2">
      <c r="A250" s="10" t="s">
        <v>1012</v>
      </c>
      <c r="B250" s="194">
        <f>'Excel Calcs'!B152</f>
        <v>0</v>
      </c>
      <c r="C250" s="7" t="s">
        <v>797</v>
      </c>
      <c r="D250"/>
      <c r="E250"/>
    </row>
    <row r="251" spans="1:5" x14ac:dyDescent="0.2">
      <c r="A251" s="10" t="s">
        <v>1013</v>
      </c>
      <c r="B251" s="194">
        <f>'Excel Calcs'!B153</f>
        <v>0</v>
      </c>
      <c r="C251" s="7" t="s">
        <v>797</v>
      </c>
      <c r="D251"/>
      <c r="E251"/>
    </row>
    <row r="252" spans="1:5" x14ac:dyDescent="0.2">
      <c r="A252" s="10" t="s">
        <v>1020</v>
      </c>
      <c r="B252" s="194">
        <f>'Excel Calcs'!B154</f>
        <v>0</v>
      </c>
      <c r="C252" s="7" t="s">
        <v>797</v>
      </c>
      <c r="D252"/>
      <c r="E252"/>
    </row>
    <row r="253" spans="1:5" x14ac:dyDescent="0.2">
      <c r="A253" s="10" t="s">
        <v>1021</v>
      </c>
      <c r="B253" s="194">
        <f>'Excel Calcs'!B155</f>
        <v>0</v>
      </c>
      <c r="C253" s="7" t="s">
        <v>797</v>
      </c>
      <c r="D253"/>
      <c r="E253"/>
    </row>
    <row r="254" spans="1:5" x14ac:dyDescent="0.2">
      <c r="A254" s="10" t="s">
        <v>1033</v>
      </c>
      <c r="B254" s="194">
        <f>'Excel Calcs'!B156</f>
        <v>0</v>
      </c>
      <c r="C254" s="7" t="s">
        <v>797</v>
      </c>
      <c r="D254"/>
      <c r="E254"/>
    </row>
    <row r="255" spans="1:5" x14ac:dyDescent="0.2">
      <c r="A255" s="10" t="s">
        <v>1034</v>
      </c>
      <c r="B255" s="194">
        <f>'Excel Calcs'!B157</f>
        <v>0</v>
      </c>
      <c r="C255" s="7" t="s">
        <v>797</v>
      </c>
      <c r="D255"/>
      <c r="E255"/>
    </row>
    <row r="256" spans="1:5" x14ac:dyDescent="0.2">
      <c r="A256" s="10" t="s">
        <v>1035</v>
      </c>
      <c r="B256" s="194">
        <f>'Excel Calcs'!B158</f>
        <v>0</v>
      </c>
      <c r="C256" s="7" t="s">
        <v>797</v>
      </c>
      <c r="D256"/>
      <c r="E256"/>
    </row>
    <row r="257" spans="1:5" x14ac:dyDescent="0.2">
      <c r="A257" s="10" t="s">
        <v>1036</v>
      </c>
      <c r="B257" s="194">
        <f>'Excel Calcs'!B159</f>
        <v>0</v>
      </c>
      <c r="C257" s="7" t="s">
        <v>797</v>
      </c>
      <c r="D257"/>
      <c r="E257"/>
    </row>
    <row r="258" spans="1:5" x14ac:dyDescent="0.2">
      <c r="A258" s="10" t="s">
        <v>1037</v>
      </c>
      <c r="B258" s="194">
        <f>'Excel Calcs'!B160</f>
        <v>0</v>
      </c>
      <c r="C258" s="7" t="s">
        <v>797</v>
      </c>
      <c r="D258"/>
      <c r="E258"/>
    </row>
    <row r="259" spans="1:5" x14ac:dyDescent="0.2">
      <c r="A259" s="10" t="s">
        <v>1038</v>
      </c>
      <c r="B259" s="194">
        <f>'Excel Calcs'!B161</f>
        <v>0</v>
      </c>
      <c r="C259" s="7" t="s">
        <v>797</v>
      </c>
      <c r="D259"/>
      <c r="E259"/>
    </row>
    <row r="260" spans="1:5" x14ac:dyDescent="0.2">
      <c r="A260" s="10" t="s">
        <v>1039</v>
      </c>
      <c r="B260" s="194">
        <f>'Excel Calcs'!B162</f>
        <v>0</v>
      </c>
      <c r="C260" s="7" t="s">
        <v>797</v>
      </c>
      <c r="D260"/>
      <c r="E260"/>
    </row>
    <row r="261" spans="1:5" x14ac:dyDescent="0.2">
      <c r="A261" s="10" t="s">
        <v>1040</v>
      </c>
      <c r="B261" s="194">
        <f>'Excel Calcs'!B163</f>
        <v>0</v>
      </c>
      <c r="C261" s="7" t="s">
        <v>797</v>
      </c>
      <c r="D261"/>
      <c r="E261"/>
    </row>
    <row r="262" spans="1:5" x14ac:dyDescent="0.2">
      <c r="A262" s="10" t="s">
        <v>844</v>
      </c>
      <c r="B262" s="194">
        <f>'Excel Calcs'!B164</f>
        <v>0</v>
      </c>
      <c r="C262" s="7" t="s">
        <v>797</v>
      </c>
      <c r="D262"/>
      <c r="E262"/>
    </row>
    <row r="263" spans="1:5" x14ac:dyDescent="0.2">
      <c r="A263" s="10" t="s">
        <v>845</v>
      </c>
      <c r="B263" s="194">
        <f>'Excel Calcs'!B165</f>
        <v>0</v>
      </c>
      <c r="C263" s="7" t="s">
        <v>797</v>
      </c>
      <c r="D263"/>
      <c r="E263"/>
    </row>
    <row r="264" spans="1:5" x14ac:dyDescent="0.2">
      <c r="A264" s="10" t="s">
        <v>846</v>
      </c>
      <c r="B264" s="194">
        <f>'Excel Calcs'!B166</f>
        <v>0</v>
      </c>
      <c r="C264" s="7" t="s">
        <v>797</v>
      </c>
      <c r="D264"/>
      <c r="E264"/>
    </row>
    <row r="265" spans="1:5" x14ac:dyDescent="0.2">
      <c r="A265" s="10" t="s">
        <v>847</v>
      </c>
      <c r="B265" s="194">
        <f>'Excel Calcs'!B167</f>
        <v>0</v>
      </c>
      <c r="C265" s="7" t="s">
        <v>797</v>
      </c>
      <c r="D265"/>
      <c r="E265"/>
    </row>
    <row r="266" spans="1:5" x14ac:dyDescent="0.2">
      <c r="A266" s="10" t="s">
        <v>889</v>
      </c>
      <c r="B266" s="194">
        <f>'Excel Calcs'!B168</f>
        <v>0</v>
      </c>
      <c r="C266" s="7" t="s">
        <v>797</v>
      </c>
      <c r="D266"/>
      <c r="E266"/>
    </row>
    <row r="267" spans="1:5" x14ac:dyDescent="0.2">
      <c r="A267" s="10" t="s">
        <v>848</v>
      </c>
      <c r="B267" s="194">
        <f>'Excel Calcs'!B169</f>
        <v>0</v>
      </c>
      <c r="C267" s="7" t="s">
        <v>797</v>
      </c>
      <c r="D267"/>
      <c r="E267"/>
    </row>
    <row r="268" spans="1:5" x14ac:dyDescent="0.2">
      <c r="A268" s="10" t="s">
        <v>1107</v>
      </c>
      <c r="B268" s="194">
        <f>'Excel Calcs'!B170</f>
        <v>0</v>
      </c>
      <c r="C268" s="7" t="s">
        <v>797</v>
      </c>
      <c r="D268"/>
      <c r="E268"/>
    </row>
    <row r="269" spans="1:5" x14ac:dyDescent="0.2">
      <c r="A269" s="10" t="s">
        <v>1136</v>
      </c>
      <c r="B269" s="194">
        <f>'Excel Calcs'!B171</f>
        <v>1</v>
      </c>
      <c r="C269" s="7" t="s">
        <v>797</v>
      </c>
      <c r="D269"/>
      <c r="E269"/>
    </row>
    <row r="270" spans="1:5" x14ac:dyDescent="0.2">
      <c r="A270" s="10" t="s">
        <v>1137</v>
      </c>
      <c r="B270" s="194">
        <f>'Excel Calcs'!B172</f>
        <v>0</v>
      </c>
      <c r="C270" s="7" t="s">
        <v>797</v>
      </c>
      <c r="D270"/>
      <c r="E270"/>
    </row>
    <row r="271" spans="1:5" x14ac:dyDescent="0.2">
      <c r="A271" s="429" t="s">
        <v>1237</v>
      </c>
      <c r="B271" s="430">
        <f>'Excel Calcs'!B33</f>
        <v>0.25</v>
      </c>
      <c r="C271" s="431" t="s">
        <v>232</v>
      </c>
      <c r="D271"/>
      <c r="E271"/>
    </row>
    <row r="272" spans="1:5" x14ac:dyDescent="0.2">
      <c r="D272"/>
      <c r="E272"/>
    </row>
    <row r="273" spans="1:5" x14ac:dyDescent="0.2">
      <c r="A273" s="426" t="s">
        <v>1218</v>
      </c>
      <c r="B273" s="427">
        <f>COUNTIF(B2:B270,OR(ISERROR(B2),B2="FALSE"))</f>
        <v>0</v>
      </c>
      <c r="D273"/>
      <c r="E273"/>
    </row>
    <row r="274" spans="1:5" x14ac:dyDescent="0.2">
      <c r="A274" s="428" t="s">
        <v>1219</v>
      </c>
      <c r="B274" s="427">
        <f>COUNTIF(B2:B270,"&lt;0")</f>
        <v>0</v>
      </c>
    </row>
  </sheetData>
  <autoFilter ref="A1:A273" xr:uid="{00000000-0009-0000-0000-000000000000}"/>
  <phoneticPr fontId="0" type="noConversion"/>
  <conditionalFormatting sqref="B2:B270">
    <cfRule type="containsText" dxfId="4" priority="1" operator="containsText" text="FALSE">
      <formula>NOT(ISERROR(SEARCH("FALSE",B2)))</formula>
    </cfRule>
    <cfRule type="containsErrors" dxfId="3" priority="2">
      <formula>ISERROR(B2)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533"/>
  <sheetViews>
    <sheetView zoomScale="85" zoomScaleNormal="85" workbookViewId="0">
      <selection activeCell="B3" sqref="B3"/>
    </sheetView>
  </sheetViews>
  <sheetFormatPr defaultRowHeight="12.75" x14ac:dyDescent="0.2"/>
  <cols>
    <col min="1" max="1" width="35.5703125" style="2" bestFit="1" customWidth="1"/>
    <col min="2" max="2" width="14.28515625" style="2" customWidth="1"/>
    <col min="3" max="3" width="121.7109375" style="2" customWidth="1"/>
    <col min="4" max="4" width="24.7109375" customWidth="1"/>
    <col min="5" max="5" width="3.7109375" customWidth="1"/>
    <col min="6" max="6" width="18.85546875" bestFit="1" customWidth="1"/>
    <col min="7" max="7" width="15.5703125" customWidth="1"/>
    <col min="8" max="8" width="31" bestFit="1" customWidth="1"/>
  </cols>
  <sheetData>
    <row r="1" spans="1:8" ht="13.5" thickBot="1" x14ac:dyDescent="0.25">
      <c r="A1" s="447" t="s">
        <v>234</v>
      </c>
      <c r="B1" s="448"/>
    </row>
    <row r="2" spans="1:8" ht="13.5" thickBot="1" x14ac:dyDescent="0.25">
      <c r="A2" s="197" t="s">
        <v>0</v>
      </c>
      <c r="B2" s="188" t="s">
        <v>1</v>
      </c>
      <c r="C2" s="198" t="s">
        <v>5</v>
      </c>
      <c r="D2" s="3"/>
      <c r="F2" s="444" t="s">
        <v>233</v>
      </c>
      <c r="G2" s="445"/>
      <c r="H2" s="446"/>
    </row>
    <row r="3" spans="1:8" x14ac:dyDescent="0.2">
      <c r="A3" s="253" t="s">
        <v>1149</v>
      </c>
      <c r="B3" s="372">
        <v>90</v>
      </c>
      <c r="C3" s="373" t="s">
        <v>1106</v>
      </c>
      <c r="D3" s="3"/>
      <c r="F3" s="441" t="s">
        <v>97</v>
      </c>
      <c r="G3" s="442"/>
      <c r="H3" s="443"/>
    </row>
    <row r="4" spans="1:8" x14ac:dyDescent="0.2">
      <c r="A4" s="206" t="s">
        <v>1150</v>
      </c>
      <c r="B4" s="362">
        <v>90</v>
      </c>
      <c r="C4" s="374" t="s">
        <v>1143</v>
      </c>
      <c r="D4" s="3"/>
      <c r="F4" s="387" t="s">
        <v>822</v>
      </c>
      <c r="G4" s="388" t="str">
        <f>IF(Corner_Brace_GAO=0,CONCATENATE(12,MaterialStyle),CONCATENATE(Corner_Brace_GAO,MaterialStyle))</f>
        <v>12STL GALV</v>
      </c>
      <c r="H4" s="389">
        <f>VLOOKUP(G4,Material_List_Table,MATCH(MAT_KEYT,Material_List_Column_Names,0),FALSE)</f>
        <v>9.7009999999999999E-2</v>
      </c>
    </row>
    <row r="5" spans="1:8" x14ac:dyDescent="0.2">
      <c r="A5" s="206" t="s">
        <v>823</v>
      </c>
      <c r="B5" s="396" t="s">
        <v>1214</v>
      </c>
      <c r="C5" s="374" t="s">
        <v>890</v>
      </c>
      <c r="D5" s="413" t="s">
        <v>1222</v>
      </c>
      <c r="F5" s="387" t="s">
        <v>819</v>
      </c>
      <c r="G5" s="388" t="str">
        <f>IF(Reconnect_GAO=0,CONCATENATE(12,MaterialStyle),CONCATENATE(Reconnect_GAO,MaterialStyle))</f>
        <v>12STL GALV</v>
      </c>
      <c r="H5" s="390">
        <f>VLOOKUP(G5,Material_List_Table,MATCH(MAT_KEYT,Material_List_Column_Names,0),FALSE)</f>
        <v>9.7009999999999999E-2</v>
      </c>
    </row>
    <row r="6" spans="1:8" ht="13.5" thickBot="1" x14ac:dyDescent="0.25">
      <c r="A6" s="195" t="s">
        <v>1129</v>
      </c>
      <c r="B6" s="362" t="s">
        <v>98</v>
      </c>
      <c r="C6" s="374" t="s">
        <v>880</v>
      </c>
      <c r="D6" s="413" t="s">
        <v>1223</v>
      </c>
      <c r="F6" s="391" t="s">
        <v>887</v>
      </c>
      <c r="G6" s="392" t="str">
        <f>IF(Stiffener_GAO=0,CONCATENATE(12,MaterialStyle),CONCATENATE(Stiffener_GAO,MaterialStyle))</f>
        <v>12STL GALV</v>
      </c>
      <c r="H6" s="393">
        <f>VLOOKUP(G6,Material_List_Table,MATCH(MAT_KEYT,Material_List_Column_Names,0),FALSE)</f>
        <v>9.7009999999999999E-2</v>
      </c>
    </row>
    <row r="7" spans="1:8" x14ac:dyDescent="0.2">
      <c r="A7" s="195" t="s">
        <v>1138</v>
      </c>
      <c r="B7" s="396" t="s">
        <v>1207</v>
      </c>
      <c r="C7" s="374" t="s">
        <v>1157</v>
      </c>
      <c r="D7" s="413" t="s">
        <v>1224</v>
      </c>
    </row>
    <row r="8" spans="1:8" x14ac:dyDescent="0.2">
      <c r="A8" s="195" t="s">
        <v>1142</v>
      </c>
      <c r="B8" s="362">
        <v>0</v>
      </c>
      <c r="C8" s="374" t="s">
        <v>1212</v>
      </c>
    </row>
    <row r="9" spans="1:8" x14ac:dyDescent="0.2">
      <c r="A9" s="195" t="s">
        <v>1128</v>
      </c>
      <c r="B9" s="362" t="s">
        <v>1103</v>
      </c>
      <c r="C9" s="374" t="s">
        <v>1111</v>
      </c>
      <c r="D9" s="413" t="s">
        <v>1103</v>
      </c>
    </row>
    <row r="10" spans="1:8" x14ac:dyDescent="0.2">
      <c r="A10" s="195" t="s">
        <v>995</v>
      </c>
      <c r="B10" s="26">
        <v>1</v>
      </c>
      <c r="C10" s="374" t="s">
        <v>1126</v>
      </c>
      <c r="D10" s="413" t="s">
        <v>1225</v>
      </c>
    </row>
    <row r="11" spans="1:8" x14ac:dyDescent="0.2">
      <c r="A11" s="195" t="s">
        <v>996</v>
      </c>
      <c r="B11" s="26">
        <v>1</v>
      </c>
      <c r="C11" s="374" t="s">
        <v>1127</v>
      </c>
      <c r="D11" s="413" t="s">
        <v>1226</v>
      </c>
    </row>
    <row r="12" spans="1:8" x14ac:dyDescent="0.2">
      <c r="A12" s="206" t="s">
        <v>892</v>
      </c>
      <c r="B12" s="26" t="s">
        <v>897</v>
      </c>
      <c r="C12" s="374" t="s">
        <v>1141</v>
      </c>
      <c r="D12" s="414" t="s">
        <v>1224</v>
      </c>
    </row>
    <row r="13" spans="1:8" x14ac:dyDescent="0.2">
      <c r="A13" s="195" t="s">
        <v>893</v>
      </c>
      <c r="B13" s="26">
        <v>0</v>
      </c>
      <c r="C13" s="374" t="s">
        <v>1102</v>
      </c>
      <c r="D13" s="24"/>
    </row>
    <row r="14" spans="1:8" x14ac:dyDescent="0.2">
      <c r="A14" s="195" t="s">
        <v>894</v>
      </c>
      <c r="B14" s="26">
        <v>0</v>
      </c>
      <c r="C14" s="374" t="s">
        <v>1102</v>
      </c>
      <c r="D14" s="3"/>
    </row>
    <row r="15" spans="1:8" ht="13.5" thickBot="1" x14ac:dyDescent="0.25">
      <c r="A15" s="261" t="s">
        <v>895</v>
      </c>
      <c r="B15" s="375">
        <v>0</v>
      </c>
      <c r="C15" s="376" t="s">
        <v>1102</v>
      </c>
      <c r="D15" s="3"/>
    </row>
    <row r="16" spans="1:8" x14ac:dyDescent="0.2">
      <c r="D16" s="3"/>
    </row>
    <row r="17" spans="1:4" x14ac:dyDescent="0.2">
      <c r="A17" s="411" t="s">
        <v>1220</v>
      </c>
      <c r="B17" s="412">
        <f>Sheet1!B273</f>
        <v>0</v>
      </c>
      <c r="D17" s="3"/>
    </row>
    <row r="18" spans="1:4" x14ac:dyDescent="0.2">
      <c r="A18" s="411" t="s">
        <v>1221</v>
      </c>
      <c r="B18" s="412">
        <f>Sheet1!B274</f>
        <v>0</v>
      </c>
    </row>
    <row r="21" spans="1:4" x14ac:dyDescent="0.2">
      <c r="C21" s="17"/>
    </row>
    <row r="22" spans="1:4" x14ac:dyDescent="0.2">
      <c r="A22" s="2" t="str">
        <f>CONCATENATE("ASY RECONNECT ",Tunnel_H,"X",Tunnel_W," ",Reconnect_Type," ",IF(MaterialStyle="STL GALV"," GLV",IF(MaterialStyle=" SST","SST",IF(MaterialStyle="STRUCT GALV"," STR G",MaterialStyle))))</f>
        <v>ASY RECONNECT 90X90 STD  GLV</v>
      </c>
      <c r="B22" s="2">
        <f>LEN(A22)</f>
        <v>28</v>
      </c>
      <c r="C22" s="17"/>
    </row>
    <row r="29" spans="1:4" x14ac:dyDescent="0.2">
      <c r="C29" s="17"/>
    </row>
    <row r="30" spans="1:4" x14ac:dyDescent="0.2">
      <c r="C30" s="17"/>
    </row>
    <row r="31" spans="1:4" x14ac:dyDescent="0.2">
      <c r="C31" s="17"/>
    </row>
    <row r="32" spans="1:4" x14ac:dyDescent="0.2">
      <c r="C32" s="17"/>
    </row>
    <row r="65533" spans="4:4" x14ac:dyDescent="0.2">
      <c r="D65533" s="3"/>
    </row>
  </sheetData>
  <mergeCells count="3">
    <mergeCell ref="F3:H3"/>
    <mergeCell ref="F2:H2"/>
    <mergeCell ref="A1:B1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R191"/>
  <sheetViews>
    <sheetView zoomScale="85" zoomScaleNormal="85" workbookViewId="0">
      <selection activeCell="A40" sqref="A40"/>
    </sheetView>
  </sheetViews>
  <sheetFormatPr defaultRowHeight="12.75" x14ac:dyDescent="0.2"/>
  <cols>
    <col min="1" max="1" width="30" style="1" bestFit="1" customWidth="1"/>
    <col min="2" max="2" width="11.28515625" style="2" bestFit="1" customWidth="1"/>
    <col min="3" max="3" width="5.7109375" bestFit="1" customWidth="1"/>
    <col min="4" max="4" width="27.7109375" customWidth="1"/>
    <col min="5" max="5" width="12.28515625" bestFit="1" customWidth="1"/>
    <col min="6" max="6" width="6.140625" bestFit="1" customWidth="1"/>
    <col min="7" max="7" width="34.42578125" bestFit="1" customWidth="1"/>
    <col min="8" max="8" width="12.28515625" bestFit="1" customWidth="1"/>
    <col min="9" max="9" width="8.7109375" bestFit="1" customWidth="1"/>
    <col min="10" max="10" width="38.42578125" bestFit="1" customWidth="1"/>
    <col min="11" max="11" width="8.7109375" customWidth="1"/>
    <col min="12" max="12" width="8.7109375" bestFit="1" customWidth="1"/>
    <col min="13" max="13" width="32.5703125" bestFit="1" customWidth="1"/>
    <col min="14" max="14" width="8.7109375" customWidth="1"/>
    <col min="15" max="15" width="11.85546875" customWidth="1"/>
    <col min="16" max="17" width="8.7109375" customWidth="1"/>
    <col min="18" max="20" width="8.85546875" customWidth="1"/>
  </cols>
  <sheetData>
    <row r="1" spans="1:16" x14ac:dyDescent="0.2">
      <c r="A1" s="190" t="s">
        <v>807</v>
      </c>
      <c r="B1" s="189"/>
      <c r="D1" s="456" t="s">
        <v>803</v>
      </c>
      <c r="E1" s="456"/>
      <c r="G1" s="457" t="s">
        <v>802</v>
      </c>
      <c r="H1" s="458"/>
      <c r="J1" s="459" t="s">
        <v>804</v>
      </c>
      <c r="K1" s="460"/>
      <c r="M1" s="449" t="s">
        <v>1055</v>
      </c>
      <c r="N1" s="450"/>
    </row>
    <row r="2" spans="1:16" x14ac:dyDescent="0.2">
      <c r="A2" s="395" t="s">
        <v>1149</v>
      </c>
      <c r="B2" s="26">
        <f>Tunnel_H</f>
        <v>90</v>
      </c>
      <c r="D2" s="10" t="s">
        <v>820</v>
      </c>
      <c r="E2" s="23">
        <f>6-Corner_Brace_Thk*2</f>
        <v>5.8059799999999999</v>
      </c>
      <c r="G2" s="25" t="s">
        <v>813</v>
      </c>
      <c r="H2" s="7">
        <f>1.5</f>
        <v>1.5</v>
      </c>
      <c r="J2" s="21" t="s">
        <v>855</v>
      </c>
      <c r="K2" s="7">
        <f>1.5</f>
        <v>1.5</v>
      </c>
      <c r="M2" s="241" t="s">
        <v>1056</v>
      </c>
      <c r="N2" s="241">
        <f>1</f>
        <v>1</v>
      </c>
    </row>
    <row r="3" spans="1:16" x14ac:dyDescent="0.2">
      <c r="A3" s="395" t="s">
        <v>1150</v>
      </c>
      <c r="B3" s="26">
        <f>Tunnel_W</f>
        <v>90</v>
      </c>
      <c r="D3" s="10" t="s">
        <v>821</v>
      </c>
      <c r="E3" s="23">
        <f>6-Corner_Brace_Thk</f>
        <v>5.90299</v>
      </c>
      <c r="F3" s="3"/>
      <c r="G3" s="10" t="s">
        <v>814</v>
      </c>
      <c r="H3" s="7">
        <f>2</f>
        <v>2</v>
      </c>
      <c r="J3" s="21" t="s">
        <v>856</v>
      </c>
      <c r="K3" s="7">
        <f>2</f>
        <v>2</v>
      </c>
      <c r="L3" s="200"/>
      <c r="M3" s="241" t="s">
        <v>1057</v>
      </c>
      <c r="N3" s="241">
        <f>H4-5+Reconnect_Thk*2</f>
        <v>84.997439999999997</v>
      </c>
    </row>
    <row r="4" spans="1:16" x14ac:dyDescent="0.2">
      <c r="A4" s="395" t="s">
        <v>823</v>
      </c>
      <c r="B4" s="26" t="str">
        <f>Reconnect_Type</f>
        <v>STD</v>
      </c>
      <c r="D4" s="10" t="s">
        <v>836</v>
      </c>
      <c r="E4" s="7">
        <f>1-Corner_Brace_Thk</f>
        <v>0.90298999999999996</v>
      </c>
      <c r="F4" s="3"/>
      <c r="G4" s="10" t="s">
        <v>817</v>
      </c>
      <c r="H4" s="7">
        <f>IF(AND(B3&lt;=142.5,B9=1,B10=1),B3-Reconnect_Thk*2-0.00128*2,IF(AND(B3&lt;=285,B9=1,B10=1),B3/2-Reconnect_Thk*2-0.00128*2,IF(AND(B3&lt;=427.5,B9=1,B10=1),B3/3-Reconnect_Thk*2-0.00128*2,IF(AND(B3&lt;=570,B9=1,B10=1),B3/4-Reconnect_Thk*2-0.00128*2,IF(AND(B3&lt;=142.5,B10=1),B3-Reconnect_Thk*2-0.00128*2,IF(AND(B3&lt;=285,B10=2),B3/2-Reconnect_Thk*2-0.00128*2,IF(AND(B3&lt;=288,B10=3),B3/3-Reconnect_Thk*2-0.00128*2,B3/4-Reconnect_Thk*2-0.00128*2)))))))</f>
        <v>89.803420000000003</v>
      </c>
      <c r="I4" s="204"/>
      <c r="J4" s="21" t="s">
        <v>857</v>
      </c>
      <c r="K4" s="7">
        <f>H4-0.001</f>
        <v>89.802419999999998</v>
      </c>
      <c r="M4" s="241" t="s">
        <v>1058</v>
      </c>
      <c r="N4" s="242">
        <f>IF(OR(B10&gt;=2,B3&gt;142.5),H4+Reconnect_Thk*2+1,0)</f>
        <v>0</v>
      </c>
    </row>
    <row r="5" spans="1:16" x14ac:dyDescent="0.2">
      <c r="A5" s="425" t="s">
        <v>798</v>
      </c>
      <c r="B5" s="26" t="str">
        <f>MaterialStyle</f>
        <v>STL GALV</v>
      </c>
      <c r="D5" s="10" t="s">
        <v>837</v>
      </c>
      <c r="E5" s="23">
        <v>2</v>
      </c>
      <c r="F5" s="3"/>
      <c r="G5" s="10" t="s">
        <v>829</v>
      </c>
      <c r="H5" s="7">
        <v>2</v>
      </c>
      <c r="J5" s="21" t="s">
        <v>859</v>
      </c>
      <c r="K5" s="7">
        <v>2</v>
      </c>
      <c r="M5" s="241" t="s">
        <v>1059</v>
      </c>
      <c r="N5" s="242">
        <f>IF(OR(B10&gt;=2,B3&gt;142.5),H4*2+Reconnect_Thk*4-5,0)</f>
        <v>0</v>
      </c>
    </row>
    <row r="6" spans="1:16" x14ac:dyDescent="0.2">
      <c r="A6" s="425" t="s">
        <v>1138</v>
      </c>
      <c r="B6" s="26" t="str">
        <f>BTM_Seam</f>
        <v>NO</v>
      </c>
      <c r="D6" s="10" t="s">
        <v>838</v>
      </c>
      <c r="E6" s="23">
        <f>4</f>
        <v>4</v>
      </c>
      <c r="F6" s="3"/>
      <c r="G6" s="10" t="s">
        <v>830</v>
      </c>
      <c r="H6" s="7">
        <f>ROUNDUP(H4/K20,0)+1</f>
        <v>11</v>
      </c>
      <c r="I6" s="3"/>
      <c r="J6" s="21" t="s">
        <v>860</v>
      </c>
      <c r="K6" s="7">
        <f>ROUNDUP(K4/K20,0)+1</f>
        <v>11</v>
      </c>
      <c r="M6" s="241" t="s">
        <v>1060</v>
      </c>
      <c r="N6" s="241">
        <f>IF(OR(B10&gt;=3,B3&gt;285),(H4+Reconnect_Thk*2)*2+1,0)</f>
        <v>0</v>
      </c>
    </row>
    <row r="7" spans="1:16" x14ac:dyDescent="0.2">
      <c r="A7" s="425" t="s">
        <v>1142</v>
      </c>
      <c r="B7" s="26">
        <f>Z_Location</f>
        <v>0</v>
      </c>
      <c r="D7" s="25" t="s">
        <v>799</v>
      </c>
      <c r="E7" s="23" t="str">
        <f>'Hole Sizes'!B7</f>
        <v>0.218</v>
      </c>
      <c r="F7" s="3"/>
      <c r="G7" s="10" t="s">
        <v>831</v>
      </c>
      <c r="H7" s="7">
        <f>(H4-H5*2)/(H6-1)</f>
        <v>8.5803419999999999</v>
      </c>
      <c r="I7" s="191" t="s">
        <v>1104</v>
      </c>
      <c r="J7" s="21" t="s">
        <v>861</v>
      </c>
      <c r="K7" s="7">
        <f>(K4-K5*2)/(K6-1)</f>
        <v>8.5802420000000001</v>
      </c>
      <c r="L7" s="191" t="s">
        <v>1104</v>
      </c>
      <c r="M7" s="241" t="s">
        <v>1061</v>
      </c>
      <c r="N7" s="241">
        <f>IF(OR(B10&gt;=3,B3&gt;285),(H4+Reconnect_Thk*2)*3-5,0)</f>
        <v>0</v>
      </c>
    </row>
    <row r="8" spans="1:16" x14ac:dyDescent="0.2">
      <c r="A8" s="425" t="s">
        <v>1128</v>
      </c>
      <c r="B8" s="7" t="str">
        <f>Construction</f>
        <v>BASELINE</v>
      </c>
      <c r="D8" s="10" t="s">
        <v>800</v>
      </c>
      <c r="E8" s="23">
        <f>1.3</f>
        <v>1.3</v>
      </c>
      <c r="F8" s="3"/>
      <c r="G8" s="10" t="s">
        <v>816</v>
      </c>
      <c r="H8" s="192">
        <f>2</f>
        <v>2</v>
      </c>
      <c r="I8" s="3"/>
      <c r="J8" s="21" t="s">
        <v>858</v>
      </c>
      <c r="K8" s="7">
        <f>H10+0.00028*2</f>
        <v>89.805980000000005</v>
      </c>
      <c r="M8" s="241" t="s">
        <v>1062</v>
      </c>
      <c r="N8" s="241">
        <f>IF(OR(B10=4,B3&gt;427.5),(H4+Reconnect_Thk*2)*3+1,0)</f>
        <v>0</v>
      </c>
    </row>
    <row r="9" spans="1:16" x14ac:dyDescent="0.2">
      <c r="A9" s="425" t="s">
        <v>995</v>
      </c>
      <c r="B9" s="26">
        <f>Reconnect_Array_HO</f>
        <v>1</v>
      </c>
      <c r="D9" s="10" t="s">
        <v>801</v>
      </c>
      <c r="E9" s="23">
        <v>0.75</v>
      </c>
      <c r="F9" s="3"/>
      <c r="G9" s="10" t="s">
        <v>815</v>
      </c>
      <c r="H9" s="7">
        <f>1.5</f>
        <v>1.5</v>
      </c>
      <c r="I9" s="3"/>
      <c r="J9" s="21" t="s">
        <v>862</v>
      </c>
      <c r="K9" s="7">
        <f>2</f>
        <v>2</v>
      </c>
      <c r="M9" s="241" t="s">
        <v>1063</v>
      </c>
      <c r="N9" s="241">
        <f>IF(OR(B10=4,B3&gt;427.5),B3-5,0)</f>
        <v>0</v>
      </c>
    </row>
    <row r="10" spans="1:16" x14ac:dyDescent="0.2">
      <c r="A10" s="425" t="s">
        <v>996</v>
      </c>
      <c r="B10" s="26">
        <f>Reconnect_Array_WO</f>
        <v>1</v>
      </c>
      <c r="D10" s="10" t="s">
        <v>810</v>
      </c>
      <c r="E10" s="23">
        <v>1.25</v>
      </c>
      <c r="F10" s="3"/>
      <c r="G10" s="10" t="s">
        <v>818</v>
      </c>
      <c r="H10" s="7">
        <f>IF(OR(B4="CUWA",B4="CUWC"),B2-Reconnect_Thk-B28-0.00028*2,IF(B9=1,B2-Reconnect_Thk*2-0.00028*2,IF(B9=2,B2/2-Reconnect_Thk*2-0.00028*2,B2/3-Reconnect_Thk*2-0.00028*2)))</f>
        <v>89.805420000000012</v>
      </c>
      <c r="J10" s="21" t="s">
        <v>863</v>
      </c>
      <c r="K10" s="7">
        <f>ROUNDUP(K8/K20,0)+1</f>
        <v>11</v>
      </c>
      <c r="L10" s="191" t="s">
        <v>1104</v>
      </c>
      <c r="M10" s="241" t="s">
        <v>837</v>
      </c>
      <c r="N10" s="241">
        <v>2</v>
      </c>
      <c r="O10" s="3" t="s">
        <v>1192</v>
      </c>
    </row>
    <row r="11" spans="1:16" x14ac:dyDescent="0.2">
      <c r="A11" s="395" t="s">
        <v>840</v>
      </c>
      <c r="B11" s="26" t="str">
        <f>Corner_BraceO</f>
        <v>YES</v>
      </c>
      <c r="D11" s="10" t="s">
        <v>811</v>
      </c>
      <c r="E11" s="23">
        <f>0.75-Corner_Brace_Thk</f>
        <v>0.65298999999999996</v>
      </c>
      <c r="F11" s="3"/>
      <c r="G11" s="21" t="s">
        <v>826</v>
      </c>
      <c r="H11" s="7">
        <f>2</f>
        <v>2</v>
      </c>
      <c r="I11" s="3"/>
      <c r="J11" s="21" t="s">
        <v>864</v>
      </c>
      <c r="K11" s="7">
        <f>IF(B4="CUWC",H19,(K8-K12*2)/(K10-1))</f>
        <v>8.4</v>
      </c>
      <c r="M11" s="242" t="s">
        <v>838</v>
      </c>
      <c r="N11" s="243">
        <f>E6</f>
        <v>4</v>
      </c>
    </row>
    <row r="12" spans="1:16" x14ac:dyDescent="0.2">
      <c r="A12" s="425" t="s">
        <v>893</v>
      </c>
      <c r="B12" s="26">
        <f>Corner_Brace_GAO</f>
        <v>0</v>
      </c>
      <c r="D12" s="10" t="s">
        <v>812</v>
      </c>
      <c r="E12" s="23">
        <v>2.25</v>
      </c>
      <c r="G12" s="21" t="s">
        <v>824</v>
      </c>
      <c r="H12" s="7">
        <f>ROUNDUP(H10/K20,0)+1</f>
        <v>11</v>
      </c>
      <c r="I12" s="191" t="s">
        <v>1104</v>
      </c>
      <c r="J12" s="21" t="s">
        <v>866</v>
      </c>
      <c r="K12" s="20">
        <f>3-Reconnect_Thk</f>
        <v>2.90299</v>
      </c>
      <c r="M12" s="221" t="s">
        <v>1064</v>
      </c>
      <c r="N12" s="222">
        <f>3</f>
        <v>3</v>
      </c>
    </row>
    <row r="13" spans="1:16" x14ac:dyDescent="0.2">
      <c r="A13" s="425" t="s">
        <v>894</v>
      </c>
      <c r="B13" s="26">
        <f>Reconnect_GAO</f>
        <v>0</v>
      </c>
      <c r="D13" s="21" t="s">
        <v>881</v>
      </c>
      <c r="E13" s="7">
        <f>IF(B103=1,H10+Reconnect_Thk-B19/2,K8+Reconnect_Thk)</f>
        <v>89.886930000000007</v>
      </c>
      <c r="G13" s="21" t="s">
        <v>825</v>
      </c>
      <c r="H13" s="7">
        <f>(H10-H11*2)/(H12-1)</f>
        <v>8.5805420000000012</v>
      </c>
      <c r="J13" s="21" t="s">
        <v>865</v>
      </c>
      <c r="K13" s="7">
        <f>ROUNDUP((K4-K12*2)/K20,0)+1</f>
        <v>11</v>
      </c>
      <c r="L13" s="191" t="s">
        <v>1104</v>
      </c>
      <c r="M13" s="221" t="s">
        <v>1065</v>
      </c>
      <c r="N13" s="222">
        <f>IF(OR(B10&gt;=2,B3&gt;142.5),N12+H4+Reconnect_Thk*2,0)</f>
        <v>0</v>
      </c>
    </row>
    <row r="14" spans="1:16" x14ac:dyDescent="0.2">
      <c r="A14" s="425" t="s">
        <v>895</v>
      </c>
      <c r="B14" s="26">
        <f>Stiffener_GAO</f>
        <v>0</v>
      </c>
      <c r="D14" s="21" t="s">
        <v>882</v>
      </c>
      <c r="E14" s="7">
        <f>IF(B103=1,H4+Reconnect_Thk,K4+Reconnect_Thk)</f>
        <v>89.90043</v>
      </c>
      <c r="G14" s="21" t="s">
        <v>871</v>
      </c>
      <c r="H14" s="7">
        <f>3-Reconnect_Thk</f>
        <v>2.90299</v>
      </c>
      <c r="J14" s="21" t="s">
        <v>867</v>
      </c>
      <c r="K14" s="7">
        <f>IF(B4="CUWC",H16,(K4-K12*2)/(K13-1))</f>
        <v>8.3996439999999986</v>
      </c>
      <c r="M14" s="221" t="s">
        <v>1066</v>
      </c>
      <c r="N14" s="222">
        <f>IF(OR(B10&gt;=3,B3&gt;285),(H4+Reconnect_Thk*2)*2+3,0)</f>
        <v>0</v>
      </c>
      <c r="P14" s="361"/>
    </row>
    <row r="15" spans="1:16" x14ac:dyDescent="0.2">
      <c r="D15" s="21" t="s">
        <v>997</v>
      </c>
      <c r="E15" s="7">
        <f>Reconnect_Thk</f>
        <v>9.7009999999999999E-2</v>
      </c>
      <c r="G15" s="21" t="s">
        <v>872</v>
      </c>
      <c r="H15" s="7">
        <f>ROUNDUP((H4-H14*2)/K20,0)+1</f>
        <v>11</v>
      </c>
      <c r="I15" s="191" t="s">
        <v>1104</v>
      </c>
      <c r="J15" s="21" t="s">
        <v>868</v>
      </c>
      <c r="K15" s="7">
        <f>3</f>
        <v>3</v>
      </c>
      <c r="M15" s="221" t="s">
        <v>1067</v>
      </c>
      <c r="N15" s="222">
        <f>IF(OR(B10&gt;=4,B3&gt;427.5),(H4+Reconnect_Thk*2)*3+3,0)</f>
        <v>0</v>
      </c>
    </row>
    <row r="16" spans="1:16" x14ac:dyDescent="0.2">
      <c r="A16" s="1" t="s">
        <v>0</v>
      </c>
      <c r="B16" s="8" t="s">
        <v>1</v>
      </c>
      <c r="D16" s="21" t="s">
        <v>998</v>
      </c>
      <c r="E16" s="20">
        <f>E15+H4</f>
        <v>89.90043</v>
      </c>
      <c r="G16" s="21" t="s">
        <v>873</v>
      </c>
      <c r="H16" s="7">
        <f>(H4-H14*2)/(H15-1)</f>
        <v>8.3997440000000001</v>
      </c>
      <c r="I16" s="3"/>
      <c r="J16" s="21" t="s">
        <v>869</v>
      </c>
      <c r="K16" s="7">
        <f>ROUNDUP((K8-K15*2)/K20,0)+1</f>
        <v>11</v>
      </c>
      <c r="L16" s="191" t="s">
        <v>1104</v>
      </c>
      <c r="M16" s="221" t="s">
        <v>1068</v>
      </c>
      <c r="N16" s="222">
        <f>H15</f>
        <v>11</v>
      </c>
    </row>
    <row r="17" spans="1:14" x14ac:dyDescent="0.2">
      <c r="A17" s="186" t="s">
        <v>231</v>
      </c>
      <c r="B17" s="187"/>
      <c r="D17" s="21" t="s">
        <v>999</v>
      </c>
      <c r="E17" s="20">
        <f>E16+Reconnect_Thk*2</f>
        <v>90.094449999999995</v>
      </c>
      <c r="G17" s="21" t="s">
        <v>874</v>
      </c>
      <c r="H17" s="7">
        <f>3-Reconnect_Thk</f>
        <v>2.90299</v>
      </c>
      <c r="I17" s="3"/>
      <c r="J17" s="21" t="s">
        <v>870</v>
      </c>
      <c r="K17" s="7">
        <f>IF(B4="CUWC",H19,(K8-K15*2)/(K16-1))</f>
        <v>8.3805980000000009</v>
      </c>
      <c r="M17" s="221" t="s">
        <v>1112</v>
      </c>
      <c r="N17" s="222">
        <f>IF(B4="CUWC",K17,H16)</f>
        <v>8.3997440000000001</v>
      </c>
    </row>
    <row r="18" spans="1:14" x14ac:dyDescent="0.2">
      <c r="A18" s="10" t="s">
        <v>827</v>
      </c>
      <c r="B18" s="20">
        <v>0.25</v>
      </c>
      <c r="D18" s="21" t="s">
        <v>1000</v>
      </c>
      <c r="E18" s="7">
        <f>E17+H4</f>
        <v>179.89787000000001</v>
      </c>
      <c r="G18" s="21" t="s">
        <v>875</v>
      </c>
      <c r="H18" s="7">
        <f>IF(H10&lt;=28.5,3,ROUNDUP((H10-H17*2)/K20,0)+1)</f>
        <v>11</v>
      </c>
      <c r="I18" s="191" t="s">
        <v>1104</v>
      </c>
      <c r="J18" s="10" t="s">
        <v>1100</v>
      </c>
      <c r="K18" s="7">
        <f>2+Reconnect_Thk</f>
        <v>2.09701</v>
      </c>
      <c r="M18" s="242" t="s">
        <v>1113</v>
      </c>
      <c r="N18" s="241">
        <v>1</v>
      </c>
    </row>
    <row r="19" spans="1:14" x14ac:dyDescent="0.2">
      <c r="A19" s="10" t="s">
        <v>9</v>
      </c>
      <c r="B19" s="20">
        <v>3.1E-2</v>
      </c>
      <c r="D19" s="21" t="s">
        <v>1001</v>
      </c>
      <c r="E19" s="7">
        <f>E18+Reconnect_Thk*2</f>
        <v>180.09189000000001</v>
      </c>
      <c r="G19" s="21" t="s">
        <v>876</v>
      </c>
      <c r="H19" s="7">
        <f>IF(B4="CUWC",(H10-H17*2-Reconnect_Thk)/(H18-1),IF(H10&lt;=28.5,(H10-H17*2)/2,(H10-H17*2)/(H18-1)))</f>
        <v>8.3999440000000014</v>
      </c>
      <c r="J19" s="10" t="s">
        <v>1099</v>
      </c>
      <c r="K19" s="7">
        <f>4.25+Reconnect_Thk</f>
        <v>4.34701</v>
      </c>
      <c r="M19" s="242" t="s">
        <v>1114</v>
      </c>
      <c r="N19" s="241">
        <f>IF(OR(B$4="CUWA",B$4="CUWC"),H10+Reconnect_Thk-5,H10+Reconnect_Thk*2-5)</f>
        <v>84.999440000000007</v>
      </c>
    </row>
    <row r="20" spans="1:14" x14ac:dyDescent="0.2">
      <c r="A20" s="10" t="s">
        <v>828</v>
      </c>
      <c r="B20" s="7" t="str">
        <f>'Hole Sizes'!E25</f>
        <v>0.152</v>
      </c>
      <c r="C20" s="31"/>
      <c r="D20" s="21" t="s">
        <v>1002</v>
      </c>
      <c r="E20" s="7">
        <f>E19+H4</f>
        <v>269.89530999999999</v>
      </c>
      <c r="G20" s="260" t="s">
        <v>1105</v>
      </c>
      <c r="H20" s="7">
        <f>0.75</f>
        <v>0.75</v>
      </c>
      <c r="I20" s="3"/>
      <c r="J20" s="10" t="s">
        <v>1110</v>
      </c>
      <c r="K20" s="7">
        <f>IF(B8="BASELINE",9,6.5)</f>
        <v>9</v>
      </c>
      <c r="L20" s="191" t="s">
        <v>1104</v>
      </c>
      <c r="M20" s="242" t="s">
        <v>1115</v>
      </c>
      <c r="N20" s="241">
        <f>IF(B9&lt;2,0,IF(AND(B9=1,B10=1),0,IF(OR(B$4="CUWA",B$4="CUWC"),0,H10+Reconnect_Thk*2+1)))</f>
        <v>0</v>
      </c>
    </row>
    <row r="21" spans="1:14" x14ac:dyDescent="0.2">
      <c r="A21" s="10" t="s">
        <v>799</v>
      </c>
      <c r="B21" s="7" t="str">
        <f>'Hole Sizes'!B7</f>
        <v>0.218</v>
      </c>
      <c r="D21" s="21" t="s">
        <v>1003</v>
      </c>
      <c r="E21" s="7">
        <f>E20+Reconnect_Thk*2</f>
        <v>270.08933000000002</v>
      </c>
      <c r="G21" s="10" t="s">
        <v>1146</v>
      </c>
      <c r="H21" s="7">
        <f>1.25</f>
        <v>1.25</v>
      </c>
      <c r="J21" s="10" t="s">
        <v>1139</v>
      </c>
      <c r="K21" s="7">
        <f>1-Reconnect_Thk</f>
        <v>0.90298999999999996</v>
      </c>
      <c r="M21" s="242" t="s">
        <v>1116</v>
      </c>
      <c r="N21" s="241">
        <f>IF(B9&lt;2,0,IF(AND(B9=1,B10=1),0,IF(OR(B$4="CUWA",B$4="CUWC"),0,(H10+Reconnect_Thk*2)*2-5)))</f>
        <v>0</v>
      </c>
    </row>
    <row r="22" spans="1:14" x14ac:dyDescent="0.2">
      <c r="A22" s="10" t="s">
        <v>853</v>
      </c>
      <c r="B22" s="7">
        <v>0.56200000000000006</v>
      </c>
      <c r="D22" s="21" t="s">
        <v>1004</v>
      </c>
      <c r="E22" s="20">
        <f>B3-Reconnect_Thk</f>
        <v>89.902990000000003</v>
      </c>
      <c r="G22" s="10" t="s">
        <v>1145</v>
      </c>
      <c r="H22" s="7">
        <v>0.75</v>
      </c>
      <c r="J22" s="10" t="s">
        <v>1140</v>
      </c>
      <c r="K22" s="7">
        <f>1.25-Reconnect_Thk</f>
        <v>1.15299</v>
      </c>
      <c r="M22" s="242" t="s">
        <v>1117</v>
      </c>
      <c r="N22" s="241">
        <f>IF(B9&lt;3,0,IF(AND(B9=1,B10=1),0,IF(OR(B$4="CUWA",B$4="CUWC"),0,(H10+Reconnect_Thk*2)*2+1)))</f>
        <v>0</v>
      </c>
    </row>
    <row r="23" spans="1:14" x14ac:dyDescent="0.2">
      <c r="A23" s="193" t="s">
        <v>854</v>
      </c>
      <c r="B23" s="196">
        <v>0.312</v>
      </c>
      <c r="D23" s="21" t="s">
        <v>1005</v>
      </c>
      <c r="E23" s="7">
        <f>Reconnect_Thk</f>
        <v>9.7009999999999999E-2</v>
      </c>
      <c r="G23" s="10" t="s">
        <v>1153</v>
      </c>
      <c r="H23" s="7">
        <f>0.75</f>
        <v>0.75</v>
      </c>
      <c r="J23" s="10" t="s">
        <v>1147</v>
      </c>
      <c r="K23" s="7">
        <v>1.25</v>
      </c>
      <c r="M23" s="242" t="s">
        <v>1118</v>
      </c>
      <c r="N23" s="241">
        <f>IF(B9&lt;3,0,IF(AND(B9=1,B10=1),0,IF(OR(B$4="CUWA",B$4="CUWC"),0,B2-5)))</f>
        <v>0</v>
      </c>
    </row>
    <row r="24" spans="1:14" x14ac:dyDescent="0.2">
      <c r="A24" s="10" t="s">
        <v>891</v>
      </c>
      <c r="B24" s="7" t="str">
        <f>IF(B4="CUWC",B23,B21)</f>
        <v>0.218</v>
      </c>
      <c r="D24" s="21" t="s">
        <v>1006</v>
      </c>
      <c r="E24" s="7">
        <f>IF(AND(B9=1,B10=1),B2-Reconnect_Thk,H10+Reconnect_Thk)</f>
        <v>89.902990000000003</v>
      </c>
      <c r="G24" s="10" t="s">
        <v>1158</v>
      </c>
      <c r="H24" s="7">
        <f>IF(B4="CUL",B21,IF(B4="STD",B23,B23))</f>
        <v>0.312</v>
      </c>
      <c r="J24" s="10" t="s">
        <v>1148</v>
      </c>
      <c r="K24" s="7">
        <f>0.75-Reconnect_Thk</f>
        <v>0.65298999999999996</v>
      </c>
      <c r="M24" s="242" t="s">
        <v>1119</v>
      </c>
      <c r="N24" s="241">
        <v>2</v>
      </c>
    </row>
    <row r="25" spans="1:14" x14ac:dyDescent="0.2">
      <c r="A25" s="21" t="s">
        <v>878</v>
      </c>
      <c r="B25" s="194">
        <f>K3-Data!H5+0.0001+B19</f>
        <v>1.9340899999999999</v>
      </c>
      <c r="D25" s="21" t="s">
        <v>1007</v>
      </c>
      <c r="E25" s="7">
        <f>E24+Reconnect_Thk*2</f>
        <v>90.097009999999997</v>
      </c>
      <c r="G25" s="10" t="s">
        <v>1159</v>
      </c>
      <c r="H25" s="409">
        <f>IF(B4="CUL",B23,B23)</f>
        <v>0.312</v>
      </c>
      <c r="M25" s="242" t="s">
        <v>1120</v>
      </c>
      <c r="N25" s="243">
        <f>E6</f>
        <v>4</v>
      </c>
    </row>
    <row r="26" spans="1:14" x14ac:dyDescent="0.2">
      <c r="A26" s="21" t="s">
        <v>879</v>
      </c>
      <c r="B26" s="7">
        <f>Data!H5</f>
        <v>9.7009999999999999E-2</v>
      </c>
      <c r="D26" s="21" t="s">
        <v>1008</v>
      </c>
      <c r="E26" s="7">
        <f>E25+H10</f>
        <v>179.90243000000001</v>
      </c>
      <c r="G26" s="3"/>
      <c r="H26" s="262"/>
      <c r="M26" s="221" t="s">
        <v>1069</v>
      </c>
      <c r="N26" s="222">
        <f>IF(OR(B4="CUWA",B4="CUWC"),3-Corner_Brace_Thk/2,3)</f>
        <v>3</v>
      </c>
    </row>
    <row r="27" spans="1:14" x14ac:dyDescent="0.2">
      <c r="A27" s="21" t="s">
        <v>896</v>
      </c>
      <c r="B27" s="7" t="str">
        <f>'Hole Sizes'!B10</f>
        <v>0.437</v>
      </c>
      <c r="D27" s="21" t="s">
        <v>1009</v>
      </c>
      <c r="E27" s="7">
        <f>E26+Reconnect_Thk*2</f>
        <v>180.09645</v>
      </c>
      <c r="G27" s="3"/>
      <c r="H27" s="2"/>
      <c r="M27" s="221" t="s">
        <v>1070</v>
      </c>
      <c r="N27" s="222">
        <f>IF(OR(B2&gt;142.5,B9&gt;=2),N26+H10+Reconnect_Thk*2,0)</f>
        <v>0</v>
      </c>
    </row>
    <row r="28" spans="1:14" x14ac:dyDescent="0.2">
      <c r="A28" s="21" t="s">
        <v>1015</v>
      </c>
      <c r="B28" s="7">
        <v>1E-3</v>
      </c>
      <c r="D28" s="21" t="s">
        <v>1010</v>
      </c>
      <c r="E28" s="7">
        <f>IF(B4="CUWC",B2-Reconnect_Thk,IF(B9=1,B2-Reconnect_Thk,B2-Reconnect_Thk))</f>
        <v>89.902990000000003</v>
      </c>
      <c r="G28" s="452" t="s">
        <v>1054</v>
      </c>
      <c r="H28" s="452"/>
      <c r="M28" s="221" t="s">
        <v>1071</v>
      </c>
      <c r="N28" s="222">
        <f>IF(OR(B2&gt;285,B9&gt;=3),N27+H10+Reconnect_Thk*2,0)</f>
        <v>0</v>
      </c>
    </row>
    <row r="29" spans="1:14" x14ac:dyDescent="0.2">
      <c r="A29" s="10" t="s">
        <v>1109</v>
      </c>
      <c r="B29" s="7">
        <f>0.109</f>
        <v>0.109</v>
      </c>
      <c r="C29" s="3"/>
      <c r="D29" s="21" t="s">
        <v>1011</v>
      </c>
      <c r="E29" s="7">
        <f>Reconnect_Thk</f>
        <v>9.7009999999999999E-2</v>
      </c>
      <c r="G29" s="10" t="s">
        <v>1074</v>
      </c>
      <c r="H29" s="26">
        <v>0.125</v>
      </c>
      <c r="M29" s="221" t="s">
        <v>1072</v>
      </c>
      <c r="N29" s="222">
        <f>H18</f>
        <v>11</v>
      </c>
    </row>
    <row r="30" spans="1:14" x14ac:dyDescent="0.2">
      <c r="A30" s="10" t="s">
        <v>1156</v>
      </c>
      <c r="B30" s="7">
        <f>'Hole Sizes'!B38</f>
        <v>0.218</v>
      </c>
      <c r="C30" s="3"/>
      <c r="D30" s="10" t="s">
        <v>1108</v>
      </c>
      <c r="E30" s="7">
        <f>0.185</f>
        <v>0.185</v>
      </c>
      <c r="G30" s="10" t="s">
        <v>1075</v>
      </c>
      <c r="H30" s="7">
        <v>0.28000000000000003</v>
      </c>
      <c r="K30" s="202"/>
      <c r="M30" s="221" t="s">
        <v>1121</v>
      </c>
      <c r="N30" s="222">
        <f>H19</f>
        <v>8.3999440000000014</v>
      </c>
    </row>
    <row r="31" spans="1:14" x14ac:dyDescent="0.2">
      <c r="A31" s="10" t="s">
        <v>1199</v>
      </c>
      <c r="B31" s="7">
        <f>0.25</f>
        <v>0.25</v>
      </c>
      <c r="C31" s="3"/>
      <c r="D31" s="10" t="s">
        <v>1197</v>
      </c>
      <c r="E31" s="7">
        <v>2</v>
      </c>
      <c r="G31" s="10" t="s">
        <v>1073</v>
      </c>
      <c r="H31" s="7">
        <v>41</v>
      </c>
      <c r="J31" s="204"/>
      <c r="K31" s="202"/>
      <c r="M31" s="220" t="s">
        <v>1123</v>
      </c>
      <c r="N31" s="377">
        <f>E48+B19+Reconnect_Thk</f>
        <v>4.1280099999999997</v>
      </c>
    </row>
    <row r="32" spans="1:14" x14ac:dyDescent="0.2">
      <c r="A32" s="10" t="s">
        <v>1201</v>
      </c>
      <c r="B32" s="7">
        <f>0.0625/2</f>
        <v>3.125E-2</v>
      </c>
      <c r="C32" s="3"/>
      <c r="D32" s="10" t="s">
        <v>1198</v>
      </c>
      <c r="E32" s="7">
        <v>4.25</v>
      </c>
      <c r="G32" s="10" t="s">
        <v>1193</v>
      </c>
      <c r="H32" s="7">
        <f>'Hole Sizes'!B38</f>
        <v>0.218</v>
      </c>
      <c r="K32" s="202"/>
      <c r="M32" s="220" t="s">
        <v>1124</v>
      </c>
      <c r="N32" s="219">
        <f>E46</f>
        <v>11</v>
      </c>
    </row>
    <row r="33" spans="1:18" x14ac:dyDescent="0.2">
      <c r="A33" s="432" t="s">
        <v>1237</v>
      </c>
      <c r="B33" s="203">
        <f>'Hole Sizes'!G26</f>
        <v>0.25</v>
      </c>
      <c r="C33" s="3"/>
      <c r="D33" s="25" t="s">
        <v>1209</v>
      </c>
      <c r="E33" s="7">
        <f>'Hole Sizes'!B40</f>
        <v>0.25</v>
      </c>
      <c r="G33" s="10" t="s">
        <v>1194</v>
      </c>
      <c r="H33" s="7">
        <f>'Hole Sizes'!B39</f>
        <v>0.497</v>
      </c>
      <c r="M33" s="220" t="s">
        <v>1125</v>
      </c>
      <c r="N33" s="219">
        <f>E47</f>
        <v>8.1743980000000001</v>
      </c>
    </row>
    <row r="34" spans="1:18" x14ac:dyDescent="0.2">
      <c r="A34" s="451" t="s">
        <v>832</v>
      </c>
      <c r="B34" s="451"/>
      <c r="C34" s="3"/>
      <c r="G34" s="10" t="s">
        <v>1195</v>
      </c>
      <c r="H34" s="7">
        <v>1.25E-3</v>
      </c>
      <c r="M34" s="220" t="s">
        <v>1122</v>
      </c>
      <c r="N34" s="219">
        <f>IF(OR(B4="CUWA",B4="CUWC"),0.5,0)</f>
        <v>0</v>
      </c>
    </row>
    <row r="35" spans="1:18" x14ac:dyDescent="0.2">
      <c r="A35" s="10" t="s">
        <v>833</v>
      </c>
      <c r="B35" s="7">
        <f>IF(AND(B9=1,B10=1),B2-Reconnect_Thk*4-B19/2,H10-Reconnect_Thk*2)</f>
        <v>89.596459999999993</v>
      </c>
      <c r="C35" s="3"/>
      <c r="G35" s="10" t="s">
        <v>1196</v>
      </c>
      <c r="H35" s="7">
        <f>0.75-Corner_Brace_Thk-Reconnect_Thk</f>
        <v>0.55597999999999992</v>
      </c>
      <c r="M35" s="258" t="s">
        <v>1205</v>
      </c>
      <c r="N35" s="259">
        <f>IF(AND(B7&gt;0,B4="STD"),B7-0.75,IF(AND(B7&gt;0,B4="CUWA"),B7-0.75,IF(AND(B7&gt;0,B4="CUWC"),B7-0.75,0.75)))</f>
        <v>0.75</v>
      </c>
      <c r="O35" s="2"/>
    </row>
    <row r="36" spans="1:18" x14ac:dyDescent="0.2">
      <c r="A36" s="10" t="s">
        <v>834</v>
      </c>
      <c r="B36" s="7">
        <f>1.5-Reconnect_Thk</f>
        <v>1.40299</v>
      </c>
      <c r="C36" s="3"/>
      <c r="M36" s="258" t="s">
        <v>1144</v>
      </c>
      <c r="N36" s="259">
        <f>IF(AND(B4="CUWA",B7&gt;0),B7-1,IF(AND(B4="CUWC",B7&gt;0),B7-1,IF(OR(B4="CUWA",B4="CUWC"),1,0)))</f>
        <v>0</v>
      </c>
      <c r="O36" s="371"/>
    </row>
    <row r="37" spans="1:18" x14ac:dyDescent="0.2">
      <c r="A37" s="10" t="s">
        <v>835</v>
      </c>
      <c r="B37" s="7">
        <v>3</v>
      </c>
      <c r="C37" s="3"/>
      <c r="M37" s="354" t="s">
        <v>1191</v>
      </c>
      <c r="N37" s="355">
        <f>0.4721-Reconnect_Thk</f>
        <v>0.37509000000000003</v>
      </c>
      <c r="O37" s="2"/>
    </row>
    <row r="38" spans="1:18" x14ac:dyDescent="0.2">
      <c r="A38" s="21" t="s">
        <v>1014</v>
      </c>
      <c r="B38" s="7" t="str">
        <f>'Hole Sizes'!B7</f>
        <v>0.218</v>
      </c>
      <c r="C38" s="3"/>
      <c r="D38" s="455" t="s">
        <v>1048</v>
      </c>
      <c r="E38" s="455"/>
      <c r="H38" s="2"/>
      <c r="M38" s="415" t="s">
        <v>1202</v>
      </c>
      <c r="N38" s="416">
        <f>IF(B4="CUL",0,IF(B4="STD",1.125,0.5))</f>
        <v>1.125</v>
      </c>
      <c r="O38" s="2"/>
    </row>
    <row r="39" spans="1:18" x14ac:dyDescent="0.2">
      <c r="A39" s="21" t="s">
        <v>1016</v>
      </c>
      <c r="B39" s="7">
        <f>IF(AND(B3&gt;96,B3&lt;=142.5,B9=1,B10=1),H4/2+Reconnect_Thk,IF(AND(B3&gt;142.5,B3&lt;=285,B9=1,B10=1),H4/2+Reconnect_Thk,IF(AND(B3&gt;285,B3&lt;=427.5),H4/2+Reconnect_Thk,IF(AND(B3&gt;427.5,B3&lt;570),H4/2+Reconnect_Thk,IF(OR(H15=2,H15=4,H15=6,H15=8,H15=10,H15=12,H15=14,H15=16,H15=18,H15=20,H15=22,H15=24,H15=26),(B3/B10)/2-(H7/2)-Reconnect_Thk*3,(B3/B10)/2)))))</f>
        <v>45</v>
      </c>
      <c r="C39" s="3"/>
      <c r="D39" s="21" t="s">
        <v>1042</v>
      </c>
      <c r="E39" s="20">
        <f>B19+Reconnect_Thk</f>
        <v>0.12801000000000001</v>
      </c>
      <c r="H39" s="2"/>
      <c r="M39" s="417" t="s">
        <v>1235</v>
      </c>
      <c r="N39" s="416">
        <f>N40</f>
        <v>0.75</v>
      </c>
    </row>
    <row r="40" spans="1:18" x14ac:dyDescent="0.2">
      <c r="A40" s="21" t="s">
        <v>1017</v>
      </c>
      <c r="B40" s="7">
        <f>IF(OR(H15=2,H15=4,H15=6,H15=8,H15=10,H15=12,H15=14,H15=16,H15=18,H15=20,H15=22,H15=24,H15=26),H4*1.5+Reconnect_Thk*3,H4*1.5+Reconnect_Thk*3)</f>
        <v>134.99616</v>
      </c>
      <c r="C40" s="3"/>
      <c r="D40" s="21" t="s">
        <v>1043</v>
      </c>
      <c r="E40" s="7">
        <f>IF(B3&gt;144,144,B3-Reconnect_Thk*2-B19*2)</f>
        <v>89.743980000000008</v>
      </c>
      <c r="G40" s="453" t="s">
        <v>898</v>
      </c>
      <c r="H40" s="453"/>
      <c r="J40" s="454" t="s">
        <v>1032</v>
      </c>
      <c r="K40" s="454"/>
      <c r="M40" s="417" t="s">
        <v>1236</v>
      </c>
      <c r="N40" s="416">
        <f>IF(AND(B4="CUWA",B7&gt;0),B7-H2-H22,IF(AND(B4="CUWC",B7&gt;0),B7-H2-H22,IF(AND(B4="CUWA",B7=0),H2-H22,IF(AND(B4="CUWC",B7=0),H2-H22,H2-H22))))</f>
        <v>0.75</v>
      </c>
      <c r="O40" s="2"/>
      <c r="P40" s="2"/>
      <c r="Q40" s="2"/>
      <c r="R40" s="2"/>
    </row>
    <row r="41" spans="1:18" x14ac:dyDescent="0.2">
      <c r="A41" s="21" t="s">
        <v>1018</v>
      </c>
      <c r="B41" s="7">
        <f>IF(OR(H15=2,H15=4,H15=6,H15=8,H15=10,H15=12,H15=14,H15=16,H15=18,H15=20,H15=22,H15=24,H15=26),H4*2.5-B19-Reconnect_Thk,H4*2.5+Reconnect_Thk*5)</f>
        <v>224.99360000000001</v>
      </c>
      <c r="C41" s="3"/>
      <c r="D41" s="21" t="s">
        <v>1045</v>
      </c>
      <c r="E41" s="7">
        <v>3</v>
      </c>
      <c r="G41" s="21" t="s">
        <v>899</v>
      </c>
      <c r="H41" s="7">
        <f>IF(B9&gt;=2,H10/2+Reconnect_Thk,IF(B4="CUWC",B2/B9-(H10/2)-Reconnect_Thk,IF(B4="CUWA",B2/B9-(H10/2)-Reconnect_Thk,IF(OR(B4="CUL",B4="STD"),(H10/2)+Reconnect_Thk,B2/B9-((H10+Reconnect_Thk)/2)))))</f>
        <v>44.999720000000003</v>
      </c>
      <c r="J41" s="21" t="s">
        <v>1024</v>
      </c>
      <c r="K41" s="7">
        <f>0</f>
        <v>0</v>
      </c>
      <c r="M41" s="417" t="s">
        <v>1231</v>
      </c>
      <c r="N41" s="416">
        <f>IF(AND(OR(B4="STD",B4="CUL"),B10=1,B3&lt;=142.5),(B3/2)-0.75,IF(AND(OR(B4="STD",B4="CUL"),B10=1,B3&lt;=285),(B3*0.25)-0.75,IF(AND(OR(B4="STD",B4="CUL"),B10=1,B3&lt;=427.5),(B3*0.16667)-0.75,IF(AND(B3&gt;427.5,OR(B4="STD",B4="CUL"),B10=1),(B3*0.125)-0.75,IF(AND(OR(B4="STD",B4="CUL"),B10=1),(B3/2)-0.75,IF(AND(OR(B4="STD",B4="CUL"),B10=2),(B3*0.25)-0.75,IF(AND(OR(B4="STD",B4="CUL"),B10=3),(B3*0.16667)-0.75,IF(AND(OR(B4="STD",B4="CUL"),B10=4),(B3*0.125)-0.75,(B3*0.875)-0.75))))))))</f>
        <v>44.25</v>
      </c>
    </row>
    <row r="42" spans="1:18" x14ac:dyDescent="0.2">
      <c r="A42" s="21" t="s">
        <v>1019</v>
      </c>
      <c r="B42" s="7">
        <f>IF(OR(H15=2,H15=4,H15=6,H15=8,H15=10,H15=12,H15=14,H15=16,H15=18,H15=20,H15=22,H15=24,H15=26),H4*3.5-(H7/2)+B19*2+Reconnect_Thk*4,H4*3.5+Reconnect_Thk*7)</f>
        <v>314.99104000000005</v>
      </c>
      <c r="C42" s="3"/>
      <c r="D42" s="21" t="s">
        <v>1046</v>
      </c>
      <c r="E42" s="20">
        <f>Reconnect_Thk+B19/2</f>
        <v>0.11251</v>
      </c>
      <c r="G42" s="21" t="s">
        <v>900</v>
      </c>
      <c r="H42" s="7">
        <f>IF(B9=2,B2*0.75,B2/2)</f>
        <v>45</v>
      </c>
      <c r="J42" s="21" t="s">
        <v>1025</v>
      </c>
      <c r="K42" s="7">
        <f>K41+H4+Reconnect_Thk*2</f>
        <v>89.997439999999997</v>
      </c>
      <c r="M42" s="417" t="s">
        <v>1232</v>
      </c>
      <c r="N42" s="416">
        <f>IF(OR(B4="CUWA",B4="CUWC"),0,IF(AND(OR(B4="STD",B4="CUL"),B10=1,B3&lt;=142.5),0,IF(AND(OR(B4="STD",B4="CUL"),B10=1,B3&lt;=285),(B3*0.75)-0.75,IF(AND(OR(B4="STD",B4="CUL"),B10=1,B3&lt;=427.5),(B3*0.5)-0.75,IF(AND(B3&gt;427.5,B4="STD",B10=1),(B3*0.375)-0.75,IF(AND(OR(B4="STD",B4="CUL"),B10=1),0,IF(AND(OR(B4="STD",B4="CUL"),B10=2),(B3*0.75)-0.75,IF(AND(OR(B4="STD",B4="CUL"),B10=3),(B3*0.5)-0.75,IF(AND(OR(B4="STD",B4="CUL"),B10=4),(B3*0.375)-0.75,0)))))))))</f>
        <v>0</v>
      </c>
      <c r="R42" s="2"/>
    </row>
    <row r="43" spans="1:18" x14ac:dyDescent="0.2">
      <c r="A43" s="21" t="s">
        <v>1041</v>
      </c>
      <c r="B43" s="7">
        <f>0.75-B19/2-Stiffener_Thk-Reconnect_Thk</f>
        <v>0.54047999999999996</v>
      </c>
      <c r="C43" s="3"/>
      <c r="D43" s="10" t="s">
        <v>1098</v>
      </c>
      <c r="E43" s="7">
        <f>IF((Reconnect_Thk*2+B19)&gt;0.25,Reconnect_Thk*2+B19,0.25)</f>
        <v>0.25</v>
      </c>
      <c r="G43" s="21" t="s">
        <v>901</v>
      </c>
      <c r="H43" s="7">
        <f>B2-(H10+Reconnect_Thk*2)/2</f>
        <v>45.000279999999997</v>
      </c>
      <c r="J43" s="21" t="s">
        <v>1026</v>
      </c>
      <c r="K43" s="20">
        <f>K42</f>
        <v>89.997439999999997</v>
      </c>
      <c r="M43" s="417" t="s">
        <v>1233</v>
      </c>
      <c r="N43" s="416">
        <f>IF(AND(OR(B4="STD",B4="CUL"),B10=1,B3&lt;=142.5),0,IF(AND(OR(B4="STD",B4="CUL"),B10=1,B3&lt;=285),0,IF(AND(OR(B4="STD",B4="CUL"),B10=1,B3&lt;=427.5),(B3*0.8333)-0.75,IF(AND(B3&gt;427.5,OR(B4="STD",B4="CUL"),B10=1),(B3*0.625)-0.75,IF(AND(OR(B4="STD",B4="CUL"),B10=3),(B3*0.8333)-0.75,IF(AND(OR(B4="STD",B4="CUL"),B10=4),(B3*0.625)-0.75,0))))))</f>
        <v>0</v>
      </c>
      <c r="Q43" s="2"/>
      <c r="R43" s="2"/>
    </row>
    <row r="44" spans="1:18" x14ac:dyDescent="0.2">
      <c r="A44" s="21" t="s">
        <v>1050</v>
      </c>
      <c r="B44" s="7">
        <f>1.5-Reconnect_Thk</f>
        <v>1.40299</v>
      </c>
      <c r="C44" s="3"/>
      <c r="D44" s="21" t="s">
        <v>1047</v>
      </c>
      <c r="E44" s="20">
        <f>IF(OR(B4="STD",B4="CUWA",B4="CUL"),H3-Reconnect_Thk+B19,K3-Reconnect_Thk+B19)</f>
        <v>1.9339899999999999</v>
      </c>
      <c r="G44" s="21" t="s">
        <v>1023</v>
      </c>
      <c r="H44" s="20">
        <f>B2</f>
        <v>90</v>
      </c>
      <c r="J44" s="21" t="s">
        <v>1027</v>
      </c>
      <c r="K44" s="20">
        <f>K43+H4+Reconnect_Thk*2</f>
        <v>179.99487999999999</v>
      </c>
      <c r="M44" s="417" t="s">
        <v>1234</v>
      </c>
      <c r="N44" s="416">
        <f>IF(AND(OR(B4="STD",B4="CUL"),B10=1,B3&lt;=142.5),0,IF(AND(OR(B4="STD",B4="CUL"),B10=1,B3&lt;=285),0,IF(AND(OR(B4="STD",B4="CUL"),B10=1,B3&gt;427.5),(B3*0.875)-0.75,IF(AND(OR(B4="STD",B4="CUL"),B10=4),(B3*0.875)-0.75,0))))</f>
        <v>0</v>
      </c>
      <c r="P44" s="2"/>
      <c r="Q44" s="2"/>
      <c r="R44" s="2"/>
    </row>
    <row r="45" spans="1:18" x14ac:dyDescent="0.2">
      <c r="A45" s="21" t="s">
        <v>1049</v>
      </c>
      <c r="B45" s="7">
        <f>IF(OR(B4="CUWA",B4="CUWC"),H10/2+B19+0.011,H10/2+Reconnect_Thk)</f>
        <v>44.999720000000003</v>
      </c>
      <c r="C45" s="3"/>
      <c r="D45" s="21" t="s">
        <v>1044</v>
      </c>
      <c r="E45" s="7">
        <f>0.5</f>
        <v>0.5</v>
      </c>
      <c r="G45" s="21" t="s">
        <v>1022</v>
      </c>
      <c r="H45" s="7">
        <f>0</f>
        <v>0</v>
      </c>
      <c r="J45" s="21" t="s">
        <v>1028</v>
      </c>
      <c r="K45" s="20">
        <f>K44</f>
        <v>179.99487999999999</v>
      </c>
    </row>
    <row r="46" spans="1:18" x14ac:dyDescent="0.2">
      <c r="A46" s="21" t="s">
        <v>1052</v>
      </c>
      <c r="B46" s="7">
        <f>H10*1.5+Reconnect_Thk*3</f>
        <v>134.99916000000002</v>
      </c>
      <c r="C46" s="3"/>
      <c r="D46" s="10" t="s">
        <v>1095</v>
      </c>
      <c r="E46" s="7">
        <f>ROUNDUP((E40-E48*2)/9,0)+1</f>
        <v>11</v>
      </c>
      <c r="G46" s="21" t="s">
        <v>956</v>
      </c>
      <c r="H46" s="7">
        <f>IF(B4="CUWC",B3/2,IF(AND(B9=1,B10=1,B3&gt;142.5),B3/2,IF(AND(B3&gt;285,B9=1,B10=1),(B3/3),IF(B10=1,B3/(B10+1),(B3/B10)/2))))</f>
        <v>45</v>
      </c>
      <c r="J46" s="21" t="s">
        <v>1029</v>
      </c>
      <c r="K46" s="7">
        <f>K45+H4+Reconnect_Thk*2</f>
        <v>269.99232000000001</v>
      </c>
    </row>
    <row r="47" spans="1:18" x14ac:dyDescent="0.2">
      <c r="A47" s="21" t="s">
        <v>1053</v>
      </c>
      <c r="B47" s="20">
        <f>H10*2.5+Reconnect_Thk*5</f>
        <v>224.99860000000004</v>
      </c>
      <c r="C47" s="3"/>
      <c r="D47" s="10" t="s">
        <v>1096</v>
      </c>
      <c r="E47" s="7">
        <f>(E40-E48*2)/(E46-1)</f>
        <v>8.1743980000000001</v>
      </c>
      <c r="G47" s="21" t="s">
        <v>902</v>
      </c>
      <c r="H47" s="7">
        <f>IF(AND(B9=1,B10=1,B3&gt;142.5),H4*1.5+Reconnect_Thk*3,IF(B10=1,B3,H4*1.5+Reconnect_Thk*3))</f>
        <v>90</v>
      </c>
      <c r="J47" s="21" t="s">
        <v>1030</v>
      </c>
      <c r="K47" s="20">
        <f>K46</f>
        <v>269.99232000000001</v>
      </c>
    </row>
    <row r="48" spans="1:18" x14ac:dyDescent="0.2">
      <c r="A48" s="21" t="s">
        <v>1203</v>
      </c>
      <c r="B48" s="20">
        <f>IF(OR(B4="CUWA",B4="CUWC"),0.278-0.194,0.278-0.218)</f>
        <v>6.0000000000000026E-2</v>
      </c>
      <c r="C48" s="3"/>
      <c r="D48" s="10" t="s">
        <v>1097</v>
      </c>
      <c r="E48" s="7">
        <v>4</v>
      </c>
      <c r="G48" s="21" t="s">
        <v>903</v>
      </c>
      <c r="H48" s="7">
        <f>H4*2.5+Reconnect_Thk*5+0.00028*3</f>
        <v>224.99444000000003</v>
      </c>
      <c r="J48" s="21" t="s">
        <v>1031</v>
      </c>
      <c r="K48" s="7">
        <f>B3</f>
        <v>90</v>
      </c>
    </row>
    <row r="49" spans="1:11" x14ac:dyDescent="0.2">
      <c r="A49" s="21" t="s">
        <v>1204</v>
      </c>
      <c r="B49" s="20">
        <f>IF(OR(B4="CUWA",B4="CUWC"),0.2,0.2)</f>
        <v>0.2</v>
      </c>
      <c r="C49" s="3"/>
      <c r="D49" s="10" t="s">
        <v>1152</v>
      </c>
      <c r="E49" s="20">
        <f>Reconnect_Thk+B19</f>
        <v>0.12801000000000001</v>
      </c>
      <c r="G49" s="21" t="s">
        <v>904</v>
      </c>
      <c r="H49" s="7">
        <f>(B$3-(H4/2+Reconnect_Thk))</f>
        <v>45.001280000000001</v>
      </c>
    </row>
    <row r="50" spans="1:11" x14ac:dyDescent="0.2">
      <c r="A50" s="21" t="s">
        <v>1051</v>
      </c>
      <c r="B50" s="20">
        <f>0.5-Reconnect_Thk</f>
        <v>0.40299000000000001</v>
      </c>
      <c r="C50" s="3"/>
      <c r="D50" s="10" t="s">
        <v>1154</v>
      </c>
      <c r="E50" s="7">
        <f>H23-Reconnect_Thk</f>
        <v>0.65298999999999996</v>
      </c>
      <c r="G50" s="21" t="s">
        <v>965</v>
      </c>
      <c r="H50" s="20">
        <f>IF(OR(B4="CUL",B4="STD"),H4,B3)</f>
        <v>89.803420000000003</v>
      </c>
    </row>
    <row r="51" spans="1:11" x14ac:dyDescent="0.2">
      <c r="A51" s="21" t="s">
        <v>1151</v>
      </c>
      <c r="B51" s="7">
        <f>IF(B4="CUWC",Reconnect_Thk,Reconnect_Thk)</f>
        <v>9.7009999999999999E-2</v>
      </c>
      <c r="C51" s="3"/>
      <c r="D51" s="10" t="s">
        <v>1155</v>
      </c>
      <c r="E51" s="7">
        <f>H3-Reconnect_Thk</f>
        <v>1.90299</v>
      </c>
      <c r="G51" s="21" t="s">
        <v>966</v>
      </c>
      <c r="H51" s="7">
        <f>IF(OR(B4="CUL",B4="STD"),H10,H10+Reconnect_Thk)</f>
        <v>89.805420000000012</v>
      </c>
      <c r="J51" s="205"/>
      <c r="K51" s="204"/>
    </row>
    <row r="52" spans="1:11" ht="13.5" thickBot="1" x14ac:dyDescent="0.25">
      <c r="A52" s="10" t="s">
        <v>1200</v>
      </c>
      <c r="B52" s="7">
        <f>0.249</f>
        <v>0.249</v>
      </c>
      <c r="C52" s="3"/>
      <c r="E52" s="204"/>
      <c r="J52" s="205"/>
      <c r="K52" s="204"/>
    </row>
    <row r="53" spans="1:11" ht="13.5" thickBot="1" x14ac:dyDescent="0.25">
      <c r="A53" s="3"/>
      <c r="C53" s="3"/>
      <c r="F53" s="237" t="s">
        <v>1101</v>
      </c>
      <c r="J53" s="205"/>
      <c r="K53" s="204"/>
    </row>
    <row r="54" spans="1:11" ht="13.5" thickBot="1" x14ac:dyDescent="0.25">
      <c r="C54" s="3"/>
      <c r="E54" s="223" t="s">
        <v>1076</v>
      </c>
      <c r="F54" s="230">
        <f>SUM(B55:B102)</f>
        <v>4</v>
      </c>
      <c r="J54" s="205"/>
      <c r="K54" s="204"/>
    </row>
    <row r="55" spans="1:11" x14ac:dyDescent="0.2">
      <c r="A55" s="10" t="s">
        <v>849</v>
      </c>
      <c r="B55" s="207">
        <f>IF(B$11="NO",0,IF(OR(B4="CUWA",B4="CUWC"),0,IF(AND(B9&gt;=1,B10&gt;=1),1,IF(OR(B2&gt;96,B3&gt;96),1,0))))</f>
        <v>1</v>
      </c>
      <c r="C55" s="207" t="s">
        <v>797</v>
      </c>
      <c r="D55" s="207" t="s">
        <v>839</v>
      </c>
      <c r="E55" s="207" t="s">
        <v>1077</v>
      </c>
      <c r="F55">
        <f>IF(B55=1,1,"")</f>
        <v>1</v>
      </c>
      <c r="J55" s="205"/>
      <c r="K55" s="204"/>
    </row>
    <row r="56" spans="1:11" x14ac:dyDescent="0.2">
      <c r="A56" s="10" t="s">
        <v>850</v>
      </c>
      <c r="B56" s="207">
        <f>IF(B$11="NO",0,IF(OR(B4="CUWA",B4="CUWC"),0,IF(AND(B9&gt;=1,B10&gt;=1),1,IF(OR(B4="CUWA",B4="CUWC"),0,IF(OR(B2&gt;96,B3&gt;96),1,0)))))</f>
        <v>1</v>
      </c>
      <c r="C56" s="207" t="s">
        <v>797</v>
      </c>
      <c r="D56" s="207" t="s">
        <v>839</v>
      </c>
      <c r="E56" s="207" t="s">
        <v>1078</v>
      </c>
      <c r="F56">
        <f t="shared" ref="F56:F102" si="0">IF(B56=1,1,"")</f>
        <v>1</v>
      </c>
      <c r="J56" s="205"/>
      <c r="K56" s="204"/>
    </row>
    <row r="57" spans="1:11" x14ac:dyDescent="0.2">
      <c r="A57" s="10" t="s">
        <v>851</v>
      </c>
      <c r="B57" s="207">
        <f>IF(B$11="NO",0,IF(AND(B9&gt;=1,B10&gt;=1),1,IF(OR(B2&gt;96,B3&gt;96),1,0)))</f>
        <v>1</v>
      </c>
      <c r="C57" s="207" t="s">
        <v>797</v>
      </c>
      <c r="D57" s="207" t="s">
        <v>839</v>
      </c>
      <c r="E57" s="207" t="s">
        <v>1079</v>
      </c>
      <c r="F57">
        <f t="shared" si="0"/>
        <v>1</v>
      </c>
      <c r="J57" s="205"/>
      <c r="K57" s="204"/>
    </row>
    <row r="58" spans="1:11" x14ac:dyDescent="0.2">
      <c r="A58" s="10" t="s">
        <v>852</v>
      </c>
      <c r="B58" s="207">
        <f>IF(B$11="NO",0,IF(AND(B9&gt;=1,B10&gt;=1),1,IF(OR(B4="CUWA",B4="CUWC"),0,IF(OR(B2&gt;96,B3&gt;96),1,0))))</f>
        <v>1</v>
      </c>
      <c r="C58" s="207" t="s">
        <v>797</v>
      </c>
      <c r="D58" s="207" t="s">
        <v>839</v>
      </c>
      <c r="E58" s="207" t="s">
        <v>1080</v>
      </c>
      <c r="F58">
        <f t="shared" si="0"/>
        <v>1</v>
      </c>
      <c r="J58" s="205"/>
      <c r="K58" s="204"/>
    </row>
    <row r="59" spans="1:11" x14ac:dyDescent="0.2">
      <c r="A59" s="10" t="s">
        <v>883</v>
      </c>
      <c r="B59" s="226">
        <f>IF(B11="NO",0,IF(B3&gt;142.5,1,IF(AND(B9&gt;=1,B10&gt;=2),1,0)))</f>
        <v>0</v>
      </c>
      <c r="C59" s="226" t="s">
        <v>797</v>
      </c>
      <c r="D59" s="226" t="s">
        <v>839</v>
      </c>
      <c r="E59" s="226" t="s">
        <v>1090</v>
      </c>
      <c r="F59" t="str">
        <f t="shared" si="0"/>
        <v/>
      </c>
      <c r="J59" s="205"/>
      <c r="K59" s="204"/>
    </row>
    <row r="60" spans="1:11" x14ac:dyDescent="0.2">
      <c r="A60" s="10" t="s">
        <v>884</v>
      </c>
      <c r="B60" s="7">
        <f>IF(B11="NO",0,IF(AND(B2&gt;142.5,B9&gt;=2),1,IF(B9&gt;=2,1,IF(AND(B9&gt;=2,B10&gt;=2),1,0))))</f>
        <v>0</v>
      </c>
      <c r="C60" s="7" t="s">
        <v>797</v>
      </c>
      <c r="D60" s="7" t="s">
        <v>839</v>
      </c>
      <c r="E60" s="7" t="s">
        <v>1091</v>
      </c>
      <c r="F60" t="str">
        <f t="shared" si="0"/>
        <v/>
      </c>
    </row>
    <row r="61" spans="1:11" x14ac:dyDescent="0.2">
      <c r="A61" s="10" t="s">
        <v>885</v>
      </c>
      <c r="B61" s="226">
        <f>IF(B11="NO",0,IF(B3&gt;142.5,1,IF(B9&gt;=2,1,IF(AND(B9&gt;=1,B10&gt;=2),1,0))))</f>
        <v>0</v>
      </c>
      <c r="C61" s="226" t="s">
        <v>797</v>
      </c>
      <c r="D61" s="226" t="s">
        <v>839</v>
      </c>
      <c r="E61" s="226" t="s">
        <v>1082</v>
      </c>
      <c r="F61" t="str">
        <f t="shared" si="0"/>
        <v/>
      </c>
    </row>
    <row r="62" spans="1:11" x14ac:dyDescent="0.2">
      <c r="A62" s="10" t="s">
        <v>886</v>
      </c>
      <c r="B62" s="226">
        <f>IF(B11="NO",0,IF(B3&gt;142.5,1,IF(AND(B9&gt;=1,B10&gt;=2),1,0)))</f>
        <v>0</v>
      </c>
      <c r="C62" s="226" t="s">
        <v>797</v>
      </c>
      <c r="D62" s="226" t="s">
        <v>839</v>
      </c>
      <c r="E62" s="226" t="s">
        <v>1090</v>
      </c>
      <c r="F62" t="str">
        <f t="shared" si="0"/>
        <v/>
      </c>
    </row>
    <row r="63" spans="1:11" x14ac:dyDescent="0.2">
      <c r="A63" s="10" t="s">
        <v>905</v>
      </c>
      <c r="B63" s="227">
        <f>IF(B11="NO",0,IF(AND(B3&gt;285,B9=1,B10=1),1,IF(AND(B9=1,B10=3),1,IF(AND(B9&gt;=1,B10&gt;=3),1,0))))</f>
        <v>0</v>
      </c>
      <c r="C63" s="227" t="s">
        <v>797</v>
      </c>
      <c r="D63" s="227" t="s">
        <v>839</v>
      </c>
      <c r="E63" s="227" t="s">
        <v>975</v>
      </c>
      <c r="F63" t="str">
        <f t="shared" si="0"/>
        <v/>
      </c>
    </row>
    <row r="64" spans="1:11" x14ac:dyDescent="0.2">
      <c r="A64" s="10" t="s">
        <v>906</v>
      </c>
      <c r="B64" s="226">
        <f>IF(B11="NO",0,IF(B3&gt;142.5,1,IF(AND(B9=1,B10=3),1,IF(AND(B9&gt;=1,B10&gt;=2),1,0))))</f>
        <v>0</v>
      </c>
      <c r="C64" s="226" t="s">
        <v>797</v>
      </c>
      <c r="D64" s="226" t="s">
        <v>839</v>
      </c>
      <c r="E64" s="226" t="s">
        <v>1090</v>
      </c>
      <c r="F64" t="str">
        <f t="shared" si="0"/>
        <v/>
      </c>
    </row>
    <row r="65" spans="1:6" x14ac:dyDescent="0.2">
      <c r="A65" s="10" t="s">
        <v>907</v>
      </c>
      <c r="B65" s="227">
        <f>IF(B11="NO",0,IF(AND(B3&gt;285,B9=1,B10=1),1,IF(AND(B9&gt;=2,B10&gt;=2),1,IF(AND(B9&gt;=1,B10&gt;=3),1,0))))</f>
        <v>0</v>
      </c>
      <c r="C65" s="227" t="s">
        <v>797</v>
      </c>
      <c r="D65" s="227" t="s">
        <v>839</v>
      </c>
      <c r="E65" s="227" t="s">
        <v>1083</v>
      </c>
      <c r="F65" t="str">
        <f t="shared" si="0"/>
        <v/>
      </c>
    </row>
    <row r="66" spans="1:6" x14ac:dyDescent="0.2">
      <c r="A66" s="10" t="s">
        <v>908</v>
      </c>
      <c r="B66" s="227">
        <f>IF(B11="NO",0,IF(AND(B9=1,B10=3),1,IF(AND(B9&gt;=1,B10&gt;=3),1,IF(AND(B3&gt;285,B9=1,B10=1),1,0))))</f>
        <v>0</v>
      </c>
      <c r="C66" s="227" t="s">
        <v>797</v>
      </c>
      <c r="D66" s="227" t="s">
        <v>839</v>
      </c>
      <c r="E66" s="227" t="s">
        <v>975</v>
      </c>
      <c r="F66" t="str">
        <f t="shared" si="0"/>
        <v/>
      </c>
    </row>
    <row r="67" spans="1:6" x14ac:dyDescent="0.2">
      <c r="A67" s="10" t="s">
        <v>909</v>
      </c>
      <c r="B67" s="224">
        <f>IF(B11="NO",0,IF(AND(B9=1,B10=4),1,IF(AND(B9&gt;=1,B10&gt;=4),1,IF(AND(B3&gt;427.5,B10=1),1,0))))</f>
        <v>0</v>
      </c>
      <c r="C67" s="224" t="s">
        <v>797</v>
      </c>
      <c r="D67" s="224" t="s">
        <v>839</v>
      </c>
      <c r="E67" s="224" t="s">
        <v>976</v>
      </c>
      <c r="F67" t="str">
        <f t="shared" si="0"/>
        <v/>
      </c>
    </row>
    <row r="68" spans="1:6" x14ac:dyDescent="0.2">
      <c r="A68" s="10" t="s">
        <v>910</v>
      </c>
      <c r="B68" s="227">
        <f>IF(B11="NO",0,IF(AND(B3&gt;285,B9=1,B10=1),1,IF(AND(B9=1,B10=4),1,IF(AND(B9&gt;=1,B10&gt;=3),1,0))))</f>
        <v>0</v>
      </c>
      <c r="C68" s="227" t="s">
        <v>797</v>
      </c>
      <c r="D68" s="227" t="s">
        <v>839</v>
      </c>
      <c r="E68" s="227" t="s">
        <v>975</v>
      </c>
      <c r="F68" t="str">
        <f t="shared" si="0"/>
        <v/>
      </c>
    </row>
    <row r="69" spans="1:6" x14ac:dyDescent="0.2">
      <c r="A69" s="10" t="s">
        <v>911</v>
      </c>
      <c r="B69" s="224">
        <f>IF(B11="NO",0,IF(AND(B9&gt;=2,B10&gt;=3),1,IF(AND(B9=1,B10&gt;=4),1,IF(AND(B3&gt;427.5,B10=1),1,0))))</f>
        <v>0</v>
      </c>
      <c r="C69" s="224" t="s">
        <v>797</v>
      </c>
      <c r="D69" s="224" t="s">
        <v>839</v>
      </c>
      <c r="E69" s="224" t="s">
        <v>1211</v>
      </c>
      <c r="F69" t="str">
        <f t="shared" si="0"/>
        <v/>
      </c>
    </row>
    <row r="70" spans="1:6" x14ac:dyDescent="0.2">
      <c r="A70" s="10" t="s">
        <v>912</v>
      </c>
      <c r="B70" s="224">
        <f>IF(B11="NO",0,IF(AND(B9&gt;=1,B10&gt;=4),1,IF(AND(B3&gt;427.5,B10=1),1,0)))</f>
        <v>0</v>
      </c>
      <c r="C70" s="224" t="s">
        <v>797</v>
      </c>
      <c r="D70" s="224" t="s">
        <v>839</v>
      </c>
      <c r="E70" s="224" t="s">
        <v>976</v>
      </c>
      <c r="F70" t="str">
        <f t="shared" si="0"/>
        <v/>
      </c>
    </row>
    <row r="71" spans="1:6" x14ac:dyDescent="0.2">
      <c r="A71" s="10" t="s">
        <v>913</v>
      </c>
      <c r="B71" s="224">
        <f>IF(B11="NO",0,IF(AND(B9&gt;=1,B10&gt;=4),1,IF(AND(B3&gt;427.5,B10=1),1,0)))</f>
        <v>0</v>
      </c>
      <c r="C71" s="224" t="s">
        <v>797</v>
      </c>
      <c r="D71" s="224" t="s">
        <v>839</v>
      </c>
      <c r="E71" s="224" t="s">
        <v>976</v>
      </c>
      <c r="F71" t="str">
        <f t="shared" si="0"/>
        <v/>
      </c>
    </row>
    <row r="72" spans="1:6" x14ac:dyDescent="0.2">
      <c r="A72" s="10" t="s">
        <v>914</v>
      </c>
      <c r="B72" s="7">
        <f>IF(B11="NO",0,IF(AND(B9&gt;=2,B10&gt;=4),1,0))</f>
        <v>0</v>
      </c>
      <c r="C72" s="7" t="s">
        <v>797</v>
      </c>
      <c r="D72" s="7" t="s">
        <v>839</v>
      </c>
      <c r="E72" s="7" t="s">
        <v>1210</v>
      </c>
      <c r="F72" t="str">
        <f t="shared" si="0"/>
        <v/>
      </c>
    </row>
    <row r="73" spans="1:6" x14ac:dyDescent="0.2">
      <c r="A73" s="10" t="s">
        <v>915</v>
      </c>
      <c r="B73" s="229">
        <f>IF(B11="NO",0,IF(B9&gt;=2,1,IF(AND(B9&gt;=2,B10=4),1,0)))</f>
        <v>0</v>
      </c>
      <c r="C73" s="229" t="s">
        <v>797</v>
      </c>
      <c r="D73" s="229" t="s">
        <v>839</v>
      </c>
      <c r="E73" s="229" t="s">
        <v>1081</v>
      </c>
      <c r="F73" t="str">
        <f t="shared" si="0"/>
        <v/>
      </c>
    </row>
    <row r="74" spans="1:6" x14ac:dyDescent="0.2">
      <c r="A74" s="10" t="s">
        <v>916</v>
      </c>
      <c r="B74" s="229">
        <f>IF(B11="NO",0,IF(B9&gt;=2,1,IF(AND(B9&gt;=2,B10=4),1,0)))</f>
        <v>0</v>
      </c>
      <c r="C74" s="229" t="s">
        <v>797</v>
      </c>
      <c r="D74" s="229" t="s">
        <v>839</v>
      </c>
      <c r="E74" s="229" t="s">
        <v>1081</v>
      </c>
      <c r="F74" t="str">
        <f t="shared" si="0"/>
        <v/>
      </c>
    </row>
    <row r="75" spans="1:6" x14ac:dyDescent="0.2">
      <c r="A75" s="10" t="s">
        <v>917</v>
      </c>
      <c r="B75" s="7">
        <f>IF(B11="NO",0,IF(B9&gt;=3,1,0))</f>
        <v>0</v>
      </c>
      <c r="C75" s="7" t="s">
        <v>797</v>
      </c>
      <c r="D75" s="7" t="s">
        <v>839</v>
      </c>
      <c r="E75" s="7" t="s">
        <v>1086</v>
      </c>
      <c r="F75" t="str">
        <f t="shared" si="0"/>
        <v/>
      </c>
    </row>
    <row r="76" spans="1:6" x14ac:dyDescent="0.2">
      <c r="A76" s="10" t="s">
        <v>918</v>
      </c>
      <c r="B76" s="203">
        <f>IF(B11="NO",0,IF(AND(B9&gt;=2,B10&gt;=2),1,IF(B9&gt;=3,1,0)))</f>
        <v>0</v>
      </c>
      <c r="C76" s="203" t="s">
        <v>797</v>
      </c>
      <c r="D76" s="203" t="s">
        <v>839</v>
      </c>
      <c r="E76" s="236" t="s">
        <v>1092</v>
      </c>
      <c r="F76" t="str">
        <f t="shared" si="0"/>
        <v/>
      </c>
    </row>
    <row r="77" spans="1:6" x14ac:dyDescent="0.2">
      <c r="A77" s="10" t="s">
        <v>919</v>
      </c>
      <c r="B77" s="203">
        <f>IF(B11="NO",0,IF(AND(B9&gt;=2,B10&gt;=2),1,0))</f>
        <v>0</v>
      </c>
      <c r="C77" s="203" t="s">
        <v>797</v>
      </c>
      <c r="D77" s="203" t="s">
        <v>839</v>
      </c>
      <c r="E77" s="236" t="s">
        <v>1093</v>
      </c>
      <c r="F77" t="str">
        <f t="shared" si="0"/>
        <v/>
      </c>
    </row>
    <row r="78" spans="1:6" x14ac:dyDescent="0.2">
      <c r="A78" s="10" t="s">
        <v>920</v>
      </c>
      <c r="B78" s="203">
        <f>IF(B11="NO",0,IF(AND(B9&gt;=2,B10&gt;=2),1,0))</f>
        <v>0</v>
      </c>
      <c r="C78" s="203" t="s">
        <v>797</v>
      </c>
      <c r="D78" s="203" t="s">
        <v>839</v>
      </c>
      <c r="E78" s="236" t="s">
        <v>1094</v>
      </c>
      <c r="F78" t="str">
        <f t="shared" si="0"/>
        <v/>
      </c>
    </row>
    <row r="79" spans="1:6" x14ac:dyDescent="0.2">
      <c r="A79" s="10" t="s">
        <v>921</v>
      </c>
      <c r="B79" s="203">
        <f>IF(B11="NO",0,IF(AND(B9&gt;=2,B10&gt;=2),1,0))</f>
        <v>0</v>
      </c>
      <c r="C79" s="203" t="s">
        <v>797</v>
      </c>
      <c r="D79" s="203" t="s">
        <v>839</v>
      </c>
      <c r="E79" s="236" t="s">
        <v>1094</v>
      </c>
      <c r="F79" t="str">
        <f t="shared" si="0"/>
        <v/>
      </c>
    </row>
    <row r="80" spans="1:6" x14ac:dyDescent="0.2">
      <c r="A80" s="10" t="s">
        <v>922</v>
      </c>
      <c r="B80" s="203">
        <f>IF(B11="NO",0,IF(AND(B9&gt;=2,B10&gt;=3),1,IF(AND(B9&gt;=3,B10&gt;=2),1,0)))</f>
        <v>0</v>
      </c>
      <c r="C80" s="203" t="s">
        <v>797</v>
      </c>
      <c r="D80" s="203" t="s">
        <v>839</v>
      </c>
      <c r="E80" s="203" t="s">
        <v>1084</v>
      </c>
      <c r="F80" t="str">
        <f t="shared" si="0"/>
        <v/>
      </c>
    </row>
    <row r="81" spans="1:7" x14ac:dyDescent="0.2">
      <c r="A81" s="10" t="s">
        <v>923</v>
      </c>
      <c r="B81" s="203">
        <f>IF(B11="NO",0,IF(AND(B9&gt;=2,B10&gt;=3),1,0))</f>
        <v>0</v>
      </c>
      <c r="C81" s="203" t="s">
        <v>797</v>
      </c>
      <c r="D81" s="203" t="s">
        <v>839</v>
      </c>
      <c r="E81" s="203" t="s">
        <v>1084</v>
      </c>
      <c r="F81" t="str">
        <f t="shared" si="0"/>
        <v/>
      </c>
    </row>
    <row r="82" spans="1:7" x14ac:dyDescent="0.2">
      <c r="A82" s="10" t="s">
        <v>924</v>
      </c>
      <c r="B82" s="203">
        <f>IF(B11="NO",0,IF(AND(B9&gt;=2,B10&gt;=3),1,0))</f>
        <v>0</v>
      </c>
      <c r="C82" s="203" t="s">
        <v>797</v>
      </c>
      <c r="D82" s="203" t="s">
        <v>839</v>
      </c>
      <c r="E82" s="203" t="s">
        <v>1084</v>
      </c>
      <c r="F82" t="str">
        <f t="shared" si="0"/>
        <v/>
      </c>
    </row>
    <row r="83" spans="1:7" x14ac:dyDescent="0.2">
      <c r="A83" s="10" t="s">
        <v>925</v>
      </c>
      <c r="B83" s="203">
        <f>IF(B11="NO",0,IF(AND(B9&gt;=2,B10&gt;=3),1,0))</f>
        <v>0</v>
      </c>
      <c r="C83" s="203" t="s">
        <v>797</v>
      </c>
      <c r="D83" s="203" t="s">
        <v>839</v>
      </c>
      <c r="E83" s="203" t="s">
        <v>1084</v>
      </c>
      <c r="F83" t="str">
        <f t="shared" si="0"/>
        <v/>
      </c>
    </row>
    <row r="84" spans="1:7" x14ac:dyDescent="0.2">
      <c r="A84" s="10" t="s">
        <v>926</v>
      </c>
      <c r="B84" s="225">
        <f>IF(B11="NO",0,IF(AND(B9&gt;=2,B10&gt;=4),1,IF(AND(B9&gt;=3,B10&gt;=3),1,0)))</f>
        <v>0</v>
      </c>
      <c r="C84" s="225" t="s">
        <v>797</v>
      </c>
      <c r="D84" s="225" t="s">
        <v>839</v>
      </c>
      <c r="E84" s="225" t="s">
        <v>1085</v>
      </c>
      <c r="F84" t="str">
        <f t="shared" si="0"/>
        <v/>
      </c>
    </row>
    <row r="85" spans="1:7" x14ac:dyDescent="0.2">
      <c r="A85" s="10" t="s">
        <v>927</v>
      </c>
      <c r="B85" s="225">
        <f>IF(B11="NO",0,IF(AND(B9&gt;=2,B10&gt;=4),1,0))</f>
        <v>0</v>
      </c>
      <c r="C85" s="225" t="s">
        <v>797</v>
      </c>
      <c r="D85" s="225" t="s">
        <v>839</v>
      </c>
      <c r="E85" s="225" t="s">
        <v>1085</v>
      </c>
      <c r="F85" t="str">
        <f t="shared" si="0"/>
        <v/>
      </c>
      <c r="G85" s="3"/>
    </row>
    <row r="86" spans="1:7" x14ac:dyDescent="0.2">
      <c r="A86" s="10" t="s">
        <v>928</v>
      </c>
      <c r="B86" s="225">
        <f>IF(B11="NO",0,IF(AND(B9&gt;=2,B10&gt;=4),1,0))</f>
        <v>0</v>
      </c>
      <c r="C86" s="225" t="s">
        <v>797</v>
      </c>
      <c r="D86" s="225" t="s">
        <v>839</v>
      </c>
      <c r="E86" s="225" t="s">
        <v>1085</v>
      </c>
      <c r="F86" t="str">
        <f t="shared" si="0"/>
        <v/>
      </c>
    </row>
    <row r="87" spans="1:7" x14ac:dyDescent="0.2">
      <c r="A87" s="10" t="s">
        <v>929</v>
      </c>
      <c r="B87" s="225">
        <f>IF(B11="NO",0,IF(AND(B9&gt;=2,B10&gt;=4),1,0))</f>
        <v>0</v>
      </c>
      <c r="C87" s="225" t="s">
        <v>797</v>
      </c>
      <c r="D87" s="225" t="s">
        <v>839</v>
      </c>
      <c r="E87" s="225" t="s">
        <v>1085</v>
      </c>
      <c r="F87" t="str">
        <f t="shared" si="0"/>
        <v/>
      </c>
    </row>
    <row r="88" spans="1:7" x14ac:dyDescent="0.2">
      <c r="A88" s="10" t="s">
        <v>930</v>
      </c>
      <c r="B88" s="7">
        <f>IF(B11="NO",0,IF(AND(B9&gt;=3,B10&gt;=4),1,0))</f>
        <v>0</v>
      </c>
      <c r="C88" s="7" t="s">
        <v>797</v>
      </c>
      <c r="D88" s="7" t="s">
        <v>839</v>
      </c>
      <c r="E88" s="7" t="s">
        <v>1089</v>
      </c>
      <c r="F88" t="str">
        <f t="shared" si="0"/>
        <v/>
      </c>
    </row>
    <row r="89" spans="1:7" x14ac:dyDescent="0.2">
      <c r="A89" s="10" t="s">
        <v>931</v>
      </c>
      <c r="B89" s="228">
        <f>IF(B11="NO",0,IF(AND(B9&gt;=3,B10&gt;=1),1,0))</f>
        <v>0</v>
      </c>
      <c r="C89" s="228" t="s">
        <v>797</v>
      </c>
      <c r="D89" s="228" t="s">
        <v>839</v>
      </c>
      <c r="E89" s="228" t="s">
        <v>1087</v>
      </c>
      <c r="F89" t="str">
        <f t="shared" si="0"/>
        <v/>
      </c>
      <c r="G89" s="3"/>
    </row>
    <row r="90" spans="1:7" x14ac:dyDescent="0.2">
      <c r="A90" s="10" t="s">
        <v>932</v>
      </c>
      <c r="B90" s="228">
        <f>IF(B11="NO",0,IF(AND(B9&gt;=3,B10&gt;=1),1,0))</f>
        <v>0</v>
      </c>
      <c r="C90" s="228" t="s">
        <v>797</v>
      </c>
      <c r="D90" s="228" t="s">
        <v>839</v>
      </c>
      <c r="E90" s="228" t="s">
        <v>1087</v>
      </c>
      <c r="F90" t="str">
        <f t="shared" si="0"/>
        <v/>
      </c>
    </row>
    <row r="91" spans="1:7" x14ac:dyDescent="0.2">
      <c r="A91" s="10" t="s">
        <v>933</v>
      </c>
      <c r="B91" s="228">
        <f>IF(B11="NO",0,IF(AND(B9&gt;=3,B10&gt;=2),1,0))</f>
        <v>0</v>
      </c>
      <c r="C91" s="228" t="s">
        <v>797</v>
      </c>
      <c r="D91" s="228" t="s">
        <v>839</v>
      </c>
      <c r="E91" s="228" t="s">
        <v>1087</v>
      </c>
      <c r="F91" t="str">
        <f t="shared" si="0"/>
        <v/>
      </c>
    </row>
    <row r="92" spans="1:7" x14ac:dyDescent="0.2">
      <c r="A92" s="10" t="s">
        <v>934</v>
      </c>
      <c r="B92" s="228">
        <f>IF(B11="NO",0,IF(AND(B9&gt;=3,B10&gt;=2),1,0))</f>
        <v>0</v>
      </c>
      <c r="C92" s="228" t="s">
        <v>797</v>
      </c>
      <c r="D92" s="228" t="s">
        <v>839</v>
      </c>
      <c r="E92" s="228" t="s">
        <v>1087</v>
      </c>
      <c r="F92" t="str">
        <f t="shared" si="0"/>
        <v/>
      </c>
    </row>
    <row r="93" spans="1:7" x14ac:dyDescent="0.2">
      <c r="A93" s="10" t="s">
        <v>935</v>
      </c>
      <c r="B93" s="228">
        <f>IF(B11="NO",0,IF(AND(B9&gt;=3,B10&gt;=2),1,0))</f>
        <v>0</v>
      </c>
      <c r="C93" s="228" t="s">
        <v>797</v>
      </c>
      <c r="D93" s="228" t="s">
        <v>839</v>
      </c>
      <c r="E93" s="228" t="s">
        <v>1087</v>
      </c>
      <c r="F93" t="str">
        <f t="shared" si="0"/>
        <v/>
      </c>
    </row>
    <row r="94" spans="1:7" x14ac:dyDescent="0.2">
      <c r="A94" s="10" t="s">
        <v>936</v>
      </c>
      <c r="B94" s="228">
        <f>IF(B11="NO",0,IF(AND(B9&gt;=3,B10&gt;=2),1,0))</f>
        <v>0</v>
      </c>
      <c r="C94" s="228" t="s">
        <v>797</v>
      </c>
      <c r="D94" s="228" t="s">
        <v>839</v>
      </c>
      <c r="E94" s="228" t="s">
        <v>1087</v>
      </c>
      <c r="F94" t="str">
        <f t="shared" si="0"/>
        <v/>
      </c>
    </row>
    <row r="95" spans="1:7" x14ac:dyDescent="0.2">
      <c r="A95" s="10" t="s">
        <v>937</v>
      </c>
      <c r="B95" s="208">
        <f>IF(B11="NO",0,IF(AND(B9&gt;=3,B10&gt;=3),1,0))</f>
        <v>0</v>
      </c>
      <c r="C95" s="208" t="s">
        <v>797</v>
      </c>
      <c r="D95" s="208" t="s">
        <v>839</v>
      </c>
      <c r="E95" s="208" t="s">
        <v>1088</v>
      </c>
      <c r="F95" t="str">
        <f t="shared" si="0"/>
        <v/>
      </c>
    </row>
    <row r="96" spans="1:7" x14ac:dyDescent="0.2">
      <c r="A96" s="10" t="s">
        <v>938</v>
      </c>
      <c r="B96" s="208">
        <f>IF(B11="NO",0,IF(AND(B9&gt;=3,B10&gt;=3),1,0))</f>
        <v>0</v>
      </c>
      <c r="C96" s="208" t="s">
        <v>797</v>
      </c>
      <c r="D96" s="208" t="s">
        <v>839</v>
      </c>
      <c r="E96" s="208" t="s">
        <v>1088</v>
      </c>
      <c r="F96" t="str">
        <f t="shared" si="0"/>
        <v/>
      </c>
    </row>
    <row r="97" spans="1:8" x14ac:dyDescent="0.2">
      <c r="A97" s="10" t="s">
        <v>939</v>
      </c>
      <c r="B97" s="208">
        <f>IF(B11="NO",0,IF(AND(B9&gt;=3,B10&gt;=3),1,0))</f>
        <v>0</v>
      </c>
      <c r="C97" s="208" t="s">
        <v>797</v>
      </c>
      <c r="D97" s="208" t="s">
        <v>839</v>
      </c>
      <c r="E97" s="208" t="s">
        <v>1088</v>
      </c>
      <c r="F97" t="str">
        <f t="shared" si="0"/>
        <v/>
      </c>
    </row>
    <row r="98" spans="1:8" x14ac:dyDescent="0.2">
      <c r="A98" s="10" t="s">
        <v>940</v>
      </c>
      <c r="B98" s="208">
        <f>IF(B11="NO",0,IF(AND(B9&gt;=3,B10&gt;=3),1,0))</f>
        <v>0</v>
      </c>
      <c r="C98" s="208" t="s">
        <v>797</v>
      </c>
      <c r="D98" s="208" t="s">
        <v>839</v>
      </c>
      <c r="E98" s="208" t="s">
        <v>1088</v>
      </c>
      <c r="F98" t="str">
        <f t="shared" si="0"/>
        <v/>
      </c>
    </row>
    <row r="99" spans="1:8" x14ac:dyDescent="0.2">
      <c r="A99" s="10" t="s">
        <v>941</v>
      </c>
      <c r="B99" s="7">
        <f>IF(B11="NO",0,IF(AND(B9=3,B10=4),1,0))</f>
        <v>0</v>
      </c>
      <c r="C99" s="7" t="s">
        <v>797</v>
      </c>
      <c r="D99" s="7" t="s">
        <v>839</v>
      </c>
      <c r="E99" s="7" t="s">
        <v>1089</v>
      </c>
      <c r="F99" t="str">
        <f t="shared" si="0"/>
        <v/>
      </c>
    </row>
    <row r="100" spans="1:8" x14ac:dyDescent="0.2">
      <c r="A100" s="10" t="s">
        <v>942</v>
      </c>
      <c r="B100" s="7">
        <f>IF(B11="NO",0,IF(AND(B9=3,B10=4),1,0))</f>
        <v>0</v>
      </c>
      <c r="C100" s="7" t="s">
        <v>797</v>
      </c>
      <c r="D100" s="7" t="s">
        <v>839</v>
      </c>
      <c r="E100" s="7" t="s">
        <v>1089</v>
      </c>
      <c r="F100" t="str">
        <f t="shared" si="0"/>
        <v/>
      </c>
    </row>
    <row r="101" spans="1:8" x14ac:dyDescent="0.2">
      <c r="A101" s="10" t="s">
        <v>943</v>
      </c>
      <c r="B101" s="7">
        <f>IF(B11="NO",0,IF(AND(B9&gt;=3,B10&gt;=4),1,0))</f>
        <v>0</v>
      </c>
      <c r="C101" s="7" t="s">
        <v>797</v>
      </c>
      <c r="D101" s="7" t="s">
        <v>839</v>
      </c>
      <c r="E101" s="7" t="s">
        <v>1089</v>
      </c>
      <c r="F101" t="str">
        <f t="shared" si="0"/>
        <v/>
      </c>
    </row>
    <row r="102" spans="1:8" ht="13.5" thickBot="1" x14ac:dyDescent="0.25">
      <c r="A102" s="234" t="s">
        <v>944</v>
      </c>
      <c r="B102" s="235">
        <f>IF(B11="NO",0,IF(AND(B9=3,B10=4),1,0))</f>
        <v>0</v>
      </c>
      <c r="C102" s="235" t="s">
        <v>797</v>
      </c>
      <c r="D102" s="235" t="s">
        <v>839</v>
      </c>
      <c r="E102" s="235" t="s">
        <v>1089</v>
      </c>
      <c r="F102" t="str">
        <f t="shared" si="0"/>
        <v/>
      </c>
    </row>
    <row r="103" spans="1:8" x14ac:dyDescent="0.2">
      <c r="A103" s="231" t="s">
        <v>842</v>
      </c>
      <c r="B103" s="232">
        <f>IF(B4="STD",1,0)</f>
        <v>1</v>
      </c>
      <c r="C103" s="231" t="s">
        <v>797</v>
      </c>
      <c r="D103" s="233" t="s">
        <v>839</v>
      </c>
    </row>
    <row r="104" spans="1:8" x14ac:dyDescent="0.2">
      <c r="A104" s="10" t="s">
        <v>841</v>
      </c>
      <c r="B104" s="7">
        <f>IF(B4="STD",1,0)</f>
        <v>1</v>
      </c>
      <c r="C104" s="10" t="s">
        <v>797</v>
      </c>
      <c r="D104" s="27" t="s">
        <v>839</v>
      </c>
    </row>
    <row r="105" spans="1:8" x14ac:dyDescent="0.2">
      <c r="A105" s="10" t="s">
        <v>945</v>
      </c>
      <c r="B105" s="7">
        <f>IF(B103=0,0,IF(B9&gt;=2,1,0))</f>
        <v>0</v>
      </c>
      <c r="C105" s="10" t="s">
        <v>797</v>
      </c>
      <c r="D105" s="27" t="s">
        <v>839</v>
      </c>
    </row>
    <row r="106" spans="1:8" x14ac:dyDescent="0.2">
      <c r="A106" s="10" t="s">
        <v>946</v>
      </c>
      <c r="B106" s="7">
        <f>IF(B104=0,0,IF(B9&gt;=2,1,0))</f>
        <v>0</v>
      </c>
      <c r="C106" s="10" t="s">
        <v>797</v>
      </c>
      <c r="D106" s="27" t="s">
        <v>839</v>
      </c>
    </row>
    <row r="107" spans="1:8" x14ac:dyDescent="0.2">
      <c r="A107" s="10" t="s">
        <v>947</v>
      </c>
      <c r="B107" s="7">
        <f>IF(B103=0,0,IF(B9&gt;=3,1,0))</f>
        <v>0</v>
      </c>
      <c r="C107" s="10" t="s">
        <v>797</v>
      </c>
      <c r="D107" s="27" t="s">
        <v>839</v>
      </c>
    </row>
    <row r="108" spans="1:8" x14ac:dyDescent="0.2">
      <c r="A108" s="10" t="s">
        <v>948</v>
      </c>
      <c r="B108" s="7">
        <f>IF(B104=0,0,IF(B9&gt;=3,1,0))</f>
        <v>0</v>
      </c>
      <c r="C108" s="10" t="s">
        <v>797</v>
      </c>
      <c r="D108" s="27" t="s">
        <v>839</v>
      </c>
      <c r="H108" s="8"/>
    </row>
    <row r="109" spans="1:8" x14ac:dyDescent="0.2">
      <c r="A109" s="10" t="s">
        <v>843</v>
      </c>
      <c r="B109" s="7">
        <f>IF(OR(B4="STD",B4="CUL"),1,0)</f>
        <v>1</v>
      </c>
      <c r="C109" s="10" t="s">
        <v>797</v>
      </c>
      <c r="D109" s="27" t="s">
        <v>839</v>
      </c>
      <c r="H109" s="8"/>
    </row>
    <row r="110" spans="1:8" x14ac:dyDescent="0.2">
      <c r="A110" s="10" t="s">
        <v>951</v>
      </c>
      <c r="B110" s="7">
        <f>IF(OR(B4="STD",B4="CUL",B4="CUWA"),1,0)</f>
        <v>1</v>
      </c>
      <c r="C110" s="10" t="s">
        <v>797</v>
      </c>
      <c r="D110" s="27" t="s">
        <v>839</v>
      </c>
      <c r="H110" s="8"/>
    </row>
    <row r="111" spans="1:8" x14ac:dyDescent="0.2">
      <c r="A111" s="10" t="s">
        <v>949</v>
      </c>
      <c r="B111" s="7">
        <f>IF(AND(B9=1,B10=1,B3&gt;142.5),1,IF(B109=0,0,IF(B10&gt;=2,1,0)))</f>
        <v>0</v>
      </c>
      <c r="C111" s="10" t="s">
        <v>797</v>
      </c>
      <c r="D111" s="27" t="s">
        <v>839</v>
      </c>
      <c r="H111" s="8"/>
    </row>
    <row r="112" spans="1:8" x14ac:dyDescent="0.2">
      <c r="A112" s="10" t="s">
        <v>952</v>
      </c>
      <c r="B112" s="7">
        <f>IF(AND(B9=1,B10=1,B3&gt;142.5),1,IF(B110=0,0,IF(B10&gt;=2,1,0)))</f>
        <v>0</v>
      </c>
      <c r="C112" s="10" t="s">
        <v>797</v>
      </c>
      <c r="D112" s="27" t="s">
        <v>839</v>
      </c>
      <c r="H112" s="8"/>
    </row>
    <row r="113" spans="1:8" x14ac:dyDescent="0.2">
      <c r="A113" s="10" t="s">
        <v>950</v>
      </c>
      <c r="B113" s="7">
        <f>IF(AND(B3&gt;285,B9=1,B10=1),1,IF(B109=0,0,IF(B10&gt;=3,1,0)))</f>
        <v>0</v>
      </c>
      <c r="C113" s="10" t="s">
        <v>797</v>
      </c>
      <c r="D113" s="27" t="s">
        <v>839</v>
      </c>
      <c r="H113" s="8"/>
    </row>
    <row r="114" spans="1:8" x14ac:dyDescent="0.2">
      <c r="A114" s="10" t="s">
        <v>953</v>
      </c>
      <c r="B114" s="7">
        <f>IF(AND(B3&gt;285,B9=1,B10=1),1,IF(B110=0,0,IF(B10&gt;=3,1,0)))</f>
        <v>0</v>
      </c>
      <c r="C114" s="10" t="s">
        <v>797</v>
      </c>
      <c r="D114" s="27" t="s">
        <v>839</v>
      </c>
      <c r="H114" s="8"/>
    </row>
    <row r="115" spans="1:8" x14ac:dyDescent="0.2">
      <c r="A115" s="10" t="s">
        <v>954</v>
      </c>
      <c r="B115" s="7">
        <f>IF(AND(B3&gt;427.5,B9=1,B10=1),1,IF(B110=0,0,IF(B10&gt;=4,1,0)))</f>
        <v>0</v>
      </c>
      <c r="C115" s="10" t="s">
        <v>797</v>
      </c>
      <c r="D115" s="27" t="s">
        <v>839</v>
      </c>
      <c r="H115" s="8"/>
    </row>
    <row r="116" spans="1:8" x14ac:dyDescent="0.2">
      <c r="A116" s="10" t="s">
        <v>955</v>
      </c>
      <c r="B116" s="7">
        <f>IF(AND(B3&gt;427.5,B9=1,B10=1),1,IF(B110=0,0,IF(B10&gt;=4,1,0)))</f>
        <v>0</v>
      </c>
      <c r="C116" s="10" t="s">
        <v>797</v>
      </c>
      <c r="D116" s="27" t="s">
        <v>839</v>
      </c>
      <c r="H116" s="8"/>
    </row>
    <row r="117" spans="1:8" x14ac:dyDescent="0.2">
      <c r="A117" s="10" t="s">
        <v>971</v>
      </c>
      <c r="B117" s="7">
        <f>IF(AND(B109=1,B9&gt;=2),1,0)</f>
        <v>0</v>
      </c>
      <c r="C117" s="10" t="s">
        <v>797</v>
      </c>
      <c r="D117" s="27" t="s">
        <v>839</v>
      </c>
      <c r="H117" s="8"/>
    </row>
    <row r="118" spans="1:8" x14ac:dyDescent="0.2">
      <c r="A118" s="10" t="s">
        <v>958</v>
      </c>
      <c r="B118" s="7">
        <f>IF(AND(B109=1,B9&gt;=2,B10&gt;=2),1,0)</f>
        <v>0</v>
      </c>
      <c r="C118" s="10" t="s">
        <v>797</v>
      </c>
      <c r="D118" s="27" t="s">
        <v>839</v>
      </c>
      <c r="H118" s="8"/>
    </row>
    <row r="119" spans="1:8" x14ac:dyDescent="0.2">
      <c r="A119" s="10" t="s">
        <v>972</v>
      </c>
      <c r="B119" s="7">
        <f>IF(B117=0,0,IF(AND(B9&gt;=2,B10&gt;=3),1,0))</f>
        <v>0</v>
      </c>
      <c r="C119" s="10" t="s">
        <v>797</v>
      </c>
      <c r="D119" s="27" t="s">
        <v>839</v>
      </c>
      <c r="G119" s="1"/>
      <c r="H119" s="8"/>
    </row>
    <row r="120" spans="1:8" x14ac:dyDescent="0.2">
      <c r="A120" s="10" t="s">
        <v>960</v>
      </c>
      <c r="B120" s="7">
        <f>IF(B118=0,0,IF(AND(B9&gt;=2,B10&gt;=4),1,0))</f>
        <v>0</v>
      </c>
      <c r="C120" s="10" t="s">
        <v>797</v>
      </c>
      <c r="D120" s="27" t="s">
        <v>839</v>
      </c>
      <c r="G120" s="1"/>
      <c r="H120" s="8"/>
    </row>
    <row r="121" spans="1:8" x14ac:dyDescent="0.2">
      <c r="A121" s="10" t="s">
        <v>973</v>
      </c>
      <c r="B121" s="7">
        <f>IF(B9=3,1,0)</f>
        <v>0</v>
      </c>
      <c r="C121" s="10" t="s">
        <v>797</v>
      </c>
      <c r="D121" s="27" t="s">
        <v>839</v>
      </c>
      <c r="G121" s="1"/>
      <c r="H121" s="8"/>
    </row>
    <row r="122" spans="1:8" x14ac:dyDescent="0.2">
      <c r="A122" s="10" t="s">
        <v>962</v>
      </c>
      <c r="B122" s="7">
        <f>IF(AND(B9=3,B10&gt;=2),1,0)</f>
        <v>0</v>
      </c>
      <c r="C122" s="10" t="s">
        <v>797</v>
      </c>
      <c r="D122" s="27" t="s">
        <v>839</v>
      </c>
      <c r="G122" s="1"/>
      <c r="H122" s="8"/>
    </row>
    <row r="123" spans="1:8" x14ac:dyDescent="0.2">
      <c r="A123" s="10" t="s">
        <v>974</v>
      </c>
      <c r="B123" s="7">
        <f>IF(AND(B9=3,B10&gt;=3),1,0)</f>
        <v>0</v>
      </c>
      <c r="C123" s="10" t="s">
        <v>797</v>
      </c>
      <c r="D123" s="27" t="s">
        <v>839</v>
      </c>
      <c r="G123" s="1"/>
      <c r="H123" s="8"/>
    </row>
    <row r="124" spans="1:8" x14ac:dyDescent="0.2">
      <c r="A124" s="10" t="s">
        <v>964</v>
      </c>
      <c r="B124" s="7">
        <f>IF(AND(B9=3,B10&gt;=4),1,0)</f>
        <v>0</v>
      </c>
      <c r="C124" s="10" t="s">
        <v>797</v>
      </c>
      <c r="D124" s="27" t="s">
        <v>839</v>
      </c>
      <c r="H124" s="8"/>
    </row>
    <row r="125" spans="1:8" x14ac:dyDescent="0.2">
      <c r="A125" s="10" t="s">
        <v>957</v>
      </c>
      <c r="B125" s="7">
        <f>B117</f>
        <v>0</v>
      </c>
      <c r="C125" s="10" t="s">
        <v>797</v>
      </c>
      <c r="D125" s="27" t="s">
        <v>839</v>
      </c>
      <c r="G125" s="1"/>
      <c r="H125" s="8"/>
    </row>
    <row r="126" spans="1:8" x14ac:dyDescent="0.2">
      <c r="A126" s="10" t="s">
        <v>967</v>
      </c>
      <c r="B126" s="7">
        <f t="shared" ref="B126:B132" si="1">B118</f>
        <v>0</v>
      </c>
      <c r="C126" s="10" t="s">
        <v>797</v>
      </c>
      <c r="D126" s="27" t="s">
        <v>839</v>
      </c>
      <c r="G126" s="1"/>
      <c r="H126" s="8"/>
    </row>
    <row r="127" spans="1:8" x14ac:dyDescent="0.2">
      <c r="A127" s="10" t="s">
        <v>959</v>
      </c>
      <c r="B127" s="7">
        <f t="shared" si="1"/>
        <v>0</v>
      </c>
      <c r="C127" s="10" t="s">
        <v>797</v>
      </c>
      <c r="D127" s="27" t="s">
        <v>839</v>
      </c>
      <c r="G127" s="1"/>
      <c r="H127" s="8"/>
    </row>
    <row r="128" spans="1:8" x14ac:dyDescent="0.2">
      <c r="A128" s="10" t="s">
        <v>968</v>
      </c>
      <c r="B128" s="7">
        <f t="shared" si="1"/>
        <v>0</v>
      </c>
      <c r="C128" s="10" t="s">
        <v>797</v>
      </c>
      <c r="D128" s="27" t="s">
        <v>839</v>
      </c>
      <c r="G128" s="1"/>
      <c r="H128" s="8"/>
    </row>
    <row r="129" spans="1:8" x14ac:dyDescent="0.2">
      <c r="A129" s="10" t="s">
        <v>961</v>
      </c>
      <c r="B129" s="7">
        <f t="shared" si="1"/>
        <v>0</v>
      </c>
      <c r="C129" s="10" t="s">
        <v>797</v>
      </c>
      <c r="D129" s="27" t="s">
        <v>839</v>
      </c>
      <c r="G129" s="1"/>
      <c r="H129" s="8"/>
    </row>
    <row r="130" spans="1:8" x14ac:dyDescent="0.2">
      <c r="A130" s="10" t="s">
        <v>969</v>
      </c>
      <c r="B130" s="7">
        <f t="shared" si="1"/>
        <v>0</v>
      </c>
      <c r="C130" s="10" t="s">
        <v>797</v>
      </c>
      <c r="D130" s="27" t="s">
        <v>839</v>
      </c>
      <c r="G130" s="1"/>
      <c r="H130" s="8"/>
    </row>
    <row r="131" spans="1:8" x14ac:dyDescent="0.2">
      <c r="A131" s="10" t="s">
        <v>963</v>
      </c>
      <c r="B131" s="7">
        <f t="shared" si="1"/>
        <v>0</v>
      </c>
      <c r="C131" s="10" t="s">
        <v>797</v>
      </c>
      <c r="D131" s="27" t="s">
        <v>839</v>
      </c>
      <c r="G131" s="1"/>
      <c r="H131" s="8"/>
    </row>
    <row r="132" spans="1:8" x14ac:dyDescent="0.2">
      <c r="A132" s="10" t="s">
        <v>970</v>
      </c>
      <c r="B132" s="7">
        <f t="shared" si="1"/>
        <v>0</v>
      </c>
      <c r="C132" s="10" t="s">
        <v>797</v>
      </c>
      <c r="D132" s="27" t="s">
        <v>839</v>
      </c>
      <c r="G132" s="1"/>
      <c r="H132" s="8"/>
    </row>
    <row r="133" spans="1:8" x14ac:dyDescent="0.2">
      <c r="A133" s="10" t="s">
        <v>977</v>
      </c>
      <c r="B133" s="7">
        <f>IF(AND(B3&gt;142.5,B9=1,B10=1),1,IF(B10&gt;=2,1,0))</f>
        <v>0</v>
      </c>
      <c r="C133" s="10" t="s">
        <v>797</v>
      </c>
      <c r="D133" s="27" t="s">
        <v>839</v>
      </c>
      <c r="G133" s="1"/>
      <c r="H133" s="8"/>
    </row>
    <row r="134" spans="1:8" x14ac:dyDescent="0.2">
      <c r="A134" s="10" t="s">
        <v>978</v>
      </c>
      <c r="B134" s="7">
        <f>IF(AND(B3&gt;142.5,B9=1,B10=1),1,IF(B10&gt;=2,1,0))</f>
        <v>0</v>
      </c>
      <c r="C134" s="10" t="s">
        <v>797</v>
      </c>
      <c r="D134" s="27" t="s">
        <v>839</v>
      </c>
      <c r="G134" s="1"/>
      <c r="H134" s="8"/>
    </row>
    <row r="135" spans="1:8" x14ac:dyDescent="0.2">
      <c r="A135" s="10" t="s">
        <v>979</v>
      </c>
      <c r="B135" s="7">
        <f>IF(AND(B3&gt;285,B9=1,B10=1),1,IF(B10&gt;=3,1,0))</f>
        <v>0</v>
      </c>
      <c r="C135" s="10" t="s">
        <v>797</v>
      </c>
      <c r="D135" s="27" t="s">
        <v>839</v>
      </c>
      <c r="G135" s="1"/>
      <c r="H135" s="8"/>
    </row>
    <row r="136" spans="1:8" x14ac:dyDescent="0.2">
      <c r="A136" s="10" t="s">
        <v>980</v>
      </c>
      <c r="B136" s="7">
        <f>IF(AND(B3&gt;285,B9=1,B10=1),1,IF(B10&gt;=3,1,0))</f>
        <v>0</v>
      </c>
      <c r="C136" s="10" t="s">
        <v>797</v>
      </c>
      <c r="D136" s="27" t="s">
        <v>839</v>
      </c>
      <c r="G136" s="1"/>
      <c r="H136" s="8"/>
    </row>
    <row r="137" spans="1:8" x14ac:dyDescent="0.2">
      <c r="A137" s="10" t="s">
        <v>981</v>
      </c>
      <c r="B137" s="7">
        <f>IF(AND(B3&gt;427.5,B9=1,B10=1),1,IF(B10&gt;=4,1,0))</f>
        <v>0</v>
      </c>
      <c r="C137" s="10" t="s">
        <v>797</v>
      </c>
      <c r="D137" s="27" t="s">
        <v>839</v>
      </c>
      <c r="G137" s="1"/>
      <c r="H137" s="8"/>
    </row>
    <row r="138" spans="1:8" x14ac:dyDescent="0.2">
      <c r="A138" s="10" t="s">
        <v>982</v>
      </c>
      <c r="B138" s="7">
        <f>IF(AND(B3&gt;427.5,B9=1,B10=1),1,IF(B10&gt;=4,1,0))</f>
        <v>0</v>
      </c>
      <c r="C138" s="10" t="s">
        <v>797</v>
      </c>
      <c r="D138" s="27" t="s">
        <v>839</v>
      </c>
      <c r="G138" s="1"/>
      <c r="H138" s="8"/>
    </row>
    <row r="139" spans="1:8" x14ac:dyDescent="0.2">
      <c r="A139" s="10" t="s">
        <v>983</v>
      </c>
      <c r="B139" s="7">
        <f>IF(AND(B9&gt;=2,B10&gt;=2),1,0)</f>
        <v>0</v>
      </c>
      <c r="C139" s="10" t="s">
        <v>797</v>
      </c>
      <c r="D139" s="27" t="s">
        <v>839</v>
      </c>
      <c r="G139" s="1"/>
      <c r="H139" s="8"/>
    </row>
    <row r="140" spans="1:8" x14ac:dyDescent="0.2">
      <c r="A140" s="10" t="s">
        <v>984</v>
      </c>
      <c r="B140" s="7">
        <f>IF(AND(B9&gt;=2,B10&gt;=2),1,0)</f>
        <v>0</v>
      </c>
      <c r="C140" s="10" t="s">
        <v>797</v>
      </c>
      <c r="D140" s="27" t="s">
        <v>839</v>
      </c>
      <c r="G140" s="1"/>
      <c r="H140" s="8"/>
    </row>
    <row r="141" spans="1:8" x14ac:dyDescent="0.2">
      <c r="A141" s="10" t="s">
        <v>985</v>
      </c>
      <c r="B141" s="7">
        <f>IF(AND(B9&gt;=2,B10&gt;=3),1,0)</f>
        <v>0</v>
      </c>
      <c r="C141" s="10" t="s">
        <v>797</v>
      </c>
      <c r="D141" s="27" t="s">
        <v>839</v>
      </c>
      <c r="G141" s="1"/>
      <c r="H141" s="8"/>
    </row>
    <row r="142" spans="1:8" x14ac:dyDescent="0.2">
      <c r="A142" s="10" t="s">
        <v>986</v>
      </c>
      <c r="B142" s="7">
        <f>IF(AND(B9&gt;=2,B10&gt;=3),1,0)</f>
        <v>0</v>
      </c>
      <c r="C142" s="10" t="s">
        <v>797</v>
      </c>
      <c r="D142" s="27" t="s">
        <v>839</v>
      </c>
      <c r="G142" s="1"/>
      <c r="H142" s="8"/>
    </row>
    <row r="143" spans="1:8" x14ac:dyDescent="0.2">
      <c r="A143" s="10" t="s">
        <v>987</v>
      </c>
      <c r="B143" s="7">
        <f>IF(AND(B9&gt;=2,B10&gt;=4),1,0)</f>
        <v>0</v>
      </c>
      <c r="C143" s="10" t="s">
        <v>797</v>
      </c>
      <c r="D143" s="27" t="s">
        <v>839</v>
      </c>
      <c r="G143" s="1"/>
      <c r="H143" s="8"/>
    </row>
    <row r="144" spans="1:8" x14ac:dyDescent="0.2">
      <c r="A144" s="10" t="s">
        <v>988</v>
      </c>
      <c r="B144" s="7">
        <f>IF(AND(B9&gt;=2,B10&gt;=4),1,0)</f>
        <v>0</v>
      </c>
      <c r="C144" s="10" t="s">
        <v>797</v>
      </c>
      <c r="D144" s="27" t="s">
        <v>839</v>
      </c>
      <c r="G144" s="1"/>
      <c r="H144" s="8"/>
    </row>
    <row r="145" spans="1:8" x14ac:dyDescent="0.2">
      <c r="A145" s="10" t="s">
        <v>989</v>
      </c>
      <c r="B145" s="7">
        <f>IF(AND(B9&gt;=3,B10&gt;=2),1,0)</f>
        <v>0</v>
      </c>
      <c r="C145" s="10" t="s">
        <v>797</v>
      </c>
      <c r="D145" s="27" t="s">
        <v>839</v>
      </c>
      <c r="G145" s="1"/>
      <c r="H145" s="8"/>
    </row>
    <row r="146" spans="1:8" x14ac:dyDescent="0.2">
      <c r="A146" s="10" t="s">
        <v>990</v>
      </c>
      <c r="B146" s="7">
        <f>IF(AND(B9&gt;=3,B10&gt;=2),1,0)</f>
        <v>0</v>
      </c>
      <c r="C146" s="10" t="s">
        <v>797</v>
      </c>
      <c r="D146" s="27" t="s">
        <v>839</v>
      </c>
      <c r="G146" s="1"/>
      <c r="H146" s="8"/>
    </row>
    <row r="147" spans="1:8" x14ac:dyDescent="0.2">
      <c r="A147" s="10" t="s">
        <v>991</v>
      </c>
      <c r="B147" s="7">
        <f>IF(AND(B9&gt;=3,B10&gt;=3),1,0)</f>
        <v>0</v>
      </c>
      <c r="C147" s="10" t="s">
        <v>797</v>
      </c>
      <c r="D147" s="27" t="s">
        <v>839</v>
      </c>
      <c r="G147" s="1"/>
      <c r="H147" s="8"/>
    </row>
    <row r="148" spans="1:8" x14ac:dyDescent="0.2">
      <c r="A148" s="10" t="s">
        <v>992</v>
      </c>
      <c r="B148" s="7">
        <f>IF(AND(B9&gt;=3,B10&gt;=3),1,0)</f>
        <v>0</v>
      </c>
      <c r="C148" s="10" t="s">
        <v>797</v>
      </c>
      <c r="D148" s="27" t="s">
        <v>839</v>
      </c>
      <c r="G148" s="1"/>
      <c r="H148" s="8"/>
    </row>
    <row r="149" spans="1:8" x14ac:dyDescent="0.2">
      <c r="A149" s="10" t="s">
        <v>993</v>
      </c>
      <c r="B149" s="7">
        <f>IF(AND(B9&gt;=3,B10&gt;=4),1,0)</f>
        <v>0</v>
      </c>
      <c r="C149" s="10" t="s">
        <v>797</v>
      </c>
      <c r="D149" s="27" t="s">
        <v>839</v>
      </c>
      <c r="G149" s="1"/>
      <c r="H149" s="8"/>
    </row>
    <row r="150" spans="1:8" x14ac:dyDescent="0.2">
      <c r="A150" s="10" t="s">
        <v>994</v>
      </c>
      <c r="B150" s="7">
        <f>IF(AND(B9&gt;=3,B10&gt;=4),1,0)</f>
        <v>0</v>
      </c>
      <c r="C150" s="10" t="s">
        <v>797</v>
      </c>
      <c r="D150" s="27" t="s">
        <v>839</v>
      </c>
      <c r="G150" s="1"/>
      <c r="H150" s="8"/>
    </row>
    <row r="151" spans="1:8" x14ac:dyDescent="0.2">
      <c r="A151" s="10" t="s">
        <v>888</v>
      </c>
      <c r="B151" s="7">
        <f>IF(B4="CUWA",1,0)</f>
        <v>0</v>
      </c>
      <c r="C151" s="10" t="s">
        <v>797</v>
      </c>
      <c r="D151" s="27" t="s">
        <v>839</v>
      </c>
      <c r="G151" s="1"/>
      <c r="H151" s="8"/>
    </row>
    <row r="152" spans="1:8" x14ac:dyDescent="0.2">
      <c r="A152" s="10" t="s">
        <v>1012</v>
      </c>
      <c r="B152" s="7">
        <f>IF(AND(B3&gt;=96,B4="CUWC"),1,IF(AND(B3&gt;=96,B4="CUWA"),1,IF(OR(AND(B4="CUL",B4="STD"),AND(B3&gt;=96,H4&gt;=95.75)),1,0)))</f>
        <v>0</v>
      </c>
      <c r="C152" s="10" t="s">
        <v>797</v>
      </c>
      <c r="D152" s="27" t="s">
        <v>839</v>
      </c>
      <c r="E152" s="8"/>
    </row>
    <row r="153" spans="1:8" x14ac:dyDescent="0.2">
      <c r="A153" s="10" t="s">
        <v>1013</v>
      </c>
      <c r="B153" s="7">
        <f>IF(AND(B4="CUL",B10&gt;=2,H4&gt;=95.75),1,IF(AND(B4="STD",B10&gt;=2,H4&gt;=95.75),1,IF(OR(AND(B4="CUL",B4="STD"),AND(B3&gt;=192,H4&gt;=95.75)),1,0)))</f>
        <v>0</v>
      </c>
      <c r="C153" s="10" t="s">
        <v>797</v>
      </c>
      <c r="D153" s="27" t="s">
        <v>839</v>
      </c>
      <c r="E153" s="8"/>
    </row>
    <row r="154" spans="1:8" x14ac:dyDescent="0.2">
      <c r="A154" s="10" t="s">
        <v>1020</v>
      </c>
      <c r="B154" s="7">
        <f>IF(AND(B4="CUL",B10&gt;=3,H4&gt;=95.75),1,IF(AND(B4="STD",B10&gt;=3,H4&gt;=95.75),1,IF(OR(AND(B4="CUL",B4="STD"),AND(B3&gt;285,H4&gt;=95.75)),1,0)))</f>
        <v>0</v>
      </c>
      <c r="C154" s="10" t="s">
        <v>797</v>
      </c>
      <c r="D154" s="27" t="s">
        <v>839</v>
      </c>
      <c r="E154" s="8"/>
    </row>
    <row r="155" spans="1:8" ht="13.5" customHeight="1" x14ac:dyDescent="0.2">
      <c r="A155" s="10" t="s">
        <v>1021</v>
      </c>
      <c r="B155" s="7">
        <f>IF(AND(B4="STD",B10&gt;=4,H4&gt;=95.75),1,IF(AND(B4="CUL",B10&gt;=4,H4&gt;=95.75),1,IF(OR(AND(B4="CUL",B4="STD"),AND(B3&gt;427.5,H4&gt;=95.75)),1,0)))</f>
        <v>0</v>
      </c>
      <c r="C155" s="10" t="s">
        <v>797</v>
      </c>
      <c r="D155" s="27" t="s">
        <v>839</v>
      </c>
      <c r="E155" s="8"/>
    </row>
    <row r="156" spans="1:8" ht="13.5" customHeight="1" x14ac:dyDescent="0.2">
      <c r="A156" s="10" t="s">
        <v>1033</v>
      </c>
      <c r="B156" s="7">
        <f>IF(AND(B152=1,B$9&gt;=2),1,0)</f>
        <v>0</v>
      </c>
      <c r="C156" s="10" t="s">
        <v>797</v>
      </c>
      <c r="D156" s="27" t="s">
        <v>839</v>
      </c>
      <c r="E156" s="8"/>
    </row>
    <row r="157" spans="1:8" ht="13.5" customHeight="1" x14ac:dyDescent="0.2">
      <c r="A157" s="10" t="s">
        <v>1034</v>
      </c>
      <c r="B157" s="7">
        <f>IF(AND(B153=1,B$9&gt;=2),1,0)</f>
        <v>0</v>
      </c>
      <c r="C157" s="10" t="s">
        <v>797</v>
      </c>
      <c r="D157" s="27" t="s">
        <v>839</v>
      </c>
      <c r="E157" s="8"/>
    </row>
    <row r="158" spans="1:8" ht="13.5" customHeight="1" x14ac:dyDescent="0.2">
      <c r="A158" s="10" t="s">
        <v>1035</v>
      </c>
      <c r="B158" s="7">
        <f>IF(AND(B154=1,B$9&gt;=2),1,0)</f>
        <v>0</v>
      </c>
      <c r="C158" s="10" t="s">
        <v>797</v>
      </c>
      <c r="D158" s="27" t="s">
        <v>839</v>
      </c>
      <c r="E158" s="8"/>
    </row>
    <row r="159" spans="1:8" ht="13.5" customHeight="1" x14ac:dyDescent="0.2">
      <c r="A159" s="10" t="s">
        <v>1036</v>
      </c>
      <c r="B159" s="7">
        <f>IF(AND(B155=1,B$9&gt;=2),1,0)</f>
        <v>0</v>
      </c>
      <c r="C159" s="10" t="s">
        <v>797</v>
      </c>
      <c r="D159" s="27" t="s">
        <v>839</v>
      </c>
      <c r="E159" s="8"/>
    </row>
    <row r="160" spans="1:8" ht="13.5" customHeight="1" x14ac:dyDescent="0.2">
      <c r="A160" s="10" t="s">
        <v>1037</v>
      </c>
      <c r="B160" s="7">
        <f>IF(AND(B152=1,B$9&gt;=3),1,0)</f>
        <v>0</v>
      </c>
      <c r="C160" s="10" t="s">
        <v>797</v>
      </c>
      <c r="D160" s="27" t="s">
        <v>839</v>
      </c>
      <c r="E160" s="8"/>
    </row>
    <row r="161" spans="1:8" ht="13.5" customHeight="1" x14ac:dyDescent="0.2">
      <c r="A161" s="10" t="s">
        <v>1038</v>
      </c>
      <c r="B161" s="7">
        <f>IF(AND(B153=1,B$9&gt;=3),1,0)</f>
        <v>0</v>
      </c>
      <c r="C161" s="10" t="s">
        <v>797</v>
      </c>
      <c r="D161" s="27" t="s">
        <v>839</v>
      </c>
      <c r="E161" s="8"/>
    </row>
    <row r="162" spans="1:8" ht="13.5" customHeight="1" x14ac:dyDescent="0.2">
      <c r="A162" s="10" t="s">
        <v>1039</v>
      </c>
      <c r="B162" s="7">
        <f>IF(AND(B154=1,B$9&gt;=3),1,0)</f>
        <v>0</v>
      </c>
      <c r="C162" s="10" t="s">
        <v>797</v>
      </c>
      <c r="D162" s="27" t="s">
        <v>839</v>
      </c>
      <c r="E162" s="8"/>
    </row>
    <row r="163" spans="1:8" ht="13.5" customHeight="1" x14ac:dyDescent="0.2">
      <c r="A163" s="10" t="s">
        <v>1040</v>
      </c>
      <c r="B163" s="7">
        <f>IF(AND(B155=1,B$9&gt;=3),1,0)</f>
        <v>0</v>
      </c>
      <c r="C163" s="10" t="s">
        <v>797</v>
      </c>
      <c r="D163" s="27" t="s">
        <v>839</v>
      </c>
      <c r="E163" s="8"/>
    </row>
    <row r="164" spans="1:8" ht="13.5" customHeight="1" x14ac:dyDescent="0.2">
      <c r="A164" s="10" t="s">
        <v>844</v>
      </c>
      <c r="B164" s="7">
        <f>0</f>
        <v>0</v>
      </c>
      <c r="C164" s="10" t="s">
        <v>797</v>
      </c>
      <c r="D164" s="27" t="s">
        <v>839</v>
      </c>
      <c r="G164" s="1"/>
      <c r="H164" s="8"/>
    </row>
    <row r="165" spans="1:8" ht="13.5" customHeight="1" x14ac:dyDescent="0.2">
      <c r="A165" s="10" t="s">
        <v>845</v>
      </c>
      <c r="B165" s="26">
        <f>0</f>
        <v>0</v>
      </c>
      <c r="C165" s="10" t="s">
        <v>797</v>
      </c>
      <c r="D165" s="27" t="s">
        <v>839</v>
      </c>
      <c r="G165" s="1"/>
      <c r="H165" s="8"/>
    </row>
    <row r="166" spans="1:8" ht="13.5" customHeight="1" x14ac:dyDescent="0.2">
      <c r="A166" s="10" t="s">
        <v>846</v>
      </c>
      <c r="B166" s="26">
        <f>0</f>
        <v>0</v>
      </c>
      <c r="C166" s="10" t="s">
        <v>797</v>
      </c>
      <c r="D166" s="27" t="s">
        <v>839</v>
      </c>
      <c r="G166" s="1"/>
      <c r="H166" s="8"/>
    </row>
    <row r="167" spans="1:8" x14ac:dyDescent="0.2">
      <c r="A167" s="10" t="s">
        <v>847</v>
      </c>
      <c r="B167" s="7">
        <f>IF(B4="CUWC",1,0)</f>
        <v>0</v>
      </c>
      <c r="C167" s="10" t="s">
        <v>797</v>
      </c>
      <c r="D167" s="27" t="s">
        <v>839</v>
      </c>
      <c r="G167" s="1"/>
      <c r="H167" s="8"/>
    </row>
    <row r="168" spans="1:8" x14ac:dyDescent="0.2">
      <c r="A168" s="10" t="s">
        <v>889</v>
      </c>
      <c r="B168" s="7">
        <f>IF(B4="CUWC",1,0)</f>
        <v>0</v>
      </c>
      <c r="C168" s="10" t="s">
        <v>797</v>
      </c>
      <c r="D168" s="27" t="s">
        <v>839</v>
      </c>
      <c r="G168" s="1"/>
      <c r="H168" s="8"/>
    </row>
    <row r="169" spans="1:8" x14ac:dyDescent="0.2">
      <c r="A169" s="10" t="s">
        <v>848</v>
      </c>
      <c r="B169" s="7">
        <f>IF(B6="NO",0,IF(AND(B4="CUWA",B6="YES"),1,IF(AND(B4="CUWC",B6="YES"),1,0)))</f>
        <v>0</v>
      </c>
      <c r="C169" s="10" t="s">
        <v>797</v>
      </c>
      <c r="D169" s="27" t="s">
        <v>839</v>
      </c>
      <c r="G169" s="1"/>
      <c r="H169" s="8"/>
    </row>
    <row r="170" spans="1:8" x14ac:dyDescent="0.2">
      <c r="A170" s="10" t="s">
        <v>1107</v>
      </c>
      <c r="B170" s="7">
        <f>IF(B4="CUL",1,0)</f>
        <v>0</v>
      </c>
      <c r="C170" s="10" t="s">
        <v>797</v>
      </c>
      <c r="D170" s="27" t="s">
        <v>839</v>
      </c>
      <c r="G170" s="1"/>
      <c r="H170" s="8"/>
    </row>
    <row r="171" spans="1:8" x14ac:dyDescent="0.2">
      <c r="A171" s="10" t="s">
        <v>1136</v>
      </c>
      <c r="B171" s="7">
        <f>IF(B5="STL GALV",1,0)</f>
        <v>1</v>
      </c>
      <c r="C171" s="10" t="s">
        <v>797</v>
      </c>
      <c r="D171" s="27" t="s">
        <v>839</v>
      </c>
      <c r="G171" s="1"/>
      <c r="H171" s="8"/>
    </row>
    <row r="172" spans="1:8" x14ac:dyDescent="0.2">
      <c r="A172" s="10" t="s">
        <v>1137</v>
      </c>
      <c r="B172" s="7">
        <f>IF(LEFT(B5,3)="SST",1,0)</f>
        <v>0</v>
      </c>
      <c r="C172" s="10" t="s">
        <v>797</v>
      </c>
      <c r="D172" s="27" t="s">
        <v>839</v>
      </c>
      <c r="G172" s="1"/>
      <c r="H172" s="8"/>
    </row>
    <row r="173" spans="1:8" x14ac:dyDescent="0.2">
      <c r="A173" s="3"/>
      <c r="G173" s="1"/>
      <c r="H173" s="8"/>
    </row>
    <row r="174" spans="1:8" x14ac:dyDescent="0.2">
      <c r="A174" s="3"/>
    </row>
    <row r="175" spans="1:8" x14ac:dyDescent="0.2">
      <c r="A175" s="3"/>
    </row>
    <row r="176" spans="1:8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</sheetData>
  <mergeCells count="9">
    <mergeCell ref="M1:N1"/>
    <mergeCell ref="A34:B34"/>
    <mergeCell ref="G28:H28"/>
    <mergeCell ref="G40:H40"/>
    <mergeCell ref="J40:K40"/>
    <mergeCell ref="D38:E38"/>
    <mergeCell ref="D1:E1"/>
    <mergeCell ref="G1:H1"/>
    <mergeCell ref="J1:K1"/>
  </mergeCells>
  <phoneticPr fontId="0" type="noConversion"/>
  <conditionalFormatting sqref="K2:K24 H2:H25 E2:E33 B18:B32 H29:H35 B35:B53 E39:E51 K41:K48 H41:H51">
    <cfRule type="cellIs" dxfId="2" priority="1" operator="lessThan">
      <formula>0</formula>
    </cfRule>
    <cfRule type="containsText" dxfId="1" priority="2" operator="containsText" text="FALSE">
      <formula>NOT(ISERROR(SEARCH("FALSE",B2)))</formula>
    </cfRule>
    <cfRule type="containsErrors" dxfId="0" priority="3">
      <formula>ISERROR(B2)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L40"/>
  <sheetViews>
    <sheetView zoomScale="85" zoomScaleNormal="85" workbookViewId="0">
      <selection activeCell="F37" sqref="F37"/>
    </sheetView>
  </sheetViews>
  <sheetFormatPr defaultRowHeight="12.75" x14ac:dyDescent="0.2"/>
  <cols>
    <col min="1" max="1" width="27.5703125" bestFit="1" customWidth="1"/>
    <col min="2" max="2" width="13.140625" bestFit="1" customWidth="1"/>
    <col min="3" max="3" width="7.42578125" bestFit="1" customWidth="1"/>
    <col min="4" max="4" width="35.140625" bestFit="1" customWidth="1"/>
    <col min="5" max="5" width="5.7109375" bestFit="1" customWidth="1"/>
    <col min="6" max="6" width="8.42578125" customWidth="1"/>
  </cols>
  <sheetData>
    <row r="1" spans="1:6" x14ac:dyDescent="0.2">
      <c r="A1" s="464" t="s">
        <v>43</v>
      </c>
      <c r="B1" s="464"/>
      <c r="C1" s="464"/>
      <c r="D1" s="464"/>
      <c r="E1" s="464"/>
      <c r="F1" s="2"/>
    </row>
    <row r="2" spans="1:6" x14ac:dyDescent="0.2">
      <c r="A2" s="2" t="s">
        <v>9</v>
      </c>
      <c r="B2" s="2"/>
      <c r="C2" s="2"/>
      <c r="D2" s="2" t="s">
        <v>10</v>
      </c>
      <c r="E2" s="2"/>
      <c r="F2" s="2"/>
    </row>
    <row r="3" spans="1:6" x14ac:dyDescent="0.2">
      <c r="A3" s="21" t="s">
        <v>11</v>
      </c>
      <c r="B3" s="21" t="s">
        <v>20</v>
      </c>
      <c r="C3" s="21"/>
      <c r="D3" s="21" t="s">
        <v>11</v>
      </c>
      <c r="E3" s="27" t="s">
        <v>27</v>
      </c>
    </row>
    <row r="4" spans="1:6" x14ac:dyDescent="0.2">
      <c r="A4" s="21" t="s">
        <v>12</v>
      </c>
      <c r="B4" s="21" t="s">
        <v>21</v>
      </c>
      <c r="C4" s="21"/>
      <c r="D4" s="21" t="s">
        <v>12</v>
      </c>
      <c r="E4" s="27" t="s">
        <v>28</v>
      </c>
    </row>
    <row r="5" spans="1:6" x14ac:dyDescent="0.2">
      <c r="A5" s="21" t="s">
        <v>13</v>
      </c>
      <c r="B5" s="21" t="s">
        <v>22</v>
      </c>
      <c r="C5" s="21"/>
      <c r="D5" s="22" t="s">
        <v>255</v>
      </c>
      <c r="E5" s="27"/>
    </row>
    <row r="6" spans="1:6" x14ac:dyDescent="0.2">
      <c r="A6" s="21" t="s">
        <v>14</v>
      </c>
      <c r="B6" s="21" t="s">
        <v>21</v>
      </c>
      <c r="C6" s="21"/>
      <c r="D6" s="21" t="s">
        <v>13</v>
      </c>
      <c r="E6" s="27" t="s">
        <v>29</v>
      </c>
    </row>
    <row r="7" spans="1:6" x14ac:dyDescent="0.2">
      <c r="A7" s="21" t="s">
        <v>15</v>
      </c>
      <c r="B7" s="21" t="s">
        <v>21</v>
      </c>
      <c r="C7" s="21"/>
      <c r="D7" s="21" t="s">
        <v>14</v>
      </c>
      <c r="E7" s="27" t="s">
        <v>29</v>
      </c>
    </row>
    <row r="8" spans="1:6" x14ac:dyDescent="0.2">
      <c r="A8" s="21" t="s">
        <v>16</v>
      </c>
      <c r="B8" s="21" t="s">
        <v>23</v>
      </c>
      <c r="C8" s="21"/>
      <c r="D8" s="21" t="s">
        <v>15</v>
      </c>
      <c r="E8" s="27" t="s">
        <v>29</v>
      </c>
    </row>
    <row r="9" spans="1:6" x14ac:dyDescent="0.2">
      <c r="A9" s="21" t="s">
        <v>17</v>
      </c>
      <c r="B9" s="21" t="s">
        <v>24</v>
      </c>
      <c r="C9" s="21"/>
      <c r="D9" s="28" t="s">
        <v>45</v>
      </c>
      <c r="E9" s="29">
        <v>0.109</v>
      </c>
    </row>
    <row r="10" spans="1:6" x14ac:dyDescent="0.2">
      <c r="A10" s="21" t="s">
        <v>18</v>
      </c>
      <c r="B10" s="21" t="s">
        <v>25</v>
      </c>
      <c r="C10" s="21"/>
      <c r="D10" s="28" t="s">
        <v>46</v>
      </c>
      <c r="E10" s="29">
        <v>0.188</v>
      </c>
    </row>
    <row r="11" spans="1:6" x14ac:dyDescent="0.2">
      <c r="A11" s="21" t="s">
        <v>19</v>
      </c>
      <c r="B11" s="21" t="s">
        <v>26</v>
      </c>
      <c r="C11" s="21"/>
      <c r="D11" s="21" t="s">
        <v>17</v>
      </c>
      <c r="E11" s="27" t="s">
        <v>29</v>
      </c>
    </row>
    <row r="12" spans="1:6" x14ac:dyDescent="0.2">
      <c r="A12" s="21"/>
      <c r="B12" s="21"/>
      <c r="C12" s="21"/>
      <c r="D12" s="21" t="s">
        <v>18</v>
      </c>
      <c r="E12" s="27" t="s">
        <v>29</v>
      </c>
    </row>
    <row r="13" spans="1:6" x14ac:dyDescent="0.2">
      <c r="A13" s="21"/>
      <c r="B13" s="21"/>
      <c r="C13" s="21"/>
      <c r="D13" s="22" t="s">
        <v>256</v>
      </c>
      <c r="E13" s="27"/>
    </row>
    <row r="14" spans="1:6" x14ac:dyDescent="0.2">
      <c r="A14" s="21"/>
      <c r="B14" s="21"/>
      <c r="C14" s="21"/>
      <c r="D14" s="21" t="s">
        <v>13</v>
      </c>
      <c r="E14" s="27" t="s">
        <v>29</v>
      </c>
    </row>
    <row r="15" spans="1:6" x14ac:dyDescent="0.2">
      <c r="A15" s="21"/>
      <c r="B15" s="21"/>
      <c r="C15" s="21"/>
      <c r="D15" s="21" t="s">
        <v>30</v>
      </c>
      <c r="E15" s="27" t="s">
        <v>32</v>
      </c>
    </row>
    <row r="16" spans="1:6" x14ac:dyDescent="0.2">
      <c r="A16" s="21"/>
      <c r="B16" s="21"/>
      <c r="C16" s="21"/>
      <c r="D16" s="21" t="s">
        <v>31</v>
      </c>
      <c r="E16" s="27" t="s">
        <v>27</v>
      </c>
    </row>
    <row r="17" spans="1:12" x14ac:dyDescent="0.2">
      <c r="A17" s="21"/>
      <c r="B17" s="21"/>
      <c r="C17" s="21"/>
      <c r="D17" s="21" t="s">
        <v>15</v>
      </c>
      <c r="E17" s="27" t="s">
        <v>20</v>
      </c>
    </row>
    <row r="18" spans="1:12" x14ac:dyDescent="0.2">
      <c r="A18" s="21"/>
      <c r="B18" s="21"/>
      <c r="C18" s="21"/>
      <c r="D18" s="21" t="s">
        <v>33</v>
      </c>
      <c r="E18" s="27" t="s">
        <v>22</v>
      </c>
    </row>
    <row r="19" spans="1:12" x14ac:dyDescent="0.2">
      <c r="A19" s="21"/>
      <c r="B19" s="21"/>
      <c r="C19" s="21"/>
      <c r="D19" s="21" t="s">
        <v>34</v>
      </c>
      <c r="E19" s="30">
        <v>0.20300000000000001</v>
      </c>
      <c r="F19" s="3"/>
    </row>
    <row r="20" spans="1:12" x14ac:dyDescent="0.2">
      <c r="A20" s="21"/>
      <c r="B20" s="21"/>
      <c r="C20" s="21"/>
      <c r="D20" s="21" t="s">
        <v>17</v>
      </c>
      <c r="E20" s="30">
        <v>0.218</v>
      </c>
      <c r="F20" s="3"/>
    </row>
    <row r="21" spans="1:12" x14ac:dyDescent="0.2">
      <c r="A21" s="21"/>
      <c r="B21" s="21"/>
      <c r="C21" s="21"/>
      <c r="D21" s="21" t="s">
        <v>35</v>
      </c>
      <c r="E21" s="27" t="s">
        <v>37</v>
      </c>
    </row>
    <row r="22" spans="1:12" x14ac:dyDescent="0.2">
      <c r="A22" s="21"/>
      <c r="B22" s="21"/>
      <c r="C22" s="21"/>
      <c r="D22" s="21" t="s">
        <v>36</v>
      </c>
      <c r="E22" s="27" t="s">
        <v>23</v>
      </c>
    </row>
    <row r="23" spans="1:12" x14ac:dyDescent="0.2">
      <c r="A23" s="21"/>
      <c r="B23" s="21"/>
      <c r="C23" s="21"/>
      <c r="D23" s="22" t="s">
        <v>257</v>
      </c>
      <c r="E23" s="27"/>
    </row>
    <row r="24" spans="1:12" x14ac:dyDescent="0.2">
      <c r="A24" s="21"/>
      <c r="B24" s="21"/>
      <c r="C24" s="21"/>
      <c r="D24" s="21" t="s">
        <v>14</v>
      </c>
      <c r="E24" s="27" t="s">
        <v>20</v>
      </c>
      <c r="G24" s="433" t="s">
        <v>1238</v>
      </c>
      <c r="H24" s="433"/>
      <c r="I24" s="433"/>
      <c r="J24" s="433"/>
      <c r="K24" s="433"/>
      <c r="L24" s="433"/>
    </row>
    <row r="25" spans="1:12" x14ac:dyDescent="0.2">
      <c r="A25" s="21"/>
      <c r="B25" s="21"/>
      <c r="C25" s="21"/>
      <c r="D25" s="21" t="s">
        <v>15</v>
      </c>
      <c r="E25" s="27" t="s">
        <v>20</v>
      </c>
      <c r="G25" s="434" t="s">
        <v>9</v>
      </c>
      <c r="H25" s="435" t="s">
        <v>10</v>
      </c>
      <c r="I25" s="433"/>
      <c r="J25" s="433"/>
      <c r="K25" s="433"/>
      <c r="L25" s="433"/>
    </row>
    <row r="26" spans="1:12" x14ac:dyDescent="0.2">
      <c r="A26" s="21"/>
      <c r="B26" s="21"/>
      <c r="C26" s="21"/>
      <c r="D26" s="21" t="s">
        <v>33</v>
      </c>
      <c r="E26" s="30">
        <v>0.20300000000000001</v>
      </c>
      <c r="F26" s="3"/>
      <c r="G26" s="436">
        <v>0.25</v>
      </c>
      <c r="H26" s="437">
        <v>0.109</v>
      </c>
      <c r="I26" s="438" t="s">
        <v>255</v>
      </c>
      <c r="J26" s="433"/>
      <c r="K26" s="433"/>
      <c r="L26" s="433"/>
    </row>
    <row r="27" spans="1:12" x14ac:dyDescent="0.2">
      <c r="A27" s="21"/>
      <c r="B27" s="21"/>
      <c r="C27" s="21"/>
      <c r="D27" s="21" t="s">
        <v>34</v>
      </c>
      <c r="E27" s="27" t="s">
        <v>21</v>
      </c>
      <c r="G27" s="434"/>
      <c r="H27" s="439">
        <v>0.152</v>
      </c>
      <c r="I27" s="433" t="s">
        <v>1239</v>
      </c>
      <c r="J27" s="433"/>
      <c r="K27" s="433"/>
      <c r="L27" s="433"/>
    </row>
    <row r="28" spans="1:12" x14ac:dyDescent="0.2">
      <c r="A28" s="21"/>
      <c r="B28" s="21"/>
      <c r="C28" s="21"/>
      <c r="D28" s="21" t="s">
        <v>38</v>
      </c>
      <c r="E28" s="27" t="s">
        <v>40</v>
      </c>
      <c r="G28" s="434"/>
      <c r="H28" s="437">
        <v>0.152</v>
      </c>
      <c r="I28" s="433" t="s">
        <v>1240</v>
      </c>
      <c r="J28" s="433"/>
      <c r="K28" s="433"/>
      <c r="L28" s="433"/>
    </row>
    <row r="29" spans="1:12" x14ac:dyDescent="0.2">
      <c r="A29" s="21"/>
      <c r="B29" s="21"/>
      <c r="C29" s="21"/>
      <c r="D29" s="10" t="s">
        <v>39</v>
      </c>
      <c r="E29" s="30">
        <v>0.28100000000000003</v>
      </c>
    </row>
    <row r="30" spans="1:12" x14ac:dyDescent="0.2">
      <c r="A30" s="21"/>
      <c r="B30" s="21"/>
      <c r="C30" s="21"/>
      <c r="D30" s="21" t="s">
        <v>35</v>
      </c>
      <c r="E30" s="27" t="s">
        <v>23</v>
      </c>
    </row>
    <row r="31" spans="1:12" x14ac:dyDescent="0.2">
      <c r="A31" s="21"/>
      <c r="B31" s="21"/>
      <c r="C31" s="21"/>
      <c r="D31" s="21" t="s">
        <v>36</v>
      </c>
      <c r="E31" s="27" t="s">
        <v>41</v>
      </c>
    </row>
    <row r="32" spans="1:12" x14ac:dyDescent="0.2">
      <c r="A32" s="461" t="s">
        <v>42</v>
      </c>
      <c r="B32" s="462"/>
      <c r="C32" s="462"/>
      <c r="D32" s="462"/>
      <c r="E32" s="463"/>
    </row>
    <row r="33" spans="1:3" x14ac:dyDescent="0.2">
      <c r="A33" s="7"/>
      <c r="B33" s="26" t="s">
        <v>251</v>
      </c>
      <c r="C33" s="7"/>
    </row>
    <row r="34" spans="1:3" x14ac:dyDescent="0.2">
      <c r="A34" s="26" t="s">
        <v>252</v>
      </c>
      <c r="B34" s="26" t="s">
        <v>253</v>
      </c>
      <c r="C34" s="26" t="s">
        <v>254</v>
      </c>
    </row>
    <row r="35" spans="1:3" x14ac:dyDescent="0.2">
      <c r="A35" s="26" t="s">
        <v>258</v>
      </c>
      <c r="B35" s="7">
        <v>0.125</v>
      </c>
      <c r="C35" s="7">
        <f>B35</f>
        <v>0.125</v>
      </c>
    </row>
    <row r="36" spans="1:3" x14ac:dyDescent="0.2">
      <c r="A36" s="26" t="s">
        <v>259</v>
      </c>
      <c r="B36" s="7">
        <v>0.188</v>
      </c>
      <c r="C36" s="7">
        <f>B36</f>
        <v>0.188</v>
      </c>
    </row>
    <row r="37" spans="1:3" x14ac:dyDescent="0.2">
      <c r="A37" s="26" t="s">
        <v>260</v>
      </c>
      <c r="B37" s="7">
        <v>0.25</v>
      </c>
      <c r="C37" s="7">
        <f>B37</f>
        <v>0.25</v>
      </c>
    </row>
    <row r="38" spans="1:3" x14ac:dyDescent="0.2">
      <c r="A38" s="10" t="s">
        <v>1193</v>
      </c>
      <c r="B38" s="7">
        <v>0.218</v>
      </c>
      <c r="C38" s="7"/>
    </row>
    <row r="39" spans="1:3" x14ac:dyDescent="0.2">
      <c r="A39" s="10" t="s">
        <v>1194</v>
      </c>
      <c r="B39" s="7">
        <v>0.497</v>
      </c>
      <c r="C39" s="21"/>
    </row>
    <row r="40" spans="1:3" x14ac:dyDescent="0.2">
      <c r="A40" s="25" t="s">
        <v>1209</v>
      </c>
      <c r="B40" s="7">
        <f>0.25</f>
        <v>0.25</v>
      </c>
      <c r="C40" s="21"/>
    </row>
  </sheetData>
  <mergeCells count="2">
    <mergeCell ref="A32:E32"/>
    <mergeCell ref="A1:E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66"/>
  <sheetViews>
    <sheetView showGridLines="0" zoomScale="85" zoomScaleNormal="85" workbookViewId="0">
      <selection activeCell="C14" sqref="C14"/>
    </sheetView>
  </sheetViews>
  <sheetFormatPr defaultColWidth="9.140625" defaultRowHeight="12.75" x14ac:dyDescent="0.2"/>
  <cols>
    <col min="1" max="1" width="1" customWidth="1"/>
    <col min="2" max="2" width="23.85546875" bestFit="1" customWidth="1"/>
    <col min="3" max="3" width="12.5703125" bestFit="1" customWidth="1"/>
    <col min="4" max="4" width="18.140625" bestFit="1" customWidth="1"/>
    <col min="5" max="5" width="14.42578125" bestFit="1" customWidth="1"/>
    <col min="6" max="6" width="19.28515625" bestFit="1" customWidth="1"/>
    <col min="7" max="7" width="7.140625" customWidth="1"/>
    <col min="8" max="8" width="39.28515625" customWidth="1"/>
    <col min="9" max="9" width="16.42578125" customWidth="1"/>
    <col min="10" max="10" width="33.42578125" customWidth="1"/>
    <col min="11" max="11" width="11.7109375" customWidth="1"/>
    <col min="12" max="12" width="10.85546875" customWidth="1"/>
    <col min="13" max="13" width="10.42578125" customWidth="1"/>
  </cols>
  <sheetData>
    <row r="1" spans="2:8" ht="6" customHeight="1" thickBot="1" x14ac:dyDescent="0.25"/>
    <row r="2" spans="2:8" ht="38.25" customHeight="1" thickBot="1" x14ac:dyDescent="0.25">
      <c r="B2" s="480" t="s">
        <v>235</v>
      </c>
      <c r="C2" s="481"/>
      <c r="D2" s="481"/>
      <c r="E2" s="481"/>
      <c r="F2" s="481"/>
      <c r="G2" s="482"/>
      <c r="H2" s="199"/>
    </row>
    <row r="3" spans="2:8" ht="35.25" customHeight="1" thickBot="1" x14ac:dyDescent="0.25">
      <c r="B3" s="483"/>
      <c r="C3" s="484"/>
      <c r="D3" s="484"/>
      <c r="E3" s="484"/>
      <c r="F3" s="484"/>
      <c r="G3" s="485"/>
      <c r="H3" s="386" t="str">
        <f>CONCATENATE('Excel Calcs'!B4," ",'Excel Calcs'!B2,"H"," x ",'Excel Calcs'!B3,"W")</f>
        <v>STD 90H x 90W</v>
      </c>
    </row>
    <row r="4" spans="2:8" ht="8.25" customHeight="1" thickBot="1" x14ac:dyDescent="0.25">
      <c r="B4" s="11"/>
      <c r="C4" s="11"/>
      <c r="D4" s="11"/>
      <c r="E4" s="11"/>
      <c r="F4" s="11"/>
      <c r="G4" s="11"/>
      <c r="H4" s="11"/>
    </row>
    <row r="5" spans="2:8" ht="13.5" customHeight="1" thickBot="1" x14ac:dyDescent="0.25">
      <c r="B5" s="12" t="s">
        <v>71</v>
      </c>
      <c r="C5" s="12" t="s">
        <v>72</v>
      </c>
      <c r="D5" s="12" t="s">
        <v>73</v>
      </c>
      <c r="E5" s="12" t="s">
        <v>74</v>
      </c>
      <c r="F5" s="398" t="s">
        <v>75</v>
      </c>
      <c r="G5" s="465" t="s">
        <v>67</v>
      </c>
      <c r="H5" s="364"/>
    </row>
    <row r="6" spans="2:8" ht="12.75" customHeight="1" x14ac:dyDescent="0.2">
      <c r="B6" s="209" t="s">
        <v>47</v>
      </c>
      <c r="C6" s="210">
        <f>IF(OR('Excel Calcs'!B4="CUWA",'Excel Calcs'!B4="CUWC",'Excel Calcs'!B4="CUL"),0,'Excel Calcs'!N35)</f>
        <v>0.75</v>
      </c>
      <c r="D6" s="359">
        <f>IF(FLOOR_CHAN_1_Z_LOC=0,0,'Excel Calcs'!N2)</f>
        <v>1</v>
      </c>
      <c r="E6" s="210">
        <f>IF(FLOOR_CHAN_1_Z_LOC=0,0,2)</f>
        <v>2</v>
      </c>
      <c r="F6" s="399">
        <f>IF(FLOOR_CHAN_1_Z_LOC=0,0,'Excel Calcs'!N$11)</f>
        <v>4</v>
      </c>
      <c r="G6" s="466"/>
      <c r="H6" s="486" t="s">
        <v>1130</v>
      </c>
    </row>
    <row r="7" spans="2:8" x14ac:dyDescent="0.2">
      <c r="B7" s="211" t="s">
        <v>48</v>
      </c>
      <c r="C7" s="212">
        <f>IF(OR('Excel Calcs'!B4="CUWA",'Excel Calcs'!B4="CUWC",'Excel Calcs'!B4="CUL"),0,'Excel Calcs'!N35)</f>
        <v>0.75</v>
      </c>
      <c r="D7" s="357">
        <f>IF(FLOOR_CHAN_2_Z_LOC=0,0,'Excel Calcs'!N3)</f>
        <v>84.997439999999997</v>
      </c>
      <c r="E7" s="212">
        <f>IF(FLOOR_CHAN_2_Z_LOC=0,0,2)</f>
        <v>2</v>
      </c>
      <c r="F7" s="400">
        <f>IF(FLOOR_CHAN_2_Z_LOC=0,0,'Excel Calcs'!N$11)</f>
        <v>4</v>
      </c>
      <c r="G7" s="466"/>
      <c r="H7" s="487"/>
    </row>
    <row r="8" spans="2:8" x14ac:dyDescent="0.2">
      <c r="B8" s="211" t="s">
        <v>49</v>
      </c>
      <c r="C8" s="212">
        <f>IF(OR('Excel Calcs'!N4=0,'Excel Calcs'!B4="CUL"),0,'Excel Calcs'!N35)</f>
        <v>0</v>
      </c>
      <c r="D8" s="357">
        <f>IF(FLOOR_CHAN_3_Z_LOC=0,0,'Excel Calcs'!N4)</f>
        <v>0</v>
      </c>
      <c r="E8" s="212">
        <f>IF(FLOOR_CHAN_3_Z_LOC=0,0,2)</f>
        <v>0</v>
      </c>
      <c r="F8" s="400">
        <f>IF(FLOOR_CHAN_3_Z_LOC=0,0,'Excel Calcs'!N$11)</f>
        <v>0</v>
      </c>
      <c r="G8" s="466"/>
      <c r="H8" s="487"/>
    </row>
    <row r="9" spans="2:8" x14ac:dyDescent="0.2">
      <c r="B9" s="211" t="s">
        <v>50</v>
      </c>
      <c r="C9" s="212">
        <f>IF(OR('Excel Calcs'!N5=0,'Excel Calcs'!B4="CUL"),0,'Excel Calcs'!N35)</f>
        <v>0</v>
      </c>
      <c r="D9" s="357">
        <f>IF(FLOOR_CHAN_4_Z_LOC=0,0,'Excel Calcs'!N5)</f>
        <v>0</v>
      </c>
      <c r="E9" s="212">
        <f>IF(FLOOR_CHAN_4_Z_LOC=0,0,2)</f>
        <v>0</v>
      </c>
      <c r="F9" s="400">
        <f>IF(FLOOR_CHAN_4_Z_LOC=0,0,'Excel Calcs'!N$11)</f>
        <v>0</v>
      </c>
      <c r="G9" s="466"/>
      <c r="H9" s="487"/>
    </row>
    <row r="10" spans="2:8" x14ac:dyDescent="0.2">
      <c r="B10" s="211" t="s">
        <v>51</v>
      </c>
      <c r="C10" s="212">
        <f>IF(OR('Excel Calcs'!B4="CUL",'Excel Calcs'!N6=0),0,'Excel Calcs'!N35)</f>
        <v>0</v>
      </c>
      <c r="D10" s="357">
        <f>IF(FLOOR_CHAN_5_Z_LOC=0,0,'Excel Calcs'!N6)</f>
        <v>0</v>
      </c>
      <c r="E10" s="212">
        <f>IF(FLOOR_CHAN_5_Z_LOC=0,0,2)</f>
        <v>0</v>
      </c>
      <c r="F10" s="400">
        <f>IF(FLOOR_CHAN_5_Z_LOC=0,0,'Excel Calcs'!N$11)</f>
        <v>0</v>
      </c>
      <c r="G10" s="466"/>
      <c r="H10" s="487"/>
    </row>
    <row r="11" spans="2:8" x14ac:dyDescent="0.2">
      <c r="B11" s="211" t="s">
        <v>52</v>
      </c>
      <c r="C11" s="212">
        <f>IF(OR('Excel Calcs'!B4="CUL",'Excel Calcs'!N7=0),0,'Excel Calcs'!N35)</f>
        <v>0</v>
      </c>
      <c r="D11" s="357">
        <f>IF(FLOOR_CHAN_6_Z_LOC=0,0,'Excel Calcs'!N7)</f>
        <v>0</v>
      </c>
      <c r="E11" s="212">
        <f>IF(FLOOR_CHAN_6_Z_LOC=0,0,2)</f>
        <v>0</v>
      </c>
      <c r="F11" s="400">
        <f>IF(FLOOR_CHAN_6_Z_LOC=0,0,'Excel Calcs'!N$11)</f>
        <v>0</v>
      </c>
      <c r="G11" s="466"/>
      <c r="H11" s="487"/>
    </row>
    <row r="12" spans="2:8" x14ac:dyDescent="0.2">
      <c r="B12" s="211" t="s">
        <v>53</v>
      </c>
      <c r="C12" s="212">
        <f>IF('Excel Calcs'!N8=0,0,'Excel Calcs'!N35)</f>
        <v>0</v>
      </c>
      <c r="D12" s="357">
        <f>IF(FLOOR_CHAN_7_Z_LOC=0,0,'Excel Calcs'!N8)</f>
        <v>0</v>
      </c>
      <c r="E12" s="212">
        <f>IF(FLOOR_CHAN_7_Z_LOC=0,0,2)</f>
        <v>0</v>
      </c>
      <c r="F12" s="400">
        <f>IF(FLOOR_CHAN_7_Z_LOC=0,0,'Excel Calcs'!N$11)</f>
        <v>0</v>
      </c>
      <c r="G12" s="466"/>
      <c r="H12" s="487"/>
    </row>
    <row r="13" spans="2:8" ht="13.5" thickBot="1" x14ac:dyDescent="0.25">
      <c r="B13" s="211" t="s">
        <v>54</v>
      </c>
      <c r="C13" s="212">
        <f>IF('Excel Calcs'!N9=0,0,'Excel Calcs'!N35)</f>
        <v>0</v>
      </c>
      <c r="D13" s="357">
        <f>IF(FLOOR_CHAN_8_Z_LOC=0,0,'Excel Calcs'!N9)</f>
        <v>0</v>
      </c>
      <c r="E13" s="212">
        <f>IF(FLOOR_CHAN_8_Z_LOC=0,0,2)</f>
        <v>0</v>
      </c>
      <c r="F13" s="400">
        <f>IF(FLOOR_CHAN_8_Z_LOC=0,0,'Excel Calcs'!N$11)</f>
        <v>0</v>
      </c>
      <c r="G13" s="466"/>
      <c r="H13" s="488"/>
    </row>
    <row r="14" spans="2:8" x14ac:dyDescent="0.2">
      <c r="B14" s="213" t="s">
        <v>55</v>
      </c>
      <c r="C14" s="214">
        <f>IF(OR('Excel Calcs'!B4="CUWA",'Excel Calcs'!B4="CUWC",'Excel Calcs'!B4="CUL"),0,IF('Excel Calcs'!N12&lt;0.75,0,IF('Excel Calcs'!B7&gt;0,'Excel Calcs'!B7-'Excel Calcs'!N38,'Excel Calcs'!N38)))</f>
        <v>1.125</v>
      </c>
      <c r="D14" s="358">
        <f>IF(FLOOR_CHAN_9_Z_LOC=0,0,'Excel Calcs'!N12)</f>
        <v>3</v>
      </c>
      <c r="E14" s="214">
        <f>IF(FLOOR_CHAN_9_Z_LOC=0,0,'Excel Calcs'!N16)</f>
        <v>11</v>
      </c>
      <c r="F14" s="401">
        <f>IF(FLOOR_CHAN_9_Z_LOC=0,0,'Excel Calcs'!N17)</f>
        <v>8.3997440000000001</v>
      </c>
      <c r="G14" s="466"/>
      <c r="H14" s="489" t="s">
        <v>1132</v>
      </c>
    </row>
    <row r="15" spans="2:8" x14ac:dyDescent="0.2">
      <c r="B15" s="215" t="s">
        <v>56</v>
      </c>
      <c r="C15" s="216">
        <f>IF('Excel Calcs'!N13&lt;0.75,0,IF('Excel Calcs'!B7&gt;0,'Excel Calcs'!B7-'Excel Calcs'!N38,'Excel Calcs'!N38))</f>
        <v>0</v>
      </c>
      <c r="D15" s="366">
        <f>IF(FLOOR_CHAN_10_Z_LOC=0,0,'Excel Calcs'!N13)</f>
        <v>0</v>
      </c>
      <c r="E15" s="216">
        <f>IF(FLOOR_CHAN_10_Z_LOC=0,0,'Excel Calcs'!N16)</f>
        <v>0</v>
      </c>
      <c r="F15" s="402">
        <f>IF(FLOOR_CHAN_10_Z_LOC=0,0,'Excel Calcs'!N17)</f>
        <v>0</v>
      </c>
      <c r="G15" s="466"/>
      <c r="H15" s="490"/>
    </row>
    <row r="16" spans="2:8" x14ac:dyDescent="0.2">
      <c r="B16" s="215" t="s">
        <v>236</v>
      </c>
      <c r="C16" s="216">
        <f>IF('Excel Calcs'!N14&lt;0.75,0,IF('Excel Calcs'!B7&gt;0,'Excel Calcs'!B7-'Excel Calcs'!N38,'Excel Calcs'!N38))</f>
        <v>0</v>
      </c>
      <c r="D16" s="358">
        <f>IF(FLOOR_CHAN_11_Z_LOC=0,0,'Excel Calcs'!N14)</f>
        <v>0</v>
      </c>
      <c r="E16" s="216">
        <f>IF(FLOOR_CHAN_11_Z_LOC=0,0,'Excel Calcs'!N16)</f>
        <v>0</v>
      </c>
      <c r="F16" s="401">
        <f>IF(FLOOR_CHAN_11_Z_LOC=0,0,'Excel Calcs'!N17)</f>
        <v>0</v>
      </c>
      <c r="G16" s="466"/>
      <c r="H16" s="490"/>
    </row>
    <row r="17" spans="2:8" ht="13.5" thickBot="1" x14ac:dyDescent="0.25">
      <c r="B17" s="215" t="s">
        <v>237</v>
      </c>
      <c r="C17" s="216">
        <f>IF('Excel Calcs'!N15&lt;0.75,0,IF('Excel Calcs'!B7&gt;0,'Excel Calcs'!B7-'Excel Calcs'!N38,'Excel Calcs'!N38))</f>
        <v>0</v>
      </c>
      <c r="D17" s="358">
        <f>IF(FLOOR_CHAN_12_Z_LOC=0,0,'Excel Calcs'!N15)</f>
        <v>0</v>
      </c>
      <c r="E17" s="216">
        <f>IF(FLOOR_CHAN_12_Z_LOC=0,0,'Excel Calcs'!N16)</f>
        <v>0</v>
      </c>
      <c r="F17" s="401">
        <f>IF(FLOOR_CHAN_12_Z_LOC=0,0,'Excel Calcs'!N17)</f>
        <v>0</v>
      </c>
      <c r="G17" s="466"/>
      <c r="H17" s="491"/>
    </row>
    <row r="18" spans="2:8" ht="12.75" customHeight="1" x14ac:dyDescent="0.2">
      <c r="B18" s="217" t="s">
        <v>238</v>
      </c>
      <c r="C18" s="218">
        <f>IF(OR('Excel Calcs'!B4="STD",'Excel Calcs'!B4="CUL"),0,IF(OR('Excel Calcs'!B4="CUWA",'Excel Calcs'!B4="CUWC"),'Excel Calcs'!N36,'Excel Calcs'!N38))</f>
        <v>0</v>
      </c>
      <c r="D18" s="367">
        <f>IF(FLOOR_CHAN_13_Z_LOC=0,0,'Excel Calcs'!N31)</f>
        <v>0</v>
      </c>
      <c r="E18" s="218">
        <f>IF(FLOOR_CHAN_13_Z_LOC=0,0,'Excel Calcs'!N32)</f>
        <v>0</v>
      </c>
      <c r="F18" s="403">
        <f>IF(FLOOR_CHAN_13_Z_LOC=0,0,'Excel Calcs'!N33)</f>
        <v>0</v>
      </c>
      <c r="G18" s="466"/>
      <c r="H18" s="365" t="s">
        <v>1131</v>
      </c>
    </row>
    <row r="19" spans="2:8" x14ac:dyDescent="0.2">
      <c r="B19" s="369" t="s">
        <v>239</v>
      </c>
      <c r="C19" s="380">
        <f>IF('Excel Calcs'!B152=0,0,IF('Excel Calcs'!B7&gt;0,'Excel Calcs'!B7-'Excel Calcs'!N40,'Excel Calcs'!N40))</f>
        <v>0</v>
      </c>
      <c r="D19" s="381">
        <f>IF(FLOOR_CHAN_14_Z_LOC=0,0,'Excel Calcs'!N41)</f>
        <v>0</v>
      </c>
      <c r="E19" s="380">
        <f>IF(FLOOR_CHAN_14_X_ARRAY_OFFSET=0,0,1.5)</f>
        <v>0</v>
      </c>
      <c r="F19" s="404">
        <v>0</v>
      </c>
      <c r="G19" s="466"/>
      <c r="H19" s="492" t="s">
        <v>1213</v>
      </c>
    </row>
    <row r="20" spans="2:8" x14ac:dyDescent="0.2">
      <c r="B20" s="369" t="s">
        <v>240</v>
      </c>
      <c r="C20" s="380">
        <f>IF('Excel Calcs'!B153=0,0,IF('Excel Calcs'!B7&gt;0,'Excel Calcs'!B7-'Excel Calcs'!N40,'Excel Calcs'!N40))</f>
        <v>0</v>
      </c>
      <c r="D20" s="381">
        <f>IF(FLOOR_CHAN_15_Z_LOC=0,0,'Excel Calcs'!N42)</f>
        <v>0</v>
      </c>
      <c r="E20" s="380">
        <f>IF(FLOOR_CHAN_15_X_ARRAY_OFFSET=0,0,1.5)</f>
        <v>0</v>
      </c>
      <c r="F20" s="404">
        <v>0</v>
      </c>
      <c r="G20" s="466"/>
      <c r="H20" s="493"/>
    </row>
    <row r="21" spans="2:8" x14ac:dyDescent="0.2">
      <c r="B21" s="369" t="s">
        <v>241</v>
      </c>
      <c r="C21" s="380">
        <f>IF('Excel Calcs'!B154=0,0,IF('Excel Calcs'!B7&gt;0,'Excel Calcs'!B7-'Excel Calcs'!N40,'Excel Calcs'!N40))</f>
        <v>0</v>
      </c>
      <c r="D21" s="381">
        <f>IF(FLOOR_CHAN_16_Z_LOC=0,0,'Excel Calcs'!N43)</f>
        <v>0</v>
      </c>
      <c r="E21" s="380">
        <f>IF(FLOOR_CHAN_16_X_ARRAY_OFFSET=0,0,1.5)</f>
        <v>0</v>
      </c>
      <c r="F21" s="404">
        <v>0</v>
      </c>
      <c r="G21" s="466"/>
      <c r="H21" s="493"/>
    </row>
    <row r="22" spans="2:8" ht="13.5" thickBot="1" x14ac:dyDescent="0.25">
      <c r="B22" s="369" t="s">
        <v>242</v>
      </c>
      <c r="C22" s="380">
        <f>IF('Excel Calcs'!B155=0,0,IF('Excel Calcs'!B7&gt;0,'Excel Calcs'!B7-'Excel Calcs'!N40,'Excel Calcs'!N40))</f>
        <v>0</v>
      </c>
      <c r="D22" s="381">
        <f>IF(FLOOR_CHAN_17_Z_LOC=0,0,'Excel Calcs'!N44)</f>
        <v>0</v>
      </c>
      <c r="E22" s="380">
        <f>IF(FLOOR_CHAN_17_X_ARRAY_OFFSET=0,0,1.5)</f>
        <v>0</v>
      </c>
      <c r="F22" s="404">
        <v>0</v>
      </c>
      <c r="G22" s="466"/>
      <c r="H22" s="493"/>
    </row>
    <row r="23" spans="2:8" x14ac:dyDescent="0.2">
      <c r="B23" s="363" t="s">
        <v>243</v>
      </c>
      <c r="C23" s="378">
        <f>IF(AND('Excel Calcs'!B4="STD",'Excel Calcs'!B7&gt;0),'Excel Calcs'!B7-0.75,IF('Excel Calcs'!B4="STD",0.75,0))</f>
        <v>0.75</v>
      </c>
      <c r="D23" s="379">
        <f>IF(FLOOR_CHAN_18_Z_LOC=0,0,3)</f>
        <v>3</v>
      </c>
      <c r="E23" s="378">
        <f>IF(FLOOR_CHAN_18_Z_LOC=0,0,2)</f>
        <v>2</v>
      </c>
      <c r="F23" s="405">
        <f>IF(FLOOR_CHAN_18_Z_LOC=0,0,'Excel Calcs'!H4+Reconnect_Thk*2-6)</f>
        <v>83.997439999999997</v>
      </c>
      <c r="G23" s="466"/>
      <c r="H23" s="468" t="s">
        <v>803</v>
      </c>
    </row>
    <row r="24" spans="2:8" x14ac:dyDescent="0.2">
      <c r="B24" s="363" t="s">
        <v>244</v>
      </c>
      <c r="C24" s="378">
        <f>IF(AND('Excel Calcs'!B10&gt;=2,'Excel Calcs'!B7&gt;0),'Excel Calcs'!B7-0.75,IF(AND('Excel Calcs'!B3&gt;142.5,'Excel Calcs'!B7&gt;0),'Excel Calcs'!B7-0.75,IF(OR('Excel Calcs'!B10&gt;=2,'Excel Calcs'!B3&gt;142.5),0.75,0)))</f>
        <v>0</v>
      </c>
      <c r="D24" s="379">
        <f>IF(FLOOR_CHAN_19_Z_LOC=0,0,FLOOR_CHAN_18_X_ARRAY_SPACING+9)</f>
        <v>0</v>
      </c>
      <c r="E24" s="378">
        <f>IF(FLOOR_CHAN_19_Z_LOC=0,0,2)</f>
        <v>0</v>
      </c>
      <c r="F24" s="405">
        <f>IF(FLOOR_CHAN_19_Z_LOC=0,0,FLOOR_CHAN_18_X_ARRAY_SPACING)</f>
        <v>0</v>
      </c>
      <c r="G24" s="466"/>
      <c r="H24" s="469"/>
    </row>
    <row r="25" spans="2:8" x14ac:dyDescent="0.2">
      <c r="B25" s="363" t="s">
        <v>245</v>
      </c>
      <c r="C25" s="378">
        <f>IF(AND('Excel Calcs'!B10&gt;=3,'Excel Calcs'!B7&gt;0),'Excel Calcs'!B7-0.75,IF(AND('Excel Calcs'!B3&gt;285,'Excel Calcs'!B7&gt;0),'Excel Calcs'!B7-0.75,IF(OR('Excel Calcs'!B10&gt;=3,'Excel Calcs'!B3&gt;285),0.75,0)))</f>
        <v>0</v>
      </c>
      <c r="D25" s="379">
        <f>IF(FLOOR_CHAN_20_Z_LOC=0,0,FLOOR_CHAN_18_X_ARRAY_SPACING*2+15)</f>
        <v>0</v>
      </c>
      <c r="E25" s="378">
        <f>IF(FLOOR_CHAN_20_Z_LOC=0,0,2)</f>
        <v>0</v>
      </c>
      <c r="F25" s="405">
        <f>IF(FLOOR_CHAN_20_Z_LOC=0,0,FLOOR_CHAN_18_X_ARRAY_SPACING)</f>
        <v>0</v>
      </c>
      <c r="G25" s="466"/>
      <c r="H25" s="469"/>
    </row>
    <row r="26" spans="2:8" ht="13.5" thickBot="1" x14ac:dyDescent="0.25">
      <c r="B26" s="363" t="s">
        <v>1208</v>
      </c>
      <c r="C26" s="406">
        <f>IF(AND('Excel Calcs'!B10&gt;3,'Excel Calcs'!B7&gt;0),'Excel Calcs'!B7-0.75,IF(AND('Excel Calcs'!B3&gt;427.5,'Excel Calcs'!B7&gt;0),'Excel Calcs'!B7-0.75,IF(OR('Excel Calcs'!B10&gt;3,'Excel Calcs'!B3&gt;427.5),0.75,0)))</f>
        <v>0</v>
      </c>
      <c r="D26" s="407">
        <f>IF(FLOOR_CHAN_21_Z_LOC=0,0,FLOOR_CHAN_18_X_ARRAY_SPACING*3+21)</f>
        <v>0</v>
      </c>
      <c r="E26" s="406">
        <f>IF(FLOOR_CHAN_21_Z_LOC=0,0,2)</f>
        <v>0</v>
      </c>
      <c r="F26" s="408">
        <f>IF(FLOOR_CHAN_21_Z_LOC=0,0,FLOOR_CHAN_18_X_ARRAY_SPACING)</f>
        <v>0</v>
      </c>
      <c r="G26" s="466"/>
      <c r="H26" s="470"/>
    </row>
    <row r="27" spans="2:8" ht="13.5" thickBot="1" x14ac:dyDescent="0.25">
      <c r="B27" s="13"/>
      <c r="C27" s="14"/>
      <c r="D27" s="14"/>
      <c r="E27" s="14"/>
      <c r="F27" s="14"/>
      <c r="G27" s="15"/>
      <c r="H27" s="252"/>
    </row>
    <row r="28" spans="2:8" ht="12.75" customHeight="1" thickBot="1" x14ac:dyDescent="0.25">
      <c r="B28" s="250" t="s">
        <v>71</v>
      </c>
      <c r="C28" s="250" t="s">
        <v>72</v>
      </c>
      <c r="D28" s="250" t="s">
        <v>73</v>
      </c>
      <c r="E28" s="250" t="s">
        <v>74</v>
      </c>
      <c r="F28" s="356" t="s">
        <v>75</v>
      </c>
      <c r="G28" s="465" t="s">
        <v>68</v>
      </c>
      <c r="H28" s="397"/>
    </row>
    <row r="29" spans="2:8" x14ac:dyDescent="0.2">
      <c r="B29" s="244" t="s">
        <v>57</v>
      </c>
      <c r="C29" s="210">
        <f>IF(OR('Excel Calcs'!B11="NO",'Excel Calcs'!B4="CUL"),0,'Excel Calcs'!N35)</f>
        <v>0.75</v>
      </c>
      <c r="D29" s="359">
        <f>IF(C29=0,0,'Excel Calcs'!N2)</f>
        <v>1</v>
      </c>
      <c r="E29" s="210">
        <f>IF(C29=0,0,'Excel Calcs'!N10)</f>
        <v>2</v>
      </c>
      <c r="F29" s="247">
        <f>IF(C29=0,0,'Excel Calcs'!N11)</f>
        <v>4</v>
      </c>
      <c r="G29" s="466"/>
      <c r="H29" s="473" t="s">
        <v>1130</v>
      </c>
    </row>
    <row r="30" spans="2:8" x14ac:dyDescent="0.2">
      <c r="B30" s="245" t="s">
        <v>58</v>
      </c>
      <c r="C30" s="212">
        <f>IF(OR('Excel Calcs'!B11="NO",'Excel Calcs'!B4="CUL"),0,'Excel Calcs'!N35)</f>
        <v>0.75</v>
      </c>
      <c r="D30" s="357">
        <f>IF(C30=0,0,'Excel Calcs'!N3)</f>
        <v>84.997439999999997</v>
      </c>
      <c r="E30" s="212">
        <f>IF(C30=0,0,'Excel Calcs'!N10)</f>
        <v>2</v>
      </c>
      <c r="F30" s="248">
        <f>IF(C30=0,0,'Excel Calcs'!N11)</f>
        <v>4</v>
      </c>
      <c r="G30" s="466"/>
      <c r="H30" s="474"/>
    </row>
    <row r="31" spans="2:8" x14ac:dyDescent="0.2">
      <c r="B31" s="245" t="s">
        <v>59</v>
      </c>
      <c r="C31" s="212">
        <f>IF(ROOF_CHAN_3_X_ARRAY_OFFSET&lt;=0.5,0,'Excel Calcs'!N35)</f>
        <v>0</v>
      </c>
      <c r="D31" s="357">
        <f>FLOOR_CHAN_3_X_ARRAY_OFFSET</f>
        <v>0</v>
      </c>
      <c r="E31" s="212">
        <f t="shared" ref="E31:E36" si="0">E8</f>
        <v>0</v>
      </c>
      <c r="F31" s="248">
        <f t="shared" ref="F31:F36" si="1">IF(D31&lt;=0.5,0,4)</f>
        <v>0</v>
      </c>
      <c r="G31" s="466"/>
      <c r="H31" s="474"/>
    </row>
    <row r="32" spans="2:8" x14ac:dyDescent="0.2">
      <c r="B32" s="245" t="s">
        <v>60</v>
      </c>
      <c r="C32" s="212">
        <f>IF(ROOF_CHAN_4_X_ARRAY_OFFSET&lt;=0.5,0,'Excel Calcs'!N35)</f>
        <v>0</v>
      </c>
      <c r="D32" s="357">
        <f>FLOOR_CHAN_4_X_ARRAY_OFFSET</f>
        <v>0</v>
      </c>
      <c r="E32" s="212">
        <f t="shared" si="0"/>
        <v>0</v>
      </c>
      <c r="F32" s="248">
        <f t="shared" si="1"/>
        <v>0</v>
      </c>
      <c r="G32" s="466"/>
      <c r="H32" s="474"/>
    </row>
    <row r="33" spans="2:9" x14ac:dyDescent="0.2">
      <c r="B33" s="245" t="s">
        <v>61</v>
      </c>
      <c r="C33" s="212">
        <f>IF(ROOF_CHAN_5_X_ARRAY_OFFSET&lt;=0.5,0,'Excel Calcs'!N35)</f>
        <v>0</v>
      </c>
      <c r="D33" s="357">
        <f>FLOOR_CHAN_5_X_ARRAY_OFFSET</f>
        <v>0</v>
      </c>
      <c r="E33" s="212">
        <f t="shared" si="0"/>
        <v>0</v>
      </c>
      <c r="F33" s="248">
        <f t="shared" si="1"/>
        <v>0</v>
      </c>
      <c r="G33" s="466"/>
      <c r="H33" s="474"/>
    </row>
    <row r="34" spans="2:9" x14ac:dyDescent="0.2">
      <c r="B34" s="245" t="s">
        <v>62</v>
      </c>
      <c r="C34" s="212">
        <f>IF(ROOF_CHAN_6_X_ARRAY_OFFSET&lt;=0.5,0,'Excel Calcs'!N35)</f>
        <v>0</v>
      </c>
      <c r="D34" s="357">
        <f>FLOOR_CHAN_6_X_ARRAY_OFFSET</f>
        <v>0</v>
      </c>
      <c r="E34" s="212">
        <f t="shared" si="0"/>
        <v>0</v>
      </c>
      <c r="F34" s="248">
        <f t="shared" si="1"/>
        <v>0</v>
      </c>
      <c r="G34" s="466"/>
      <c r="H34" s="474"/>
    </row>
    <row r="35" spans="2:9" x14ac:dyDescent="0.2">
      <c r="B35" s="245" t="s">
        <v>63</v>
      </c>
      <c r="C35" s="212">
        <f>IF(ROOF_CHAN_7_X_ARRAY_OFFSET&lt;=0.5,0,'Excel Calcs'!N35)</f>
        <v>0</v>
      </c>
      <c r="D35" s="357">
        <f>FLOOR_CHAN_7_X_ARRAY_OFFSET</f>
        <v>0</v>
      </c>
      <c r="E35" s="212">
        <f t="shared" si="0"/>
        <v>0</v>
      </c>
      <c r="F35" s="248">
        <f t="shared" si="1"/>
        <v>0</v>
      </c>
      <c r="G35" s="466"/>
      <c r="H35" s="474"/>
    </row>
    <row r="36" spans="2:9" ht="13.5" thickBot="1" x14ac:dyDescent="0.25">
      <c r="B36" s="245" t="s">
        <v>64</v>
      </c>
      <c r="C36" s="212">
        <f>IF(ROOF_CHAN_8_X_ARRAY_OFFSET&lt;=0.5,0,'Excel Calcs'!N35)</f>
        <v>0</v>
      </c>
      <c r="D36" s="357">
        <f>FLOOR_CHAN_8_X_ARRAY_OFFSET</f>
        <v>0</v>
      </c>
      <c r="E36" s="212">
        <f t="shared" si="0"/>
        <v>0</v>
      </c>
      <c r="F36" s="248">
        <f t="shared" si="1"/>
        <v>0</v>
      </c>
      <c r="G36" s="466"/>
      <c r="H36" s="475"/>
    </row>
    <row r="37" spans="2:9" x14ac:dyDescent="0.2">
      <c r="B37" s="246" t="s">
        <v>65</v>
      </c>
      <c r="C37" s="214">
        <f>IF('Excel Calcs'!B4="CUL",0,'Excel Calcs'!N35)</f>
        <v>0.75</v>
      </c>
      <c r="D37" s="358">
        <f>IF(C37=0,0,'Excel Calcs'!N12)</f>
        <v>3</v>
      </c>
      <c r="E37" s="214">
        <f>IF(C37=0,0,'Excel Calcs'!N16)</f>
        <v>11</v>
      </c>
      <c r="F37" s="249">
        <f>IF(C37=0,0,'Excel Calcs'!N$17)</f>
        <v>8.3997440000000001</v>
      </c>
      <c r="G37" s="466"/>
      <c r="H37" s="471" t="s">
        <v>1133</v>
      </c>
    </row>
    <row r="38" spans="2:9" x14ac:dyDescent="0.2">
      <c r="B38" s="246" t="s">
        <v>66</v>
      </c>
      <c r="C38" s="214">
        <f>IF(FLOOR_CHAN_10_Z_LOC=0,0,IF('Excel Calcs'!B4="CUL",0,'Excel Calcs'!N35))</f>
        <v>0</v>
      </c>
      <c r="D38" s="358">
        <f>IF(C38=0,0,'Excel Calcs'!N13)</f>
        <v>0</v>
      </c>
      <c r="E38" s="214">
        <f>IF(C38=0,0,'Excel Calcs'!N16)</f>
        <v>0</v>
      </c>
      <c r="F38" s="249">
        <f>IF(C38=0,0,'Excel Calcs'!N$17)</f>
        <v>0</v>
      </c>
      <c r="G38" s="466"/>
      <c r="H38" s="472"/>
    </row>
    <row r="39" spans="2:9" x14ac:dyDescent="0.2">
      <c r="B39" s="246" t="s">
        <v>246</v>
      </c>
      <c r="C39" s="214">
        <f>IF(FLOOR_CHAN_11_Z_LOC=0,0,'Excel Calcs'!N35)</f>
        <v>0</v>
      </c>
      <c r="D39" s="358">
        <f>D16</f>
        <v>0</v>
      </c>
      <c r="E39" s="214">
        <f>IF(ROOF_CHAN_11_Z_LOC=0,0,'Excel Calcs'!N16)</f>
        <v>0</v>
      </c>
      <c r="F39" s="249">
        <f>IF(C39=0,0,'Excel Calcs'!N$17)</f>
        <v>0</v>
      </c>
      <c r="G39" s="466"/>
      <c r="H39" s="472"/>
    </row>
    <row r="40" spans="2:9" ht="13.5" thickBot="1" x14ac:dyDescent="0.25">
      <c r="B40" s="246" t="s">
        <v>247</v>
      </c>
      <c r="C40" s="214">
        <f>IF(FLOOR_CHAN_12_Z_LOC=0,0,'Excel Calcs'!N35)</f>
        <v>0</v>
      </c>
      <c r="D40" s="358">
        <f>D17</f>
        <v>0</v>
      </c>
      <c r="E40" s="214">
        <f>IF(ROOF_CHAN_12_Z_LOC=0,0,'Excel Calcs'!N16)</f>
        <v>0</v>
      </c>
      <c r="F40" s="249">
        <f>IF(C40=0,0,'Excel Calcs'!N$17)</f>
        <v>0</v>
      </c>
      <c r="G40" s="466"/>
      <c r="H40" s="472"/>
    </row>
    <row r="41" spans="2:9" x14ac:dyDescent="0.2">
      <c r="B41" s="370" t="s">
        <v>248</v>
      </c>
      <c r="C41" s="380">
        <f>FLOOR_CHAN_14_Z_LOC</f>
        <v>0</v>
      </c>
      <c r="D41" s="381">
        <f>FLOOR_CHAN_14_X_ARRAY_OFFSET</f>
        <v>0</v>
      </c>
      <c r="E41" s="380">
        <f>FLOOR_CHAN_14_X_ARRAY_QTY</f>
        <v>0</v>
      </c>
      <c r="F41" s="382">
        <f>FLOOR_CHAN_14_X_ARRAY_SPACING</f>
        <v>0</v>
      </c>
      <c r="G41" s="466"/>
      <c r="H41" s="477" t="s">
        <v>1213</v>
      </c>
    </row>
    <row r="42" spans="2:9" x14ac:dyDescent="0.2">
      <c r="B42" s="370" t="s">
        <v>249</v>
      </c>
      <c r="C42" s="380">
        <f>FLOOR_CHAN_15_Z_LOC</f>
        <v>0</v>
      </c>
      <c r="D42" s="381">
        <f>FLOOR_CHAN_15_X_ARRAY_OFFSET</f>
        <v>0</v>
      </c>
      <c r="E42" s="380">
        <f>FLOOR_CHAN_15_X_ARRAY_QTY</f>
        <v>0</v>
      </c>
      <c r="F42" s="382">
        <v>0</v>
      </c>
      <c r="G42" s="466"/>
      <c r="H42" s="478"/>
    </row>
    <row r="43" spans="2:9" x14ac:dyDescent="0.2">
      <c r="B43" s="370" t="s">
        <v>250</v>
      </c>
      <c r="C43" s="380">
        <f>FLOOR_CHAN_16_Z_LOC</f>
        <v>0</v>
      </c>
      <c r="D43" s="381">
        <f>FLOOR_CHAN_16_X_ARRAY_OFFSET</f>
        <v>0</v>
      </c>
      <c r="E43" s="380">
        <f>FLOOR_CHAN_16_X_ARRAY_QTY</f>
        <v>0</v>
      </c>
      <c r="F43" s="382">
        <v>0</v>
      </c>
      <c r="G43" s="466"/>
      <c r="H43" s="478"/>
    </row>
    <row r="44" spans="2:9" ht="13.5" thickBot="1" x14ac:dyDescent="0.25">
      <c r="B44" s="418" t="s">
        <v>1206</v>
      </c>
      <c r="C44" s="383">
        <f>FLOOR_CHAN_17_Z_LOC</f>
        <v>0</v>
      </c>
      <c r="D44" s="384">
        <f>FLOOR_CHAN_17_X_ARRAY_OFFSET</f>
        <v>0</v>
      </c>
      <c r="E44" s="383">
        <f>FLOOR_CHAN_17_X_ARRAY_QTY</f>
        <v>0</v>
      </c>
      <c r="F44" s="385">
        <v>0</v>
      </c>
      <c r="G44" s="467"/>
      <c r="H44" s="479"/>
    </row>
    <row r="45" spans="2:9" ht="12.75" customHeight="1" thickBot="1" x14ac:dyDescent="0.25">
      <c r="B45" s="360"/>
      <c r="C45" s="251"/>
      <c r="D45" s="251"/>
      <c r="E45" s="251"/>
      <c r="F45" s="251"/>
      <c r="G45" s="16"/>
      <c r="H45" s="252"/>
      <c r="I45" s="16"/>
    </row>
    <row r="46" spans="2:9" ht="26.25" customHeight="1" thickBot="1" x14ac:dyDescent="0.25">
      <c r="B46" s="250" t="s">
        <v>71</v>
      </c>
      <c r="C46" s="250" t="s">
        <v>72</v>
      </c>
      <c r="D46" s="250" t="s">
        <v>76</v>
      </c>
      <c r="E46" s="250" t="s">
        <v>77</v>
      </c>
      <c r="F46" s="356" t="s">
        <v>78</v>
      </c>
      <c r="G46" s="465" t="s">
        <v>69</v>
      </c>
      <c r="H46" s="368"/>
    </row>
    <row r="47" spans="2:9" x14ac:dyDescent="0.2">
      <c r="B47" s="209" t="s">
        <v>79</v>
      </c>
      <c r="C47" s="210">
        <f>IF('Excel Calcs'!B$4="STD",'Excel Calcs'!N35,0)</f>
        <v>0.75</v>
      </c>
      <c r="D47" s="359">
        <f>IF(C47=0,0,'Excel Calcs'!N18)</f>
        <v>1</v>
      </c>
      <c r="E47" s="210">
        <f>IF(LEFT_HAND_CHAN_1_Z_LOC=0,0,'Excel Calcs'!N10)</f>
        <v>2</v>
      </c>
      <c r="F47" s="247">
        <f>IF(LEFT_HAND_CHAN_1_Z_LOC=0,0,'Excel Calcs'!N11)</f>
        <v>4</v>
      </c>
      <c r="G47" s="466"/>
      <c r="H47" s="473" t="s">
        <v>1130</v>
      </c>
    </row>
    <row r="48" spans="2:9" x14ac:dyDescent="0.2">
      <c r="B48" s="211" t="s">
        <v>80</v>
      </c>
      <c r="C48" s="212">
        <f>IF('Excel Calcs'!B4="CUL",0,'Excel Calcs'!N35)</f>
        <v>0.75</v>
      </c>
      <c r="D48" s="357">
        <f>IF(C48=0,0,'Excel Calcs'!N19)</f>
        <v>84.999440000000007</v>
      </c>
      <c r="E48" s="212">
        <f>IF(LEFT_HAND_CHAN_2_Z_LOC=0,0,'Excel Calcs'!N$10)</f>
        <v>2</v>
      </c>
      <c r="F48" s="248">
        <f>IF(LEFT_HAND_CHAN_2_Z_LOC=0,0,'Excel Calcs'!N11)</f>
        <v>4</v>
      </c>
      <c r="G48" s="466"/>
      <c r="H48" s="474"/>
    </row>
    <row r="49" spans="2:9" x14ac:dyDescent="0.2">
      <c r="B49" s="211" t="s">
        <v>81</v>
      </c>
      <c r="C49" s="212">
        <f>IF('Excel Calcs'!N20=0,0,'Excel Calcs'!N35)</f>
        <v>0</v>
      </c>
      <c r="D49" s="357">
        <f>IF(C49=0,0,'Excel Calcs'!N20)</f>
        <v>0</v>
      </c>
      <c r="E49" s="212">
        <f>IF(LEFT_HAND_CHAN_3_Z_LOC=0,0,'Excel Calcs'!N$10)</f>
        <v>0</v>
      </c>
      <c r="F49" s="248">
        <f>IF(LEFT_HAND_CHAN_3_Z_LOC=0,0,'Excel Calcs'!N11)</f>
        <v>0</v>
      </c>
      <c r="G49" s="466"/>
      <c r="H49" s="474"/>
    </row>
    <row r="50" spans="2:9" x14ac:dyDescent="0.2">
      <c r="B50" s="211" t="s">
        <v>82</v>
      </c>
      <c r="C50" s="212">
        <f>IF('Excel Calcs'!N21=0,0,'Excel Calcs'!N35)</f>
        <v>0</v>
      </c>
      <c r="D50" s="357">
        <f>IF(C50=0,0,'Excel Calcs'!N21)</f>
        <v>0</v>
      </c>
      <c r="E50" s="212">
        <f>IF(LEFT_HAND_CHAN_4_Z_LOC=0,0,'Excel Calcs'!N$10)</f>
        <v>0</v>
      </c>
      <c r="F50" s="248">
        <f>IF(LEFT_HAND_CHAN_4_Z_LOC=0,0,'Excel Calcs'!N11)</f>
        <v>0</v>
      </c>
      <c r="G50" s="466"/>
      <c r="H50" s="474"/>
    </row>
    <row r="51" spans="2:9" x14ac:dyDescent="0.2">
      <c r="B51" s="211" t="s">
        <v>83</v>
      </c>
      <c r="C51" s="212">
        <f>IF('Excel Calcs'!N22=0,0,'Excel Calcs'!N35)</f>
        <v>0</v>
      </c>
      <c r="D51" s="357">
        <f>IF(C51=0,0,'Excel Calcs'!N22)</f>
        <v>0</v>
      </c>
      <c r="E51" s="212">
        <f>IF(LEFT_HAND_CHAN_5_Z_LOC=0,0,'Excel Calcs'!N$10)</f>
        <v>0</v>
      </c>
      <c r="F51" s="248">
        <f>IF(LEFT_HAND_CHAN_5_Z_LOC=0,0,'Excel Calcs'!N11)</f>
        <v>0</v>
      </c>
      <c r="G51" s="466"/>
      <c r="H51" s="474"/>
    </row>
    <row r="52" spans="2:9" ht="13.5" thickBot="1" x14ac:dyDescent="0.25">
      <c r="B52" s="211" t="s">
        <v>84</v>
      </c>
      <c r="C52" s="212">
        <f>IF('Excel Calcs'!N23=0,0,'Excel Calcs'!N35)</f>
        <v>0</v>
      </c>
      <c r="D52" s="357">
        <f>IF(C52=0,0,'Excel Calcs'!N23)</f>
        <v>0</v>
      </c>
      <c r="E52" s="212">
        <f>IF(LEFT_HAND_CHAN_6_Z_LOC=0,0,'Excel Calcs'!N$10)</f>
        <v>0</v>
      </c>
      <c r="F52" s="248">
        <f>IF(LEFT_HAND_CHAN_6_Z_LOC=0,0,'Excel Calcs'!N11)</f>
        <v>0</v>
      </c>
      <c r="G52" s="466"/>
      <c r="H52" s="475"/>
    </row>
    <row r="53" spans="2:9" x14ac:dyDescent="0.2">
      <c r="B53" s="213" t="s">
        <v>85</v>
      </c>
      <c r="C53" s="214">
        <f>IF('Excel Calcs'!B4="CUL",0,'Excel Calcs'!N35)</f>
        <v>0.75</v>
      </c>
      <c r="D53" s="358">
        <f>IF(LEFT_HAND_CHAN_7_Z_LOC=0,0,'Excel Calcs'!N26)</f>
        <v>3</v>
      </c>
      <c r="E53" s="214">
        <f>IF(LEFT_HAND_CHAN_7_Z_LOC=0,0,'Excel Calcs'!N29)</f>
        <v>11</v>
      </c>
      <c r="F53" s="249">
        <f>IF(LEFT_HAND_CHAN_7_Z_LOC=0,0,'Excel Calcs'!N30)</f>
        <v>8.3999440000000014</v>
      </c>
      <c r="G53" s="466"/>
      <c r="H53" s="471" t="s">
        <v>1134</v>
      </c>
    </row>
    <row r="54" spans="2:9" x14ac:dyDescent="0.2">
      <c r="B54" s="213" t="s">
        <v>86</v>
      </c>
      <c r="C54" s="214">
        <f>IF('Excel Calcs'!B9&lt;2,0,IF(OR('Excel Calcs'!B4="CUWA",'Excel Calcs'!B4="CUWC"),0,'Excel Calcs'!N35))</f>
        <v>0</v>
      </c>
      <c r="D54" s="358">
        <f>IF(LEFT_HAND_CHAN_8_Z_LOC=0,0,'Excel Calcs'!N27)</f>
        <v>0</v>
      </c>
      <c r="E54" s="214">
        <f>IF(LEFT_HAND_CHAN_8_Z_LOC=0,0,'Excel Calcs'!N29)</f>
        <v>0</v>
      </c>
      <c r="F54" s="249">
        <f>IF(LEFT_HAND_CHAN_8_Z_LOC=0,0,'Excel Calcs'!N30)</f>
        <v>0</v>
      </c>
      <c r="G54" s="466"/>
      <c r="H54" s="472"/>
    </row>
    <row r="55" spans="2:9" ht="13.5" thickBot="1" x14ac:dyDescent="0.25">
      <c r="B55" s="420" t="s">
        <v>87</v>
      </c>
      <c r="C55" s="421">
        <f>IF('Excel Calcs'!B9&lt;3,0,IF(OR('Excel Calcs'!B4="CUWA",'Excel Calcs'!B4="CUWC"),0,'Excel Calcs'!N35))</f>
        <v>0</v>
      </c>
      <c r="D55" s="422">
        <f>IF(LEFT_HAND_CHAN_9_Z_LOC=0,0,'Excel Calcs'!N28)</f>
        <v>0</v>
      </c>
      <c r="E55" s="421">
        <f>IF(LEFT_HAND_CHAN_9_Z_LOC=0,0,'Excel Calcs'!N29)</f>
        <v>0</v>
      </c>
      <c r="F55" s="423">
        <f>IF(LEFT_HAND_CHAN_9_Z_LOC=0,0,'Excel Calcs'!N30)</f>
        <v>0</v>
      </c>
      <c r="G55" s="467"/>
      <c r="H55" s="476"/>
    </row>
    <row r="56" spans="2:9" ht="13.5" thickBot="1" x14ac:dyDescent="0.25">
      <c r="B56" s="360"/>
      <c r="C56" s="251"/>
      <c r="D56" s="251"/>
      <c r="E56" s="251"/>
      <c r="F56" s="251"/>
      <c r="G56" s="419"/>
      <c r="H56" s="252"/>
      <c r="I56" s="16"/>
    </row>
    <row r="57" spans="2:9" ht="27" customHeight="1" thickBot="1" x14ac:dyDescent="0.25">
      <c r="B57" s="250" t="s">
        <v>71</v>
      </c>
      <c r="C57" s="250" t="s">
        <v>72</v>
      </c>
      <c r="D57" s="250" t="s">
        <v>76</v>
      </c>
      <c r="E57" s="250" t="s">
        <v>77</v>
      </c>
      <c r="F57" s="356" t="s">
        <v>78</v>
      </c>
      <c r="G57" s="465" t="s">
        <v>70</v>
      </c>
      <c r="H57" s="368"/>
    </row>
    <row r="58" spans="2:9" x14ac:dyDescent="0.2">
      <c r="B58" s="244" t="s">
        <v>88</v>
      </c>
      <c r="C58" s="359">
        <f>LEFT_HAND_CHAN_1_Z_LOC</f>
        <v>0.75</v>
      </c>
      <c r="D58" s="210">
        <f>LEFT_HAND_CHAN_1_Y_ARRAY_OFFSET</f>
        <v>1</v>
      </c>
      <c r="E58" s="359">
        <f>LEFT_HAND_CHAN_1_Y_ARRAY_QTY</f>
        <v>2</v>
      </c>
      <c r="F58" s="210">
        <f>LEFT_HAND_CHAN_1_Y_ARRAY_SPACING</f>
        <v>4</v>
      </c>
      <c r="G58" s="466"/>
      <c r="H58" s="473" t="s">
        <v>1130</v>
      </c>
    </row>
    <row r="59" spans="2:9" x14ac:dyDescent="0.2">
      <c r="B59" s="245" t="s">
        <v>89</v>
      </c>
      <c r="C59" s="357">
        <f>LEFT_HAND_CHAN_2_Z_LOC</f>
        <v>0.75</v>
      </c>
      <c r="D59" s="212">
        <f>LEFT_HAND_CHAN_2_Y_ARRAY_OFFSET</f>
        <v>84.999440000000007</v>
      </c>
      <c r="E59" s="357">
        <f>LEFT_HAND_CHAN_2_Y_ARRAY_QTY</f>
        <v>2</v>
      </c>
      <c r="F59" s="212">
        <f>LEFT_HAND_CHAN_2_Y_ARRAY_SPACING</f>
        <v>4</v>
      </c>
      <c r="G59" s="466"/>
      <c r="H59" s="474"/>
    </row>
    <row r="60" spans="2:9" x14ac:dyDescent="0.2">
      <c r="B60" s="245" t="s">
        <v>90</v>
      </c>
      <c r="C60" s="357">
        <f>LEFT_HAND_CHAN_3_Z_LOC</f>
        <v>0</v>
      </c>
      <c r="D60" s="212">
        <f>LEFT_HAND_CHAN_3_Y_ARRAY_OFFSET</f>
        <v>0</v>
      </c>
      <c r="E60" s="357">
        <f>LEFT_HAND_CHAN_3_Y_ARRAY_QTY</f>
        <v>0</v>
      </c>
      <c r="F60" s="212">
        <f>LEFT_HAND_CHAN_3_Y_ARRAY_SPACING</f>
        <v>0</v>
      </c>
      <c r="G60" s="466"/>
      <c r="H60" s="474"/>
    </row>
    <row r="61" spans="2:9" x14ac:dyDescent="0.2">
      <c r="B61" s="245" t="s">
        <v>91</v>
      </c>
      <c r="C61" s="357">
        <f>LEFT_HAND_CHAN_4_Z_LOC</f>
        <v>0</v>
      </c>
      <c r="D61" s="212">
        <f>LEFT_HAND_CHAN_4_Y_ARRAY_OFFSET</f>
        <v>0</v>
      </c>
      <c r="E61" s="357">
        <f>LEFT_HAND_CHAN_4_Y_ARRAY_QTY</f>
        <v>0</v>
      </c>
      <c r="F61" s="212">
        <f>LEFT_HAND_CHAN_4_Y_ARRAY_SPACING</f>
        <v>0</v>
      </c>
      <c r="G61" s="466"/>
      <c r="H61" s="474"/>
    </row>
    <row r="62" spans="2:9" x14ac:dyDescent="0.2">
      <c r="B62" s="245" t="s">
        <v>92</v>
      </c>
      <c r="C62" s="357">
        <f>LEFT_HAND_CHAN_5_Z_LOC</f>
        <v>0</v>
      </c>
      <c r="D62" s="212">
        <f>LEFT_HAND_CHAN_5_Y_ARRAY_OFFSET</f>
        <v>0</v>
      </c>
      <c r="E62" s="357">
        <f>LEFT_HAND_CHAN_5_Y_ARRAY_QTY</f>
        <v>0</v>
      </c>
      <c r="F62" s="212">
        <f>LEFT_HAND_CHAN_5_Y_ARRAY_SPACING</f>
        <v>0</v>
      </c>
      <c r="G62" s="466"/>
      <c r="H62" s="474"/>
    </row>
    <row r="63" spans="2:9" ht="13.5" thickBot="1" x14ac:dyDescent="0.25">
      <c r="B63" s="245" t="s">
        <v>93</v>
      </c>
      <c r="C63" s="357">
        <f>LEFT_HAND_CHAN_6_Z_LOC</f>
        <v>0</v>
      </c>
      <c r="D63" s="212">
        <f>LEFT_HAND_CHAN_6_Y_ARRAY_OFFSET</f>
        <v>0</v>
      </c>
      <c r="E63" s="357">
        <f>LEFT_HAND_CHAN_6_Y_ARRAY_QTY</f>
        <v>0</v>
      </c>
      <c r="F63" s="212">
        <f>LEFT_HAND_CHAN_6_Y_ARRAY_SPACING</f>
        <v>0</v>
      </c>
      <c r="G63" s="466"/>
      <c r="H63" s="475"/>
    </row>
    <row r="64" spans="2:9" x14ac:dyDescent="0.2">
      <c r="B64" s="246" t="s">
        <v>94</v>
      </c>
      <c r="C64" s="358">
        <f>LEFT_HAND_CHAN_7_Z_LOC</f>
        <v>0.75</v>
      </c>
      <c r="D64" s="214">
        <f>LEFT_HAND_CHAN_7_Y_ARRAY_OFFSET</f>
        <v>3</v>
      </c>
      <c r="E64" s="358">
        <f>LEFT_HAND_CHAN_7_Y_ARRAY_QTY</f>
        <v>11</v>
      </c>
      <c r="F64" s="214">
        <f>LEFT_HAND_CHAN_7_Y_ARRAY_SPACING</f>
        <v>8.3999440000000014</v>
      </c>
      <c r="G64" s="466"/>
      <c r="H64" s="471" t="s">
        <v>1135</v>
      </c>
      <c r="I64" s="16"/>
    </row>
    <row r="65" spans="2:8" x14ac:dyDescent="0.2">
      <c r="B65" s="246" t="s">
        <v>95</v>
      </c>
      <c r="C65" s="358">
        <f>LEFT_HAND_CHAN_8_Z_LOC</f>
        <v>0</v>
      </c>
      <c r="D65" s="214">
        <f>LEFT_HAND_CHAN_8_Y_ARRAY_OFFSET</f>
        <v>0</v>
      </c>
      <c r="E65" s="358">
        <f>LEFT_HAND_CHAN_8_Y_ARRAY_QTY</f>
        <v>0</v>
      </c>
      <c r="F65" s="214">
        <f>LEFT_HAND_CHAN_8_Y_ARRAY_SPACING</f>
        <v>0</v>
      </c>
      <c r="G65" s="466"/>
      <c r="H65" s="472"/>
    </row>
    <row r="66" spans="2:8" ht="13.5" thickBot="1" x14ac:dyDescent="0.25">
      <c r="B66" s="424" t="s">
        <v>96</v>
      </c>
      <c r="C66" s="422">
        <f>LEFT_HAND_CHAN_9_Z_LOC</f>
        <v>0</v>
      </c>
      <c r="D66" s="421">
        <f>LEFT_HAND_CHAN_9_Y_ARRAY_OFFSET</f>
        <v>0</v>
      </c>
      <c r="E66" s="422">
        <f>LEFT_HAND_CHAN_9_Y_ARRAY_QTY</f>
        <v>0</v>
      </c>
      <c r="F66" s="421">
        <f>LEFT_HAND_CHAN_9_Y_ARRAY_SPACING</f>
        <v>0</v>
      </c>
      <c r="G66" s="467"/>
      <c r="H66" s="476"/>
    </row>
  </sheetData>
  <mergeCells count="16">
    <mergeCell ref="B2:G3"/>
    <mergeCell ref="H6:H13"/>
    <mergeCell ref="H14:H17"/>
    <mergeCell ref="H29:H36"/>
    <mergeCell ref="H19:H22"/>
    <mergeCell ref="G5:G26"/>
    <mergeCell ref="G28:G44"/>
    <mergeCell ref="G46:G55"/>
    <mergeCell ref="G57:G66"/>
    <mergeCell ref="H23:H26"/>
    <mergeCell ref="H37:H40"/>
    <mergeCell ref="H47:H52"/>
    <mergeCell ref="H53:H55"/>
    <mergeCell ref="H58:H63"/>
    <mergeCell ref="H64:H66"/>
    <mergeCell ref="H41:H4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40"/>
  <sheetViews>
    <sheetView zoomScale="85" zoomScaleNormal="85" workbookViewId="0">
      <selection sqref="A1:F1"/>
    </sheetView>
  </sheetViews>
  <sheetFormatPr defaultRowHeight="12.75" x14ac:dyDescent="0.2"/>
  <cols>
    <col min="1" max="1" width="18.28515625" style="35" bestFit="1" customWidth="1"/>
    <col min="2" max="3" width="3.28515625" style="35" customWidth="1"/>
    <col min="4" max="4" width="21.42578125" style="36" customWidth="1"/>
    <col min="5" max="5" width="8.7109375" style="35" customWidth="1"/>
    <col min="6" max="7" width="11.85546875" style="37" customWidth="1"/>
    <col min="8" max="8" width="11.85546875" style="38" customWidth="1"/>
    <col min="9" max="10" width="11.85546875" style="37" customWidth="1"/>
    <col min="11" max="11" width="17.140625" style="37" customWidth="1"/>
    <col min="12" max="12" width="52.42578125" style="35" bestFit="1" customWidth="1"/>
    <col min="13" max="13" width="12.42578125" style="35" customWidth="1"/>
    <col min="14" max="14" width="17.140625" style="35" customWidth="1"/>
    <col min="15" max="15" width="13.140625" style="35" bestFit="1" customWidth="1"/>
    <col min="16" max="16" width="11.5703125" style="37" bestFit="1" customWidth="1"/>
    <col min="17" max="17" width="16.5703125" style="35" customWidth="1"/>
    <col min="18" max="18" width="14" style="35" customWidth="1"/>
    <col min="19" max="19" width="19.28515625" style="35" bestFit="1" customWidth="1"/>
    <col min="20" max="20" width="12" style="35" customWidth="1"/>
    <col min="21" max="22" width="3" style="35" customWidth="1"/>
    <col min="23" max="16384" width="9.140625" style="35"/>
  </cols>
  <sheetData>
    <row r="1" spans="1:21" s="34" customFormat="1" ht="15.75" thickBot="1" x14ac:dyDescent="0.25">
      <c r="A1" s="494" t="s">
        <v>261</v>
      </c>
      <c r="B1" s="495"/>
      <c r="C1" s="495"/>
      <c r="D1" s="495"/>
      <c r="E1" s="495"/>
      <c r="F1" s="496"/>
      <c r="G1" s="32"/>
      <c r="H1" s="33"/>
      <c r="I1" s="32"/>
      <c r="J1" s="32"/>
      <c r="K1" s="494" t="s">
        <v>262</v>
      </c>
      <c r="L1" s="496"/>
      <c r="M1" s="494" t="s">
        <v>263</v>
      </c>
      <c r="N1" s="495"/>
      <c r="O1" s="495"/>
      <c r="P1" s="495"/>
      <c r="Q1" s="495"/>
      <c r="R1" s="495"/>
      <c r="S1" s="495"/>
      <c r="T1" s="496"/>
    </row>
    <row r="2" spans="1:21" s="34" customFormat="1" ht="15.75" thickBot="1" x14ac:dyDescent="0.25">
      <c r="A2" s="497" t="s">
        <v>264</v>
      </c>
      <c r="B2" s="498"/>
      <c r="C2" s="498"/>
      <c r="D2" s="498"/>
      <c r="E2" s="498"/>
      <c r="F2" s="498"/>
      <c r="G2" s="498"/>
      <c r="H2" s="498"/>
      <c r="I2" s="498"/>
      <c r="J2" s="498"/>
      <c r="K2" s="498"/>
      <c r="L2" s="499"/>
      <c r="M2" s="494" t="s">
        <v>265</v>
      </c>
      <c r="N2" s="495"/>
      <c r="O2" s="495"/>
      <c r="P2" s="496"/>
      <c r="Q2" s="503" t="s">
        <v>266</v>
      </c>
      <c r="R2" s="504"/>
      <c r="S2" s="504"/>
      <c r="T2" s="505"/>
    </row>
    <row r="3" spans="1:21" s="34" customFormat="1" ht="15.75" thickBot="1" x14ac:dyDescent="0.25">
      <c r="A3" s="500"/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2"/>
      <c r="M3" s="506" t="s">
        <v>267</v>
      </c>
      <c r="N3" s="495"/>
      <c r="O3" s="495"/>
      <c r="P3" s="496"/>
      <c r="Q3" s="506" t="s">
        <v>268</v>
      </c>
      <c r="R3" s="495"/>
      <c r="S3" s="495"/>
      <c r="T3" s="496"/>
    </row>
    <row r="4" spans="1:21" ht="13.5" thickBot="1" x14ac:dyDescent="0.25">
      <c r="M4" s="39"/>
    </row>
    <row r="5" spans="1:21" ht="21.75" customHeight="1" thickTop="1" thickBot="1" x14ac:dyDescent="0.35">
      <c r="B5" s="40" t="s">
        <v>269</v>
      </c>
      <c r="C5" s="41"/>
      <c r="D5" s="42"/>
      <c r="E5" s="43"/>
      <c r="F5" s="44"/>
      <c r="G5" s="44"/>
      <c r="H5" s="45"/>
      <c r="I5" s="44"/>
      <c r="J5" s="44"/>
      <c r="K5" s="46"/>
      <c r="L5" s="41"/>
      <c r="M5" s="41"/>
      <c r="N5" s="41"/>
      <c r="O5" s="41"/>
      <c r="P5" s="44"/>
      <c r="Q5" s="41"/>
      <c r="R5" s="41"/>
      <c r="S5" s="41"/>
      <c r="T5" s="41"/>
      <c r="U5" s="47"/>
    </row>
    <row r="6" spans="1:21" s="48" customFormat="1" ht="47.25" customHeight="1" thickTop="1" thickBot="1" x14ac:dyDescent="0.25">
      <c r="B6" s="49"/>
      <c r="C6" s="50"/>
      <c r="D6" s="51" t="s">
        <v>270</v>
      </c>
      <c r="E6" s="51" t="s">
        <v>100</v>
      </c>
      <c r="F6" s="51" t="s">
        <v>101</v>
      </c>
      <c r="G6" s="51" t="s">
        <v>102</v>
      </c>
      <c r="H6" s="52" t="s">
        <v>271</v>
      </c>
      <c r="I6" s="51" t="s">
        <v>272</v>
      </c>
      <c r="J6" s="51" t="s">
        <v>273</v>
      </c>
      <c r="K6" s="51" t="s">
        <v>274</v>
      </c>
      <c r="L6" s="51" t="s">
        <v>103</v>
      </c>
      <c r="M6" s="51" t="s">
        <v>104</v>
      </c>
      <c r="N6" s="53" t="s">
        <v>105</v>
      </c>
      <c r="O6" s="51" t="s">
        <v>106</v>
      </c>
      <c r="P6" s="51" t="s">
        <v>107</v>
      </c>
      <c r="Q6" s="51" t="s">
        <v>99</v>
      </c>
      <c r="R6" s="51" t="s">
        <v>108</v>
      </c>
      <c r="S6" s="54" t="s">
        <v>275</v>
      </c>
      <c r="T6" s="55" t="s">
        <v>109</v>
      </c>
      <c r="U6" s="56"/>
    </row>
    <row r="7" spans="1:21" s="63" customFormat="1" ht="14.25" thickTop="1" thickBot="1" x14ac:dyDescent="0.25">
      <c r="A7" s="57" t="s">
        <v>276</v>
      </c>
      <c r="B7" s="58"/>
      <c r="C7" s="59"/>
      <c r="D7" s="60" t="s">
        <v>277</v>
      </c>
      <c r="E7" s="60" t="s">
        <v>278</v>
      </c>
      <c r="F7" s="60" t="s">
        <v>279</v>
      </c>
      <c r="G7" s="60" t="s">
        <v>280</v>
      </c>
      <c r="H7" s="60" t="s">
        <v>281</v>
      </c>
      <c r="I7" s="60" t="s">
        <v>282</v>
      </c>
      <c r="J7" s="60" t="s">
        <v>283</v>
      </c>
      <c r="K7" s="60" t="s">
        <v>284</v>
      </c>
      <c r="L7" s="60" t="s">
        <v>285</v>
      </c>
      <c r="M7" s="60" t="s">
        <v>286</v>
      </c>
      <c r="N7" s="61" t="s">
        <v>287</v>
      </c>
      <c r="O7" s="60" t="s">
        <v>288</v>
      </c>
      <c r="P7" s="60" t="s">
        <v>289</v>
      </c>
      <c r="Q7" s="60" t="s">
        <v>290</v>
      </c>
      <c r="R7" s="60" t="s">
        <v>291</v>
      </c>
      <c r="S7" s="61" t="s">
        <v>292</v>
      </c>
      <c r="T7" s="61" t="s">
        <v>293</v>
      </c>
      <c r="U7" s="62"/>
    </row>
    <row r="8" spans="1:21" s="63" customFormat="1" ht="17.25" thickTop="1" thickBot="1" x14ac:dyDescent="0.25">
      <c r="A8" s="64"/>
      <c r="B8" s="58"/>
      <c r="C8" s="65" t="s">
        <v>294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7"/>
      <c r="O8" s="66"/>
      <c r="P8" s="66"/>
      <c r="Q8" s="66"/>
      <c r="R8" s="66"/>
      <c r="S8" s="67"/>
      <c r="T8" s="67"/>
      <c r="U8" s="62"/>
    </row>
    <row r="9" spans="1:21" s="63" customFormat="1" ht="13.5" thickTop="1" x14ac:dyDescent="0.2">
      <c r="A9" s="68" t="str">
        <f t="shared" ref="A9:A55" si="0">CONCATENATE(E9,Q9)</f>
        <v>8STL GALV</v>
      </c>
      <c r="B9" s="58"/>
      <c r="C9" s="69"/>
      <c r="D9" s="263" t="s">
        <v>295</v>
      </c>
      <c r="E9" s="264">
        <v>8</v>
      </c>
      <c r="F9" s="265" t="s">
        <v>296</v>
      </c>
      <c r="G9" s="265" t="s">
        <v>296</v>
      </c>
      <c r="H9" s="266">
        <v>0.15601000000000001</v>
      </c>
      <c r="I9" s="265" t="s">
        <v>297</v>
      </c>
      <c r="J9" s="265" t="s">
        <v>300</v>
      </c>
      <c r="K9" s="267" t="s">
        <v>110</v>
      </c>
      <c r="L9" s="264" t="s">
        <v>111</v>
      </c>
      <c r="M9" s="265" t="s">
        <v>112</v>
      </c>
      <c r="N9" s="268" t="s">
        <v>113</v>
      </c>
      <c r="O9" s="265" t="s">
        <v>114</v>
      </c>
      <c r="P9" s="265" t="s">
        <v>115</v>
      </c>
      <c r="Q9" s="265" t="s">
        <v>98</v>
      </c>
      <c r="R9" s="267" t="s">
        <v>116</v>
      </c>
      <c r="S9" s="267" t="s">
        <v>117</v>
      </c>
      <c r="T9" s="269" t="s">
        <v>117</v>
      </c>
      <c r="U9" s="62"/>
    </row>
    <row r="10" spans="1:21" s="63" customFormat="1" x14ac:dyDescent="0.2">
      <c r="A10" s="68" t="str">
        <f t="shared" si="0"/>
        <v>10STL GALV</v>
      </c>
      <c r="B10" s="58"/>
      <c r="C10" s="69"/>
      <c r="D10" s="263" t="s">
        <v>295</v>
      </c>
      <c r="E10" s="264">
        <v>10</v>
      </c>
      <c r="F10" s="265" t="s">
        <v>298</v>
      </c>
      <c r="G10" s="265" t="s">
        <v>299</v>
      </c>
      <c r="H10" s="266">
        <v>0.12601000000000001</v>
      </c>
      <c r="I10" s="265" t="s">
        <v>8</v>
      </c>
      <c r="J10" s="265" t="s">
        <v>300</v>
      </c>
      <c r="K10" s="267" t="s">
        <v>118</v>
      </c>
      <c r="L10" s="264" t="s">
        <v>111</v>
      </c>
      <c r="M10" s="265" t="s">
        <v>112</v>
      </c>
      <c r="N10" s="268" t="s">
        <v>113</v>
      </c>
      <c r="O10" s="265" t="s">
        <v>114</v>
      </c>
      <c r="P10" s="265" t="s">
        <v>115</v>
      </c>
      <c r="Q10" s="265" t="s">
        <v>98</v>
      </c>
      <c r="R10" s="267" t="s">
        <v>119</v>
      </c>
      <c r="S10" s="267" t="s">
        <v>117</v>
      </c>
      <c r="T10" s="269" t="s">
        <v>117</v>
      </c>
      <c r="U10" s="62"/>
    </row>
    <row r="11" spans="1:21" s="63" customFormat="1" x14ac:dyDescent="0.2">
      <c r="A11" s="68" t="str">
        <f t="shared" si="0"/>
        <v>12STL GALV</v>
      </c>
      <c r="B11" s="58"/>
      <c r="C11" s="69"/>
      <c r="D11" s="263" t="s">
        <v>295</v>
      </c>
      <c r="E11" s="264">
        <v>12</v>
      </c>
      <c r="F11" s="265" t="s">
        <v>301</v>
      </c>
      <c r="G11" s="265" t="s">
        <v>302</v>
      </c>
      <c r="H11" s="266">
        <v>9.7009999999999999E-2</v>
      </c>
      <c r="I11" s="265" t="s">
        <v>8</v>
      </c>
      <c r="J11" s="265" t="s">
        <v>300</v>
      </c>
      <c r="K11" s="267" t="s">
        <v>120</v>
      </c>
      <c r="L11" s="264" t="s">
        <v>111</v>
      </c>
      <c r="M11" s="265" t="s">
        <v>112</v>
      </c>
      <c r="N11" s="268" t="s">
        <v>113</v>
      </c>
      <c r="O11" s="265" t="s">
        <v>121</v>
      </c>
      <c r="P11" s="265" t="s">
        <v>115</v>
      </c>
      <c r="Q11" s="265" t="s">
        <v>98</v>
      </c>
      <c r="R11" s="267" t="s">
        <v>122</v>
      </c>
      <c r="S11" s="267" t="s">
        <v>117</v>
      </c>
      <c r="T11" s="269" t="s">
        <v>117</v>
      </c>
      <c r="U11" s="62"/>
    </row>
    <row r="12" spans="1:21" s="63" customFormat="1" x14ac:dyDescent="0.2">
      <c r="A12" s="68" t="str">
        <f t="shared" si="0"/>
        <v>14STL GALV</v>
      </c>
      <c r="B12" s="58"/>
      <c r="C12" s="69"/>
      <c r="D12" s="263" t="s">
        <v>295</v>
      </c>
      <c r="E12" s="264">
        <v>14</v>
      </c>
      <c r="F12" s="265" t="s">
        <v>303</v>
      </c>
      <c r="G12" s="265" t="s">
        <v>304</v>
      </c>
      <c r="H12" s="266">
        <v>7.0010000000000003E-2</v>
      </c>
      <c r="I12" s="265" t="s">
        <v>8</v>
      </c>
      <c r="J12" s="265" t="s">
        <v>300</v>
      </c>
      <c r="K12" s="267" t="s">
        <v>123</v>
      </c>
      <c r="L12" s="264" t="s">
        <v>111</v>
      </c>
      <c r="M12" s="265" t="s">
        <v>112</v>
      </c>
      <c r="N12" s="268" t="s">
        <v>113</v>
      </c>
      <c r="O12" s="265" t="s">
        <v>121</v>
      </c>
      <c r="P12" s="265" t="s">
        <v>115</v>
      </c>
      <c r="Q12" s="265" t="s">
        <v>98</v>
      </c>
      <c r="R12" s="267" t="s">
        <v>124</v>
      </c>
      <c r="S12" s="267" t="s">
        <v>117</v>
      </c>
      <c r="T12" s="269" t="s">
        <v>117</v>
      </c>
      <c r="U12" s="62"/>
    </row>
    <row r="13" spans="1:21" s="63" customFormat="1" x14ac:dyDescent="0.2">
      <c r="A13" s="68" t="str">
        <f t="shared" si="0"/>
        <v>16STL GALV</v>
      </c>
      <c r="B13" s="58"/>
      <c r="C13" s="69"/>
      <c r="D13" s="263" t="s">
        <v>295</v>
      </c>
      <c r="E13" s="264">
        <v>16</v>
      </c>
      <c r="F13" s="265" t="s">
        <v>305</v>
      </c>
      <c r="G13" s="265" t="s">
        <v>306</v>
      </c>
      <c r="H13" s="266">
        <v>5.6009999999999997E-2</v>
      </c>
      <c r="I13" s="265" t="s">
        <v>297</v>
      </c>
      <c r="J13" s="265" t="s">
        <v>300</v>
      </c>
      <c r="K13" s="267" t="s">
        <v>136</v>
      </c>
      <c r="L13" s="264" t="s">
        <v>111</v>
      </c>
      <c r="M13" s="265" t="s">
        <v>112</v>
      </c>
      <c r="N13" s="268" t="s">
        <v>113</v>
      </c>
      <c r="O13" s="265" t="s">
        <v>121</v>
      </c>
      <c r="P13" s="265" t="s">
        <v>115</v>
      </c>
      <c r="Q13" s="265" t="s">
        <v>98</v>
      </c>
      <c r="R13" s="267" t="s">
        <v>307</v>
      </c>
      <c r="S13" s="267" t="s">
        <v>117</v>
      </c>
      <c r="T13" s="269" t="s">
        <v>117</v>
      </c>
      <c r="U13" s="62"/>
    </row>
    <row r="14" spans="1:21" s="63" customFormat="1" x14ac:dyDescent="0.2">
      <c r="A14" s="68" t="str">
        <f t="shared" si="0"/>
        <v>18STL GALV</v>
      </c>
      <c r="B14" s="58"/>
      <c r="C14" s="69"/>
      <c r="D14" s="263" t="s">
        <v>295</v>
      </c>
      <c r="E14" s="264">
        <v>18</v>
      </c>
      <c r="F14" s="265" t="s">
        <v>308</v>
      </c>
      <c r="G14" s="265" t="s">
        <v>309</v>
      </c>
      <c r="H14" s="266">
        <v>4.5010000000000001E-2</v>
      </c>
      <c r="I14" s="265" t="s">
        <v>297</v>
      </c>
      <c r="J14" s="265" t="s">
        <v>300</v>
      </c>
      <c r="K14" s="267" t="s">
        <v>137</v>
      </c>
      <c r="L14" s="264" t="s">
        <v>111</v>
      </c>
      <c r="M14" s="265" t="s">
        <v>112</v>
      </c>
      <c r="N14" s="268" t="s">
        <v>113</v>
      </c>
      <c r="O14" s="265" t="s">
        <v>121</v>
      </c>
      <c r="P14" s="265" t="s">
        <v>115</v>
      </c>
      <c r="Q14" s="265" t="s">
        <v>98</v>
      </c>
      <c r="R14" s="267" t="s">
        <v>310</v>
      </c>
      <c r="S14" s="267" t="s">
        <v>117</v>
      </c>
      <c r="T14" s="269" t="s">
        <v>117</v>
      </c>
      <c r="U14" s="62"/>
    </row>
    <row r="15" spans="1:21" s="63" customFormat="1" x14ac:dyDescent="0.2">
      <c r="A15" s="68" t="str">
        <f t="shared" si="0"/>
        <v>20STL GALV</v>
      </c>
      <c r="B15" s="58"/>
      <c r="C15" s="69"/>
      <c r="D15" s="263" t="s">
        <v>295</v>
      </c>
      <c r="E15" s="264">
        <v>20</v>
      </c>
      <c r="F15" s="265" t="s">
        <v>311</v>
      </c>
      <c r="G15" s="265" t="s">
        <v>138</v>
      </c>
      <c r="H15" s="266">
        <v>3.4009999999999999E-2</v>
      </c>
      <c r="I15" s="265" t="s">
        <v>297</v>
      </c>
      <c r="J15" s="265" t="s">
        <v>300</v>
      </c>
      <c r="K15" s="267" t="s">
        <v>139</v>
      </c>
      <c r="L15" s="264" t="s">
        <v>111</v>
      </c>
      <c r="M15" s="265" t="s">
        <v>112</v>
      </c>
      <c r="N15" s="268" t="s">
        <v>113</v>
      </c>
      <c r="O15" s="265" t="s">
        <v>121</v>
      </c>
      <c r="P15" s="265" t="s">
        <v>115</v>
      </c>
      <c r="Q15" s="265" t="s">
        <v>98</v>
      </c>
      <c r="R15" s="267" t="s">
        <v>140</v>
      </c>
      <c r="S15" s="267" t="s">
        <v>117</v>
      </c>
      <c r="T15" s="269" t="s">
        <v>117</v>
      </c>
      <c r="U15" s="62"/>
    </row>
    <row r="16" spans="1:21" s="63" customFormat="1" x14ac:dyDescent="0.2">
      <c r="A16" s="68" t="str">
        <f t="shared" si="0"/>
        <v>22STL GALV</v>
      </c>
      <c r="B16" s="58"/>
      <c r="C16" s="69"/>
      <c r="D16" s="263" t="s">
        <v>295</v>
      </c>
      <c r="E16" s="264" t="s">
        <v>141</v>
      </c>
      <c r="F16" s="265" t="s">
        <v>312</v>
      </c>
      <c r="G16" s="265" t="s">
        <v>312</v>
      </c>
      <c r="H16" s="266">
        <v>2.801E-2</v>
      </c>
      <c r="I16" s="265" t="s">
        <v>8</v>
      </c>
      <c r="J16" s="265" t="s">
        <v>300</v>
      </c>
      <c r="K16" s="270" t="s">
        <v>142</v>
      </c>
      <c r="L16" s="264" t="s">
        <v>111</v>
      </c>
      <c r="M16" s="265" t="s">
        <v>112</v>
      </c>
      <c r="N16" s="268" t="s">
        <v>113</v>
      </c>
      <c r="O16" s="265" t="s">
        <v>121</v>
      </c>
      <c r="P16" s="265" t="s">
        <v>115</v>
      </c>
      <c r="Q16" s="265" t="s">
        <v>98</v>
      </c>
      <c r="R16" s="267" t="s">
        <v>143</v>
      </c>
      <c r="S16" s="267" t="s">
        <v>117</v>
      </c>
      <c r="T16" s="269" t="s">
        <v>117</v>
      </c>
      <c r="U16" s="62"/>
    </row>
    <row r="17" spans="1:21" s="63" customFormat="1" x14ac:dyDescent="0.2">
      <c r="A17" s="68" t="str">
        <f t="shared" si="0"/>
        <v>24STL GALV</v>
      </c>
      <c r="B17" s="58"/>
      <c r="C17" s="69"/>
      <c r="D17" s="263" t="s">
        <v>295</v>
      </c>
      <c r="E17" s="263" t="s">
        <v>144</v>
      </c>
      <c r="F17" s="271" t="s">
        <v>313</v>
      </c>
      <c r="G17" s="271" t="s">
        <v>313</v>
      </c>
      <c r="H17" s="272">
        <v>2.2009999999999998E-2</v>
      </c>
      <c r="I17" s="271" t="s">
        <v>297</v>
      </c>
      <c r="J17" s="265" t="s">
        <v>300</v>
      </c>
      <c r="K17" s="270" t="s">
        <v>145</v>
      </c>
      <c r="L17" s="264" t="s">
        <v>111</v>
      </c>
      <c r="M17" s="265" t="s">
        <v>112</v>
      </c>
      <c r="N17" s="268" t="s">
        <v>113</v>
      </c>
      <c r="O17" s="265" t="s">
        <v>121</v>
      </c>
      <c r="P17" s="265" t="s">
        <v>115</v>
      </c>
      <c r="Q17" s="265" t="s">
        <v>98</v>
      </c>
      <c r="R17" s="273" t="s">
        <v>146</v>
      </c>
      <c r="S17" s="267" t="s">
        <v>117</v>
      </c>
      <c r="T17" s="269" t="s">
        <v>117</v>
      </c>
      <c r="U17" s="62"/>
    </row>
    <row r="18" spans="1:21" s="63" customFormat="1" x14ac:dyDescent="0.2">
      <c r="A18" s="68" t="str">
        <f t="shared" si="0"/>
        <v>16STL GALV2</v>
      </c>
      <c r="B18" s="58"/>
      <c r="C18" s="69"/>
      <c r="D18" s="264" t="s">
        <v>314</v>
      </c>
      <c r="E18" s="264">
        <v>16</v>
      </c>
      <c r="F18" s="265" t="s">
        <v>305</v>
      </c>
      <c r="G18" s="265" t="s">
        <v>306</v>
      </c>
      <c r="H18" s="266">
        <v>5.6050000000000003E-2</v>
      </c>
      <c r="I18" s="265" t="s">
        <v>8</v>
      </c>
      <c r="J18" s="265" t="s">
        <v>300</v>
      </c>
      <c r="K18" s="265" t="s">
        <v>315</v>
      </c>
      <c r="L18" s="264" t="s">
        <v>316</v>
      </c>
      <c r="M18" s="265" t="s">
        <v>317</v>
      </c>
      <c r="N18" s="268" t="s">
        <v>113</v>
      </c>
      <c r="O18" s="271" t="s">
        <v>318</v>
      </c>
      <c r="P18" s="271" t="s">
        <v>115</v>
      </c>
      <c r="Q18" s="265" t="s">
        <v>319</v>
      </c>
      <c r="R18" s="267" t="s">
        <v>320</v>
      </c>
      <c r="S18" s="267" t="s">
        <v>117</v>
      </c>
      <c r="T18" s="269" t="s">
        <v>117</v>
      </c>
      <c r="U18" s="62"/>
    </row>
    <row r="19" spans="1:21" s="63" customFormat="1" x14ac:dyDescent="0.2">
      <c r="A19" s="68" t="str">
        <f t="shared" si="0"/>
        <v>16STL GALV3</v>
      </c>
      <c r="B19" s="58"/>
      <c r="C19" s="69"/>
      <c r="D19" s="264" t="s">
        <v>314</v>
      </c>
      <c r="E19" s="264">
        <v>16</v>
      </c>
      <c r="F19" s="265" t="s">
        <v>305</v>
      </c>
      <c r="G19" s="265" t="s">
        <v>306</v>
      </c>
      <c r="H19" s="266">
        <v>5.6059999999999999E-2</v>
      </c>
      <c r="I19" s="265" t="s">
        <v>8</v>
      </c>
      <c r="J19" s="265" t="s">
        <v>300</v>
      </c>
      <c r="K19" s="265" t="s">
        <v>321</v>
      </c>
      <c r="L19" s="264" t="s">
        <v>322</v>
      </c>
      <c r="M19" s="265" t="s">
        <v>317</v>
      </c>
      <c r="N19" s="268" t="s">
        <v>113</v>
      </c>
      <c r="O19" s="271" t="s">
        <v>323</v>
      </c>
      <c r="P19" s="271" t="s">
        <v>115</v>
      </c>
      <c r="Q19" s="265" t="s">
        <v>324</v>
      </c>
      <c r="R19" s="267" t="s">
        <v>325</v>
      </c>
      <c r="S19" s="267" t="s">
        <v>117</v>
      </c>
      <c r="T19" s="269" t="s">
        <v>117</v>
      </c>
      <c r="U19" s="62"/>
    </row>
    <row r="20" spans="1:21" s="63" customFormat="1" x14ac:dyDescent="0.2">
      <c r="A20" s="68" t="str">
        <f t="shared" si="0"/>
        <v>16STL GALV4</v>
      </c>
      <c r="B20" s="58"/>
      <c r="C20" s="69"/>
      <c r="D20" s="264" t="s">
        <v>314</v>
      </c>
      <c r="E20" s="264">
        <v>16</v>
      </c>
      <c r="F20" s="265" t="s">
        <v>305</v>
      </c>
      <c r="G20" s="265" t="s">
        <v>306</v>
      </c>
      <c r="H20" s="266">
        <v>5.6070000000000002E-2</v>
      </c>
      <c r="I20" s="265" t="s">
        <v>8</v>
      </c>
      <c r="J20" s="265" t="s">
        <v>300</v>
      </c>
      <c r="K20" s="265" t="s">
        <v>326</v>
      </c>
      <c r="L20" s="264" t="s">
        <v>327</v>
      </c>
      <c r="M20" s="265" t="s">
        <v>317</v>
      </c>
      <c r="N20" s="268" t="s">
        <v>113</v>
      </c>
      <c r="O20" s="265" t="s">
        <v>328</v>
      </c>
      <c r="P20" s="271" t="s">
        <v>115</v>
      </c>
      <c r="Q20" s="265" t="s">
        <v>329</v>
      </c>
      <c r="R20" s="267" t="s">
        <v>330</v>
      </c>
      <c r="S20" s="267" t="s">
        <v>117</v>
      </c>
      <c r="T20" s="269" t="s">
        <v>117</v>
      </c>
      <c r="U20" s="62"/>
    </row>
    <row r="21" spans="1:21" s="63" customFormat="1" x14ac:dyDescent="0.2">
      <c r="A21" s="68" t="str">
        <f t="shared" si="0"/>
        <v>18STL GALVS</v>
      </c>
      <c r="B21" s="58"/>
      <c r="C21" s="69"/>
      <c r="D21" s="264" t="s">
        <v>314</v>
      </c>
      <c r="E21" s="264">
        <v>18</v>
      </c>
      <c r="F21" s="265" t="s">
        <v>308</v>
      </c>
      <c r="G21" s="265" t="s">
        <v>309</v>
      </c>
      <c r="H21" s="266">
        <v>4.5019999999999998E-2</v>
      </c>
      <c r="I21" s="265" t="s">
        <v>297</v>
      </c>
      <c r="J21" s="265" t="s">
        <v>8</v>
      </c>
      <c r="K21" s="270" t="s">
        <v>147</v>
      </c>
      <c r="L21" s="264" t="s">
        <v>148</v>
      </c>
      <c r="M21" s="265" t="s">
        <v>112</v>
      </c>
      <c r="N21" s="268" t="s">
        <v>113</v>
      </c>
      <c r="O21" s="265" t="s">
        <v>149</v>
      </c>
      <c r="P21" s="271" t="s">
        <v>115</v>
      </c>
      <c r="Q21" s="265" t="s">
        <v>331</v>
      </c>
      <c r="R21" s="267" t="s">
        <v>332</v>
      </c>
      <c r="S21" s="267" t="s">
        <v>117</v>
      </c>
      <c r="T21" s="269" t="s">
        <v>117</v>
      </c>
      <c r="U21" s="62"/>
    </row>
    <row r="22" spans="1:21" s="63" customFormat="1" x14ac:dyDescent="0.2">
      <c r="A22" s="68" t="str">
        <f t="shared" si="0"/>
        <v>16STL GALVR</v>
      </c>
      <c r="B22" s="58"/>
      <c r="C22" s="69"/>
      <c r="D22" s="264" t="s">
        <v>314</v>
      </c>
      <c r="E22" s="264">
        <v>16</v>
      </c>
      <c r="F22" s="265" t="s">
        <v>305</v>
      </c>
      <c r="G22" s="265" t="s">
        <v>306</v>
      </c>
      <c r="H22" s="266">
        <v>5.602E-2</v>
      </c>
      <c r="I22" s="265" t="s">
        <v>297</v>
      </c>
      <c r="J22" s="265" t="s">
        <v>8</v>
      </c>
      <c r="K22" s="270" t="s">
        <v>150</v>
      </c>
      <c r="L22" s="264" t="s">
        <v>151</v>
      </c>
      <c r="M22" s="265" t="s">
        <v>112</v>
      </c>
      <c r="N22" s="268" t="s">
        <v>113</v>
      </c>
      <c r="O22" s="265" t="s">
        <v>152</v>
      </c>
      <c r="P22" s="271" t="s">
        <v>115</v>
      </c>
      <c r="Q22" s="265" t="s">
        <v>333</v>
      </c>
      <c r="R22" s="267" t="s">
        <v>334</v>
      </c>
      <c r="S22" s="267" t="s">
        <v>117</v>
      </c>
      <c r="T22" s="269" t="s">
        <v>117</v>
      </c>
      <c r="U22" s="62"/>
    </row>
    <row r="23" spans="1:21" s="63" customFormat="1" x14ac:dyDescent="0.2">
      <c r="A23" s="68" t="str">
        <f t="shared" si="0"/>
        <v>14STL GALV PPG</v>
      </c>
      <c r="B23" s="58"/>
      <c r="C23" s="69"/>
      <c r="D23" s="264" t="s">
        <v>335</v>
      </c>
      <c r="E23" s="264">
        <v>14</v>
      </c>
      <c r="F23" s="265" t="s">
        <v>303</v>
      </c>
      <c r="G23" s="265" t="s">
        <v>304</v>
      </c>
      <c r="H23" s="266">
        <v>7.0029999999999995E-2</v>
      </c>
      <c r="I23" s="265" t="s">
        <v>8</v>
      </c>
      <c r="J23" s="265" t="s">
        <v>300</v>
      </c>
      <c r="K23" s="265" t="s">
        <v>336</v>
      </c>
      <c r="L23" s="264" t="s">
        <v>337</v>
      </c>
      <c r="M23" s="265" t="s">
        <v>338</v>
      </c>
      <c r="N23" s="267" t="s">
        <v>339</v>
      </c>
      <c r="O23" s="265" t="s">
        <v>340</v>
      </c>
      <c r="P23" s="265" t="s">
        <v>115</v>
      </c>
      <c r="Q23" s="265" t="s">
        <v>341</v>
      </c>
      <c r="R23" s="267" t="s">
        <v>342</v>
      </c>
      <c r="S23" s="265" t="s">
        <v>343</v>
      </c>
      <c r="T23" s="274" t="s">
        <v>117</v>
      </c>
      <c r="U23" s="62"/>
    </row>
    <row r="24" spans="1:21" s="63" customFormat="1" x14ac:dyDescent="0.2">
      <c r="A24" s="68" t="str">
        <f t="shared" si="0"/>
        <v>16STL GALV PPG</v>
      </c>
      <c r="B24" s="58"/>
      <c r="C24" s="69"/>
      <c r="D24" s="264" t="s">
        <v>335</v>
      </c>
      <c r="E24" s="264">
        <v>16</v>
      </c>
      <c r="F24" s="265" t="s">
        <v>305</v>
      </c>
      <c r="G24" s="265" t="s">
        <v>306</v>
      </c>
      <c r="H24" s="266">
        <v>5.6030000000000003E-2</v>
      </c>
      <c r="I24" s="265" t="s">
        <v>8</v>
      </c>
      <c r="J24" s="265" t="s">
        <v>300</v>
      </c>
      <c r="K24" s="265" t="s">
        <v>344</v>
      </c>
      <c r="L24" s="264" t="s">
        <v>345</v>
      </c>
      <c r="M24" s="275" t="s">
        <v>338</v>
      </c>
      <c r="N24" s="267" t="s">
        <v>339</v>
      </c>
      <c r="O24" s="265" t="s">
        <v>340</v>
      </c>
      <c r="P24" s="265" t="s">
        <v>115</v>
      </c>
      <c r="Q24" s="265" t="s">
        <v>341</v>
      </c>
      <c r="R24" s="267" t="s">
        <v>346</v>
      </c>
      <c r="S24" s="265" t="s">
        <v>343</v>
      </c>
      <c r="T24" s="274" t="s">
        <v>117</v>
      </c>
      <c r="U24" s="62"/>
    </row>
    <row r="25" spans="1:21" s="63" customFormat="1" x14ac:dyDescent="0.2">
      <c r="A25" s="68" t="str">
        <f t="shared" si="0"/>
        <v>16STL GALV PPC</v>
      </c>
      <c r="B25" s="58"/>
      <c r="C25" s="69"/>
      <c r="D25" s="264" t="s">
        <v>335</v>
      </c>
      <c r="E25" s="264">
        <v>16</v>
      </c>
      <c r="F25" s="265" t="s">
        <v>305</v>
      </c>
      <c r="G25" s="265" t="s">
        <v>306</v>
      </c>
      <c r="H25" s="266">
        <v>5.604E-2</v>
      </c>
      <c r="I25" s="265" t="s">
        <v>8</v>
      </c>
      <c r="J25" s="265" t="s">
        <v>300</v>
      </c>
      <c r="K25" s="265" t="s">
        <v>347</v>
      </c>
      <c r="L25" s="264" t="s">
        <v>348</v>
      </c>
      <c r="M25" s="265" t="s">
        <v>338</v>
      </c>
      <c r="N25" s="267" t="s">
        <v>339</v>
      </c>
      <c r="O25" s="271" t="s">
        <v>340</v>
      </c>
      <c r="P25" s="265" t="s">
        <v>115</v>
      </c>
      <c r="Q25" s="265" t="s">
        <v>349</v>
      </c>
      <c r="R25" s="267" t="s">
        <v>350</v>
      </c>
      <c r="S25" s="265" t="s">
        <v>351</v>
      </c>
      <c r="T25" s="274" t="s">
        <v>117</v>
      </c>
      <c r="U25" s="62"/>
    </row>
    <row r="26" spans="1:21" s="63" customFormat="1" x14ac:dyDescent="0.2">
      <c r="A26" s="68" t="str">
        <f t="shared" si="0"/>
        <v>18STL GALV PPW</v>
      </c>
      <c r="B26" s="58"/>
      <c r="C26" s="69"/>
      <c r="D26" s="264" t="s">
        <v>335</v>
      </c>
      <c r="E26" s="264">
        <v>18</v>
      </c>
      <c r="F26" s="265" t="s">
        <v>308</v>
      </c>
      <c r="G26" s="265" t="s">
        <v>309</v>
      </c>
      <c r="H26" s="266">
        <v>4.5030000000000001E-2</v>
      </c>
      <c r="I26" s="265" t="s">
        <v>8</v>
      </c>
      <c r="J26" s="265" t="s">
        <v>300</v>
      </c>
      <c r="K26" s="265" t="s">
        <v>352</v>
      </c>
      <c r="L26" s="264" t="s">
        <v>353</v>
      </c>
      <c r="M26" s="265" t="s">
        <v>338</v>
      </c>
      <c r="N26" s="267" t="s">
        <v>339</v>
      </c>
      <c r="O26" s="265" t="s">
        <v>340</v>
      </c>
      <c r="P26" s="265" t="s">
        <v>115</v>
      </c>
      <c r="Q26" s="265" t="s">
        <v>354</v>
      </c>
      <c r="R26" s="267" t="s">
        <v>355</v>
      </c>
      <c r="S26" s="265" t="s">
        <v>356</v>
      </c>
      <c r="T26" s="274" t="s">
        <v>117</v>
      </c>
      <c r="U26" s="62"/>
    </row>
    <row r="27" spans="1:21" s="63" customFormat="1" x14ac:dyDescent="0.2">
      <c r="A27" s="68" t="str">
        <f t="shared" si="0"/>
        <v>18STL GALV PPC</v>
      </c>
      <c r="B27" s="58"/>
      <c r="C27" s="69"/>
      <c r="D27" s="264" t="s">
        <v>335</v>
      </c>
      <c r="E27" s="264">
        <v>18</v>
      </c>
      <c r="F27" s="265" t="s">
        <v>308</v>
      </c>
      <c r="G27" s="265" t="s">
        <v>309</v>
      </c>
      <c r="H27" s="266">
        <v>4.5039999999999997E-2</v>
      </c>
      <c r="I27" s="265" t="s">
        <v>8</v>
      </c>
      <c r="J27" s="265" t="s">
        <v>300</v>
      </c>
      <c r="K27" s="265" t="s">
        <v>357</v>
      </c>
      <c r="L27" s="264" t="s">
        <v>358</v>
      </c>
      <c r="M27" s="265" t="s">
        <v>338</v>
      </c>
      <c r="N27" s="267" t="s">
        <v>339</v>
      </c>
      <c r="O27" s="265" t="s">
        <v>340</v>
      </c>
      <c r="P27" s="265" t="s">
        <v>115</v>
      </c>
      <c r="Q27" s="265" t="s">
        <v>349</v>
      </c>
      <c r="R27" s="267" t="s">
        <v>359</v>
      </c>
      <c r="S27" s="265" t="s">
        <v>351</v>
      </c>
      <c r="T27" s="274" t="s">
        <v>117</v>
      </c>
      <c r="U27" s="62"/>
    </row>
    <row r="28" spans="1:21" s="63" customFormat="1" x14ac:dyDescent="0.2">
      <c r="A28" s="68" t="str">
        <f t="shared" si="0"/>
        <v>10STL HOT ROLL</v>
      </c>
      <c r="B28" s="58"/>
      <c r="C28" s="69"/>
      <c r="D28" s="263" t="s">
        <v>360</v>
      </c>
      <c r="E28" s="263" t="s">
        <v>126</v>
      </c>
      <c r="F28" s="276" t="s">
        <v>361</v>
      </c>
      <c r="G28" s="276" t="s">
        <v>361</v>
      </c>
      <c r="H28" s="272">
        <v>0.12701000000000001</v>
      </c>
      <c r="I28" s="271" t="s">
        <v>8</v>
      </c>
      <c r="J28" s="265" t="s">
        <v>300</v>
      </c>
      <c r="K28" s="265" t="s">
        <v>362</v>
      </c>
      <c r="L28" s="264" t="s">
        <v>363</v>
      </c>
      <c r="M28" s="265" t="s">
        <v>364</v>
      </c>
      <c r="N28" s="267" t="s">
        <v>8</v>
      </c>
      <c r="O28" s="265" t="s">
        <v>114</v>
      </c>
      <c r="P28" s="265" t="s">
        <v>115</v>
      </c>
      <c r="Q28" s="271" t="s">
        <v>1160</v>
      </c>
      <c r="R28" s="273" t="s">
        <v>365</v>
      </c>
      <c r="S28" s="265" t="s">
        <v>366</v>
      </c>
      <c r="T28" s="274" t="s">
        <v>117</v>
      </c>
      <c r="U28" s="62"/>
    </row>
    <row r="29" spans="1:21" s="63" customFormat="1" x14ac:dyDescent="0.2">
      <c r="A29" s="68" t="str">
        <f t="shared" si="0"/>
        <v>11STL HOT ROLL</v>
      </c>
      <c r="B29" s="58"/>
      <c r="C29" s="69"/>
      <c r="D29" s="263" t="s">
        <v>360</v>
      </c>
      <c r="E29" s="263" t="s">
        <v>367</v>
      </c>
      <c r="F29" s="276" t="s">
        <v>368</v>
      </c>
      <c r="G29" s="276" t="s">
        <v>368</v>
      </c>
      <c r="H29" s="272">
        <v>0.11201</v>
      </c>
      <c r="I29" s="271" t="s">
        <v>8</v>
      </c>
      <c r="J29" s="265" t="s">
        <v>300</v>
      </c>
      <c r="K29" s="265" t="s">
        <v>369</v>
      </c>
      <c r="L29" s="264" t="s">
        <v>370</v>
      </c>
      <c r="M29" s="265" t="s">
        <v>364</v>
      </c>
      <c r="N29" s="267" t="s">
        <v>8</v>
      </c>
      <c r="O29" s="265" t="s">
        <v>371</v>
      </c>
      <c r="P29" s="265" t="s">
        <v>115</v>
      </c>
      <c r="Q29" s="271" t="s">
        <v>1160</v>
      </c>
      <c r="R29" s="273" t="s">
        <v>372</v>
      </c>
      <c r="S29" s="265" t="s">
        <v>366</v>
      </c>
      <c r="T29" s="274" t="s">
        <v>117</v>
      </c>
      <c r="U29" s="62"/>
    </row>
    <row r="30" spans="1:21" s="63" customFormat="1" x14ac:dyDescent="0.2">
      <c r="A30" s="68" t="str">
        <f t="shared" si="0"/>
        <v>12STL HOT ROLL</v>
      </c>
      <c r="B30" s="58"/>
      <c r="C30" s="69"/>
      <c r="D30" s="263" t="s">
        <v>360</v>
      </c>
      <c r="E30" s="263" t="s">
        <v>130</v>
      </c>
      <c r="F30" s="271" t="s">
        <v>302</v>
      </c>
      <c r="G30" s="271" t="s">
        <v>302</v>
      </c>
      <c r="H30" s="272">
        <v>9.7040000000000001E-2</v>
      </c>
      <c r="I30" s="271" t="s">
        <v>8</v>
      </c>
      <c r="J30" s="265" t="s">
        <v>300</v>
      </c>
      <c r="K30" s="265" t="s">
        <v>373</v>
      </c>
      <c r="L30" s="264" t="s">
        <v>374</v>
      </c>
      <c r="M30" s="265" t="s">
        <v>364</v>
      </c>
      <c r="N30" s="267" t="s">
        <v>8</v>
      </c>
      <c r="O30" s="265" t="s">
        <v>371</v>
      </c>
      <c r="P30" s="265" t="s">
        <v>115</v>
      </c>
      <c r="Q30" s="265" t="s">
        <v>1160</v>
      </c>
      <c r="R30" s="273" t="s">
        <v>375</v>
      </c>
      <c r="S30" s="265" t="s">
        <v>366</v>
      </c>
      <c r="T30" s="274" t="s">
        <v>117</v>
      </c>
      <c r="U30" s="62"/>
    </row>
    <row r="31" spans="1:21" s="63" customFormat="1" x14ac:dyDescent="0.2">
      <c r="A31" s="68" t="str">
        <f t="shared" si="0"/>
        <v>14STL HOT ROLL</v>
      </c>
      <c r="B31" s="58"/>
      <c r="C31" s="69"/>
      <c r="D31" s="263" t="s">
        <v>360</v>
      </c>
      <c r="E31" s="263" t="s">
        <v>133</v>
      </c>
      <c r="F31" s="276" t="s">
        <v>376</v>
      </c>
      <c r="G31" s="276" t="s">
        <v>376</v>
      </c>
      <c r="H31" s="272">
        <v>6.8010000000000001E-2</v>
      </c>
      <c r="I31" s="271" t="s">
        <v>8</v>
      </c>
      <c r="J31" s="265" t="s">
        <v>300</v>
      </c>
      <c r="K31" s="265" t="s">
        <v>377</v>
      </c>
      <c r="L31" s="264" t="s">
        <v>378</v>
      </c>
      <c r="M31" s="265" t="s">
        <v>364</v>
      </c>
      <c r="N31" s="267" t="s">
        <v>8</v>
      </c>
      <c r="O31" s="265" t="s">
        <v>188</v>
      </c>
      <c r="P31" s="265" t="s">
        <v>115</v>
      </c>
      <c r="Q31" s="271" t="s">
        <v>1160</v>
      </c>
      <c r="R31" s="273" t="s">
        <v>379</v>
      </c>
      <c r="S31" s="265" t="s">
        <v>366</v>
      </c>
      <c r="T31" s="274" t="s">
        <v>117</v>
      </c>
      <c r="U31" s="62"/>
    </row>
    <row r="32" spans="1:21" s="63" customFormat="1" x14ac:dyDescent="0.2">
      <c r="A32" s="68" t="str">
        <f t="shared" si="0"/>
        <v>20ALM SHT</v>
      </c>
      <c r="B32" s="58"/>
      <c r="C32" s="69"/>
      <c r="D32" s="264" t="s">
        <v>380</v>
      </c>
      <c r="E32" s="264" t="s">
        <v>182</v>
      </c>
      <c r="F32" s="265" t="s">
        <v>381</v>
      </c>
      <c r="G32" s="265" t="s">
        <v>381</v>
      </c>
      <c r="H32" s="266">
        <v>4.0009999999999997E-2</v>
      </c>
      <c r="I32" s="265" t="s">
        <v>8</v>
      </c>
      <c r="J32" s="265" t="s">
        <v>300</v>
      </c>
      <c r="K32" s="277" t="s">
        <v>382</v>
      </c>
      <c r="L32" s="278" t="s">
        <v>383</v>
      </c>
      <c r="M32" s="265" t="s">
        <v>384</v>
      </c>
      <c r="N32" s="267" t="s">
        <v>1161</v>
      </c>
      <c r="O32" s="265" t="s">
        <v>385</v>
      </c>
      <c r="P32" s="271" t="s">
        <v>115</v>
      </c>
      <c r="Q32" s="265" t="s">
        <v>1162</v>
      </c>
      <c r="R32" s="265" t="s">
        <v>386</v>
      </c>
      <c r="S32" s="265" t="s">
        <v>117</v>
      </c>
      <c r="T32" s="274" t="s">
        <v>117</v>
      </c>
      <c r="U32" s="62"/>
    </row>
    <row r="33" spans="1:21" s="63" customFormat="1" x14ac:dyDescent="0.2">
      <c r="A33" s="68" t="str">
        <f t="shared" si="0"/>
        <v>18ALM SHT</v>
      </c>
      <c r="B33" s="58"/>
      <c r="C33" s="69"/>
      <c r="D33" s="264" t="s">
        <v>380</v>
      </c>
      <c r="E33" s="264" t="s">
        <v>179</v>
      </c>
      <c r="F33" s="265" t="s">
        <v>387</v>
      </c>
      <c r="G33" s="265" t="s">
        <v>387</v>
      </c>
      <c r="H33" s="266">
        <v>5.0029999999999998E-2</v>
      </c>
      <c r="I33" s="265" t="s">
        <v>8</v>
      </c>
      <c r="J33" s="265" t="s">
        <v>300</v>
      </c>
      <c r="K33" s="277" t="s">
        <v>388</v>
      </c>
      <c r="L33" s="278" t="s">
        <v>389</v>
      </c>
      <c r="M33" s="265" t="s">
        <v>384</v>
      </c>
      <c r="N33" s="267" t="s">
        <v>1161</v>
      </c>
      <c r="O33" s="265" t="s">
        <v>385</v>
      </c>
      <c r="P33" s="271" t="s">
        <v>115</v>
      </c>
      <c r="Q33" s="265" t="s">
        <v>1162</v>
      </c>
      <c r="R33" s="265" t="s">
        <v>390</v>
      </c>
      <c r="S33" s="265" t="s">
        <v>117</v>
      </c>
      <c r="T33" s="274" t="s">
        <v>117</v>
      </c>
      <c r="U33" s="62"/>
    </row>
    <row r="34" spans="1:21" s="63" customFormat="1" x14ac:dyDescent="0.2">
      <c r="A34" s="68" t="str">
        <f t="shared" si="0"/>
        <v>16ALM SHT</v>
      </c>
      <c r="B34" s="58"/>
      <c r="C34" s="69"/>
      <c r="D34" s="264" t="s">
        <v>380</v>
      </c>
      <c r="E34" s="264" t="s">
        <v>175</v>
      </c>
      <c r="F34" s="265" t="s">
        <v>391</v>
      </c>
      <c r="G34" s="265" t="s">
        <v>391</v>
      </c>
      <c r="H34" s="266">
        <v>6.3009999999999997E-2</v>
      </c>
      <c r="I34" s="265" t="s">
        <v>8</v>
      </c>
      <c r="J34" s="265" t="s">
        <v>300</v>
      </c>
      <c r="K34" s="277" t="s">
        <v>392</v>
      </c>
      <c r="L34" s="278" t="s">
        <v>393</v>
      </c>
      <c r="M34" s="265" t="s">
        <v>384</v>
      </c>
      <c r="N34" s="267" t="s">
        <v>1161</v>
      </c>
      <c r="O34" s="265" t="s">
        <v>385</v>
      </c>
      <c r="P34" s="265" t="s">
        <v>115</v>
      </c>
      <c r="Q34" s="265" t="s">
        <v>1162</v>
      </c>
      <c r="R34" s="265" t="s">
        <v>394</v>
      </c>
      <c r="S34" s="265" t="s">
        <v>117</v>
      </c>
      <c r="T34" s="274" t="s">
        <v>117</v>
      </c>
      <c r="U34" s="62"/>
    </row>
    <row r="35" spans="1:21" s="63" customFormat="1" x14ac:dyDescent="0.2">
      <c r="A35" s="68" t="str">
        <f t="shared" si="0"/>
        <v>14ALM SHT</v>
      </c>
      <c r="B35" s="58"/>
      <c r="C35" s="69"/>
      <c r="D35" s="264" t="s">
        <v>380</v>
      </c>
      <c r="E35" s="264" t="s">
        <v>133</v>
      </c>
      <c r="F35" s="265" t="s">
        <v>395</v>
      </c>
      <c r="G35" s="265" t="s">
        <v>395</v>
      </c>
      <c r="H35" s="266">
        <v>8.0009999999999998E-2</v>
      </c>
      <c r="I35" s="265" t="s">
        <v>8</v>
      </c>
      <c r="J35" s="265" t="s">
        <v>300</v>
      </c>
      <c r="K35" s="277" t="s">
        <v>396</v>
      </c>
      <c r="L35" s="278" t="s">
        <v>397</v>
      </c>
      <c r="M35" s="265" t="s">
        <v>384</v>
      </c>
      <c r="N35" s="267" t="s">
        <v>1161</v>
      </c>
      <c r="O35" s="265" t="s">
        <v>385</v>
      </c>
      <c r="P35" s="265" t="s">
        <v>115</v>
      </c>
      <c r="Q35" s="265" t="s">
        <v>1162</v>
      </c>
      <c r="R35" s="265" t="s">
        <v>398</v>
      </c>
      <c r="S35" s="265" t="s">
        <v>117</v>
      </c>
      <c r="T35" s="274" t="s">
        <v>117</v>
      </c>
      <c r="U35" s="62"/>
    </row>
    <row r="36" spans="1:21" s="63" customFormat="1" x14ac:dyDescent="0.2">
      <c r="A36" s="68" t="str">
        <f t="shared" si="0"/>
        <v>10ALM SHT</v>
      </c>
      <c r="B36" s="58"/>
      <c r="C36" s="69"/>
      <c r="D36" s="264" t="s">
        <v>380</v>
      </c>
      <c r="E36" s="264" t="s">
        <v>126</v>
      </c>
      <c r="F36" s="265" t="s">
        <v>298</v>
      </c>
      <c r="G36" s="265" t="s">
        <v>298</v>
      </c>
      <c r="H36" s="266">
        <v>0.12501000000000001</v>
      </c>
      <c r="I36" s="265" t="s">
        <v>8</v>
      </c>
      <c r="J36" s="265" t="s">
        <v>300</v>
      </c>
      <c r="K36" s="277" t="s">
        <v>399</v>
      </c>
      <c r="L36" s="278" t="s">
        <v>400</v>
      </c>
      <c r="M36" s="265" t="s">
        <v>384</v>
      </c>
      <c r="N36" s="267" t="s">
        <v>1161</v>
      </c>
      <c r="O36" s="265" t="s">
        <v>385</v>
      </c>
      <c r="P36" s="265" t="s">
        <v>115</v>
      </c>
      <c r="Q36" s="265" t="s">
        <v>1162</v>
      </c>
      <c r="R36" s="265" t="s">
        <v>401</v>
      </c>
      <c r="S36" s="265" t="s">
        <v>117</v>
      </c>
      <c r="T36" s="274" t="s">
        <v>117</v>
      </c>
      <c r="U36" s="62"/>
    </row>
    <row r="37" spans="1:21" s="63" customFormat="1" x14ac:dyDescent="0.2">
      <c r="A37" s="68" t="str">
        <f t="shared" si="0"/>
        <v>8ALM SHT</v>
      </c>
      <c r="B37" s="58"/>
      <c r="C37" s="69"/>
      <c r="D37" s="264" t="s">
        <v>380</v>
      </c>
      <c r="E37" s="264" t="s">
        <v>153</v>
      </c>
      <c r="F37" s="265" t="s">
        <v>402</v>
      </c>
      <c r="G37" s="265" t="s">
        <v>402</v>
      </c>
      <c r="H37" s="266">
        <v>0.19001000000000001</v>
      </c>
      <c r="I37" s="265" t="s">
        <v>8</v>
      </c>
      <c r="J37" s="265" t="s">
        <v>300</v>
      </c>
      <c r="K37" s="277" t="s">
        <v>403</v>
      </c>
      <c r="L37" s="278" t="s">
        <v>404</v>
      </c>
      <c r="M37" s="265" t="s">
        <v>384</v>
      </c>
      <c r="N37" s="267" t="s">
        <v>1161</v>
      </c>
      <c r="O37" s="265" t="s">
        <v>385</v>
      </c>
      <c r="P37" s="265" t="s">
        <v>115</v>
      </c>
      <c r="Q37" s="265" t="s">
        <v>1162</v>
      </c>
      <c r="R37" s="265" t="s">
        <v>405</v>
      </c>
      <c r="S37" s="265" t="s">
        <v>117</v>
      </c>
      <c r="T37" s="274" t="s">
        <v>117</v>
      </c>
      <c r="U37" s="62"/>
    </row>
    <row r="38" spans="1:21" s="63" customFormat="1" x14ac:dyDescent="0.2">
      <c r="A38" s="68" t="str">
        <f t="shared" si="0"/>
        <v>8SST304</v>
      </c>
      <c r="B38" s="58"/>
      <c r="C38" s="69"/>
      <c r="D38" s="264" t="s">
        <v>406</v>
      </c>
      <c r="E38" s="264" t="s">
        <v>153</v>
      </c>
      <c r="F38" s="265" t="s">
        <v>407</v>
      </c>
      <c r="G38" s="265" t="s">
        <v>407</v>
      </c>
      <c r="H38" s="266">
        <v>0.16500999999999999</v>
      </c>
      <c r="I38" s="265" t="s">
        <v>117</v>
      </c>
      <c r="J38" s="265" t="s">
        <v>117</v>
      </c>
      <c r="K38" s="267" t="s">
        <v>154</v>
      </c>
      <c r="L38" s="264" t="s">
        <v>159</v>
      </c>
      <c r="M38" s="265" t="s">
        <v>155</v>
      </c>
      <c r="N38" s="270" t="s">
        <v>156</v>
      </c>
      <c r="O38" s="265" t="s">
        <v>114</v>
      </c>
      <c r="P38" s="265" t="s">
        <v>115</v>
      </c>
      <c r="Q38" s="265" t="s">
        <v>408</v>
      </c>
      <c r="R38" s="267" t="s">
        <v>157</v>
      </c>
      <c r="S38" s="267" t="s">
        <v>117</v>
      </c>
      <c r="T38" s="269" t="s">
        <v>117</v>
      </c>
      <c r="U38" s="62"/>
    </row>
    <row r="39" spans="1:21" s="63" customFormat="1" x14ac:dyDescent="0.2">
      <c r="A39" s="68" t="str">
        <f t="shared" si="0"/>
        <v>10SST304</v>
      </c>
      <c r="B39" s="58"/>
      <c r="C39" s="69"/>
      <c r="D39" s="263" t="s">
        <v>406</v>
      </c>
      <c r="E39" s="264" t="s">
        <v>126</v>
      </c>
      <c r="F39" s="265" t="s">
        <v>409</v>
      </c>
      <c r="G39" s="265" t="s">
        <v>409</v>
      </c>
      <c r="H39" s="266">
        <v>0.13500999999999999</v>
      </c>
      <c r="I39" s="265" t="s">
        <v>297</v>
      </c>
      <c r="J39" s="265" t="s">
        <v>300</v>
      </c>
      <c r="K39" s="267" t="s">
        <v>158</v>
      </c>
      <c r="L39" s="264" t="s">
        <v>159</v>
      </c>
      <c r="M39" s="265" t="s">
        <v>155</v>
      </c>
      <c r="N39" s="270" t="s">
        <v>156</v>
      </c>
      <c r="O39" s="265" t="s">
        <v>114</v>
      </c>
      <c r="P39" s="265" t="s">
        <v>115</v>
      </c>
      <c r="Q39" s="265" t="s">
        <v>408</v>
      </c>
      <c r="R39" s="267" t="s">
        <v>160</v>
      </c>
      <c r="S39" s="267" t="s">
        <v>117</v>
      </c>
      <c r="T39" s="269" t="s">
        <v>117</v>
      </c>
      <c r="U39" s="62"/>
    </row>
    <row r="40" spans="1:21" s="63" customFormat="1" x14ac:dyDescent="0.2">
      <c r="A40" s="68" t="str">
        <f t="shared" si="0"/>
        <v>12SST304</v>
      </c>
      <c r="B40" s="58"/>
      <c r="C40" s="69"/>
      <c r="D40" s="263" t="s">
        <v>406</v>
      </c>
      <c r="E40" s="264" t="s">
        <v>130</v>
      </c>
      <c r="F40" s="265" t="s">
        <v>410</v>
      </c>
      <c r="G40" s="265" t="s">
        <v>410</v>
      </c>
      <c r="H40" s="266">
        <v>0.10501000000000001</v>
      </c>
      <c r="I40" s="265" t="s">
        <v>297</v>
      </c>
      <c r="J40" s="265" t="s">
        <v>300</v>
      </c>
      <c r="K40" s="267" t="s">
        <v>161</v>
      </c>
      <c r="L40" s="264" t="s">
        <v>159</v>
      </c>
      <c r="M40" s="265" t="s">
        <v>155</v>
      </c>
      <c r="N40" s="270" t="s">
        <v>156</v>
      </c>
      <c r="O40" s="265" t="s">
        <v>121</v>
      </c>
      <c r="P40" s="265" t="s">
        <v>115</v>
      </c>
      <c r="Q40" s="265" t="s">
        <v>408</v>
      </c>
      <c r="R40" s="267" t="s">
        <v>162</v>
      </c>
      <c r="S40" s="267" t="s">
        <v>117</v>
      </c>
      <c r="T40" s="269" t="s">
        <v>117</v>
      </c>
      <c r="U40" s="62"/>
    </row>
    <row r="41" spans="1:21" s="63" customFormat="1" x14ac:dyDescent="0.2">
      <c r="A41" s="68" t="str">
        <f t="shared" si="0"/>
        <v>14SST304</v>
      </c>
      <c r="B41" s="58"/>
      <c r="C41" s="69"/>
      <c r="D41" s="263" t="s">
        <v>406</v>
      </c>
      <c r="E41" s="264">
        <v>14</v>
      </c>
      <c r="F41" s="265" t="s">
        <v>411</v>
      </c>
      <c r="G41" s="265" t="s">
        <v>411</v>
      </c>
      <c r="H41" s="266">
        <v>7.5009999999999993E-2</v>
      </c>
      <c r="I41" s="265" t="s">
        <v>297</v>
      </c>
      <c r="J41" s="265" t="s">
        <v>300</v>
      </c>
      <c r="K41" s="267" t="s">
        <v>163</v>
      </c>
      <c r="L41" s="264" t="s">
        <v>159</v>
      </c>
      <c r="M41" s="265" t="s">
        <v>155</v>
      </c>
      <c r="N41" s="270" t="s">
        <v>156</v>
      </c>
      <c r="O41" s="265" t="s">
        <v>121</v>
      </c>
      <c r="P41" s="265" t="s">
        <v>115</v>
      </c>
      <c r="Q41" s="265" t="s">
        <v>408</v>
      </c>
      <c r="R41" s="267" t="s">
        <v>164</v>
      </c>
      <c r="S41" s="267" t="s">
        <v>117</v>
      </c>
      <c r="T41" s="269" t="s">
        <v>117</v>
      </c>
      <c r="U41" s="62"/>
    </row>
    <row r="42" spans="1:21" s="63" customFormat="1" x14ac:dyDescent="0.2">
      <c r="A42" s="68" t="str">
        <f t="shared" si="0"/>
        <v>16SST304</v>
      </c>
      <c r="B42" s="58"/>
      <c r="C42" s="69"/>
      <c r="D42" s="263" t="s">
        <v>406</v>
      </c>
      <c r="E42" s="264">
        <v>16</v>
      </c>
      <c r="F42" s="265" t="s">
        <v>412</v>
      </c>
      <c r="G42" s="265" t="s">
        <v>412</v>
      </c>
      <c r="H42" s="266">
        <v>6.0010000000000001E-2</v>
      </c>
      <c r="I42" s="265" t="s">
        <v>297</v>
      </c>
      <c r="J42" s="265" t="s">
        <v>300</v>
      </c>
      <c r="K42" s="267" t="s">
        <v>165</v>
      </c>
      <c r="L42" s="264" t="s">
        <v>159</v>
      </c>
      <c r="M42" s="265" t="s">
        <v>155</v>
      </c>
      <c r="N42" s="270" t="s">
        <v>156</v>
      </c>
      <c r="O42" s="265" t="s">
        <v>121</v>
      </c>
      <c r="P42" s="265" t="s">
        <v>115</v>
      </c>
      <c r="Q42" s="265" t="s">
        <v>408</v>
      </c>
      <c r="R42" s="267" t="s">
        <v>166</v>
      </c>
      <c r="S42" s="267" t="s">
        <v>117</v>
      </c>
      <c r="T42" s="269" t="s">
        <v>117</v>
      </c>
      <c r="U42" s="62"/>
    </row>
    <row r="43" spans="1:21" s="63" customFormat="1" x14ac:dyDescent="0.2">
      <c r="A43" s="68" t="str">
        <f t="shared" si="0"/>
        <v>18SST304</v>
      </c>
      <c r="B43" s="58"/>
      <c r="C43" s="69"/>
      <c r="D43" s="263" t="s">
        <v>406</v>
      </c>
      <c r="E43" s="264">
        <v>18</v>
      </c>
      <c r="F43" s="265" t="s">
        <v>413</v>
      </c>
      <c r="G43" s="265" t="s">
        <v>413</v>
      </c>
      <c r="H43" s="266">
        <v>4.8009999999999997E-2</v>
      </c>
      <c r="I43" s="265" t="s">
        <v>297</v>
      </c>
      <c r="J43" s="265" t="s">
        <v>300</v>
      </c>
      <c r="K43" s="267" t="s">
        <v>167</v>
      </c>
      <c r="L43" s="264" t="s">
        <v>159</v>
      </c>
      <c r="M43" s="265" t="s">
        <v>155</v>
      </c>
      <c r="N43" s="270" t="s">
        <v>156</v>
      </c>
      <c r="O43" s="265" t="s">
        <v>121</v>
      </c>
      <c r="P43" s="265" t="s">
        <v>115</v>
      </c>
      <c r="Q43" s="265" t="s">
        <v>408</v>
      </c>
      <c r="R43" s="267" t="s">
        <v>168</v>
      </c>
      <c r="S43" s="267" t="s">
        <v>117</v>
      </c>
      <c r="T43" s="269" t="s">
        <v>117</v>
      </c>
      <c r="U43" s="62"/>
    </row>
    <row r="44" spans="1:21" s="63" customFormat="1" x14ac:dyDescent="0.2">
      <c r="A44" s="68" t="str">
        <f t="shared" si="0"/>
        <v>20SST304</v>
      </c>
      <c r="B44" s="58"/>
      <c r="C44" s="69"/>
      <c r="D44" s="263" t="s">
        <v>406</v>
      </c>
      <c r="E44" s="264">
        <v>20</v>
      </c>
      <c r="F44" s="265" t="s">
        <v>414</v>
      </c>
      <c r="G44" s="265" t="s">
        <v>414</v>
      </c>
      <c r="H44" s="266">
        <v>3.5009999999999999E-2</v>
      </c>
      <c r="I44" s="265" t="s">
        <v>297</v>
      </c>
      <c r="J44" s="265" t="s">
        <v>300</v>
      </c>
      <c r="K44" s="267" t="s">
        <v>169</v>
      </c>
      <c r="L44" s="264" t="s">
        <v>159</v>
      </c>
      <c r="M44" s="265" t="s">
        <v>155</v>
      </c>
      <c r="N44" s="270" t="s">
        <v>156</v>
      </c>
      <c r="O44" s="265" t="s">
        <v>121</v>
      </c>
      <c r="P44" s="265" t="s">
        <v>115</v>
      </c>
      <c r="Q44" s="265" t="s">
        <v>408</v>
      </c>
      <c r="R44" s="267" t="s">
        <v>170</v>
      </c>
      <c r="S44" s="267" t="s">
        <v>117</v>
      </c>
      <c r="T44" s="269" t="s">
        <v>117</v>
      </c>
      <c r="U44" s="62"/>
    </row>
    <row r="45" spans="1:21" s="63" customFormat="1" x14ac:dyDescent="0.2">
      <c r="A45" s="68" t="str">
        <f t="shared" si="0"/>
        <v>22SST304</v>
      </c>
      <c r="B45" s="58"/>
      <c r="C45" s="69"/>
      <c r="D45" s="263" t="s">
        <v>406</v>
      </c>
      <c r="E45" s="264" t="s">
        <v>141</v>
      </c>
      <c r="F45" s="265" t="s">
        <v>415</v>
      </c>
      <c r="G45" s="265" t="s">
        <v>415</v>
      </c>
      <c r="H45" s="266">
        <v>2.9010000000000001E-2</v>
      </c>
      <c r="I45" s="265" t="s">
        <v>8</v>
      </c>
      <c r="J45" s="265" t="s">
        <v>300</v>
      </c>
      <c r="K45" s="267" t="s">
        <v>171</v>
      </c>
      <c r="L45" s="264" t="s">
        <v>159</v>
      </c>
      <c r="M45" s="265" t="s">
        <v>155</v>
      </c>
      <c r="N45" s="270" t="s">
        <v>156</v>
      </c>
      <c r="O45" s="265" t="s">
        <v>121</v>
      </c>
      <c r="P45" s="265" t="s">
        <v>115</v>
      </c>
      <c r="Q45" s="265" t="s">
        <v>408</v>
      </c>
      <c r="R45" s="267" t="s">
        <v>172</v>
      </c>
      <c r="S45" s="267" t="s">
        <v>117</v>
      </c>
      <c r="T45" s="269" t="s">
        <v>117</v>
      </c>
      <c r="U45" s="62"/>
    </row>
    <row r="46" spans="1:21" s="63" customFormat="1" x14ac:dyDescent="0.2">
      <c r="A46" s="68" t="str">
        <f t="shared" si="0"/>
        <v>24SST304</v>
      </c>
      <c r="B46" s="58"/>
      <c r="C46" s="69"/>
      <c r="D46" s="263" t="s">
        <v>406</v>
      </c>
      <c r="E46" s="264" t="s">
        <v>144</v>
      </c>
      <c r="F46" s="265" t="s">
        <v>416</v>
      </c>
      <c r="G46" s="265" t="s">
        <v>416</v>
      </c>
      <c r="H46" s="266">
        <v>2.401E-2</v>
      </c>
      <c r="I46" s="265" t="s">
        <v>117</v>
      </c>
      <c r="J46" s="265" t="s">
        <v>117</v>
      </c>
      <c r="K46" s="267" t="s">
        <v>173</v>
      </c>
      <c r="L46" s="264" t="s">
        <v>159</v>
      </c>
      <c r="M46" s="265" t="s">
        <v>155</v>
      </c>
      <c r="N46" s="270" t="s">
        <v>156</v>
      </c>
      <c r="O46" s="265" t="s">
        <v>121</v>
      </c>
      <c r="P46" s="265" t="s">
        <v>115</v>
      </c>
      <c r="Q46" s="265" t="s">
        <v>408</v>
      </c>
      <c r="R46" s="267" t="s">
        <v>174</v>
      </c>
      <c r="S46" s="267" t="s">
        <v>117</v>
      </c>
      <c r="T46" s="269" t="s">
        <v>117</v>
      </c>
      <c r="U46" s="62"/>
    </row>
    <row r="47" spans="1:21" s="63" customFormat="1" x14ac:dyDescent="0.2">
      <c r="A47" s="68" t="str">
        <f t="shared" si="0"/>
        <v>12SST304L</v>
      </c>
      <c r="B47" s="58"/>
      <c r="C47" s="69"/>
      <c r="D47" s="263" t="s">
        <v>406</v>
      </c>
      <c r="E47" s="264" t="s">
        <v>130</v>
      </c>
      <c r="F47" s="265" t="s">
        <v>410</v>
      </c>
      <c r="G47" s="265" t="s">
        <v>410</v>
      </c>
      <c r="H47" s="266">
        <v>0.10502</v>
      </c>
      <c r="I47" s="265" t="s">
        <v>8</v>
      </c>
      <c r="J47" s="265" t="s">
        <v>300</v>
      </c>
      <c r="K47" s="265" t="s">
        <v>417</v>
      </c>
      <c r="L47" s="264" t="s">
        <v>418</v>
      </c>
      <c r="M47" s="265" t="s">
        <v>419</v>
      </c>
      <c r="N47" s="270" t="s">
        <v>156</v>
      </c>
      <c r="O47" s="265" t="s">
        <v>121</v>
      </c>
      <c r="P47" s="265" t="s">
        <v>115</v>
      </c>
      <c r="Q47" s="265" t="s">
        <v>420</v>
      </c>
      <c r="R47" s="267" t="s">
        <v>421</v>
      </c>
      <c r="S47" s="267" t="s">
        <v>117</v>
      </c>
      <c r="T47" s="269" t="s">
        <v>117</v>
      </c>
      <c r="U47" s="62"/>
    </row>
    <row r="48" spans="1:21" s="63" customFormat="1" x14ac:dyDescent="0.2">
      <c r="A48" s="68" t="str">
        <f t="shared" si="0"/>
        <v>16SST304L</v>
      </c>
      <c r="B48" s="58"/>
      <c r="C48" s="69"/>
      <c r="D48" s="263" t="s">
        <v>406</v>
      </c>
      <c r="E48" s="264" t="s">
        <v>175</v>
      </c>
      <c r="F48" s="265" t="s">
        <v>412</v>
      </c>
      <c r="G48" s="265" t="s">
        <v>412</v>
      </c>
      <c r="H48" s="266">
        <v>6.0019999999999997E-2</v>
      </c>
      <c r="I48" s="265" t="s">
        <v>8</v>
      </c>
      <c r="J48" s="265" t="s">
        <v>300</v>
      </c>
      <c r="K48" s="265" t="s">
        <v>422</v>
      </c>
      <c r="L48" s="264" t="s">
        <v>423</v>
      </c>
      <c r="M48" s="265" t="s">
        <v>419</v>
      </c>
      <c r="N48" s="270" t="s">
        <v>156</v>
      </c>
      <c r="O48" s="265" t="s">
        <v>121</v>
      </c>
      <c r="P48" s="265" t="s">
        <v>115</v>
      </c>
      <c r="Q48" s="265" t="s">
        <v>420</v>
      </c>
      <c r="R48" s="267" t="s">
        <v>424</v>
      </c>
      <c r="S48" s="267" t="s">
        <v>117</v>
      </c>
      <c r="T48" s="269" t="s">
        <v>117</v>
      </c>
      <c r="U48" s="62"/>
    </row>
    <row r="49" spans="1:21" x14ac:dyDescent="0.2">
      <c r="A49" s="68" t="str">
        <f t="shared" si="0"/>
        <v>10SST316L</v>
      </c>
      <c r="B49" s="70"/>
      <c r="C49" s="71"/>
      <c r="D49" s="263" t="s">
        <v>406</v>
      </c>
      <c r="E49" s="264" t="s">
        <v>126</v>
      </c>
      <c r="F49" s="265" t="s">
        <v>409</v>
      </c>
      <c r="G49" s="265" t="s">
        <v>409</v>
      </c>
      <c r="H49" s="266">
        <v>0.13502</v>
      </c>
      <c r="I49" s="265" t="s">
        <v>8</v>
      </c>
      <c r="J49" s="265" t="s">
        <v>300</v>
      </c>
      <c r="K49" s="277" t="s">
        <v>425</v>
      </c>
      <c r="L49" s="279" t="s">
        <v>426</v>
      </c>
      <c r="M49" s="265" t="s">
        <v>177</v>
      </c>
      <c r="N49" s="270" t="s">
        <v>156</v>
      </c>
      <c r="O49" s="265" t="s">
        <v>121</v>
      </c>
      <c r="P49" s="265" t="s">
        <v>115</v>
      </c>
      <c r="Q49" s="265" t="s">
        <v>427</v>
      </c>
      <c r="R49" s="267" t="s">
        <v>428</v>
      </c>
      <c r="S49" s="267" t="s">
        <v>117</v>
      </c>
      <c r="T49" s="269" t="s">
        <v>117</v>
      </c>
      <c r="U49" s="47"/>
    </row>
    <row r="50" spans="1:21" x14ac:dyDescent="0.2">
      <c r="A50" s="68" t="str">
        <f t="shared" si="0"/>
        <v>12SST316L</v>
      </c>
      <c r="B50" s="70"/>
      <c r="C50" s="71"/>
      <c r="D50" s="264" t="s">
        <v>406</v>
      </c>
      <c r="E50" s="264" t="s">
        <v>130</v>
      </c>
      <c r="F50" s="265" t="s">
        <v>410</v>
      </c>
      <c r="G50" s="265" t="s">
        <v>410</v>
      </c>
      <c r="H50" s="266">
        <v>0.10503</v>
      </c>
      <c r="I50" s="265" t="s">
        <v>8</v>
      </c>
      <c r="J50" s="265" t="s">
        <v>300</v>
      </c>
      <c r="K50" s="277" t="s">
        <v>429</v>
      </c>
      <c r="L50" s="279" t="s">
        <v>430</v>
      </c>
      <c r="M50" s="265" t="s">
        <v>177</v>
      </c>
      <c r="N50" s="270" t="s">
        <v>156</v>
      </c>
      <c r="O50" s="265" t="s">
        <v>121</v>
      </c>
      <c r="P50" s="265" t="s">
        <v>115</v>
      </c>
      <c r="Q50" s="265" t="s">
        <v>427</v>
      </c>
      <c r="R50" s="267" t="s">
        <v>431</v>
      </c>
      <c r="S50" s="267" t="s">
        <v>117</v>
      </c>
      <c r="T50" s="269" t="s">
        <v>117</v>
      </c>
      <c r="U50" s="47"/>
    </row>
    <row r="51" spans="1:21" x14ac:dyDescent="0.2">
      <c r="A51" s="68" t="str">
        <f t="shared" si="0"/>
        <v>14SST316L</v>
      </c>
      <c r="B51" s="70"/>
      <c r="C51" s="71"/>
      <c r="D51" s="264" t="s">
        <v>406</v>
      </c>
      <c r="E51" s="264" t="s">
        <v>133</v>
      </c>
      <c r="F51" s="265" t="s">
        <v>411</v>
      </c>
      <c r="G51" s="265" t="s">
        <v>411</v>
      </c>
      <c r="H51" s="266">
        <v>7.5020000000000003E-2</v>
      </c>
      <c r="I51" s="265" t="s">
        <v>8</v>
      </c>
      <c r="J51" s="265" t="s">
        <v>300</v>
      </c>
      <c r="K51" s="277" t="s">
        <v>432</v>
      </c>
      <c r="L51" s="279" t="s">
        <v>433</v>
      </c>
      <c r="M51" s="265" t="s">
        <v>177</v>
      </c>
      <c r="N51" s="270" t="s">
        <v>156</v>
      </c>
      <c r="O51" s="265" t="s">
        <v>121</v>
      </c>
      <c r="P51" s="265" t="s">
        <v>115</v>
      </c>
      <c r="Q51" s="265" t="s">
        <v>427</v>
      </c>
      <c r="R51" s="267" t="s">
        <v>434</v>
      </c>
      <c r="S51" s="267" t="s">
        <v>117</v>
      </c>
      <c r="T51" s="269" t="s">
        <v>117</v>
      </c>
      <c r="U51" s="47"/>
    </row>
    <row r="52" spans="1:21" x14ac:dyDescent="0.2">
      <c r="A52" s="68" t="str">
        <f t="shared" si="0"/>
        <v>16SST316L</v>
      </c>
      <c r="B52" s="70"/>
      <c r="C52" s="71"/>
      <c r="D52" s="263" t="s">
        <v>406</v>
      </c>
      <c r="E52" s="264" t="s">
        <v>175</v>
      </c>
      <c r="F52" s="265" t="s">
        <v>412</v>
      </c>
      <c r="G52" s="265" t="s">
        <v>412</v>
      </c>
      <c r="H52" s="266">
        <v>6.003E-2</v>
      </c>
      <c r="I52" s="265" t="s">
        <v>297</v>
      </c>
      <c r="J52" s="265" t="s">
        <v>300</v>
      </c>
      <c r="K52" s="265" t="s">
        <v>176</v>
      </c>
      <c r="L52" s="264" t="s">
        <v>435</v>
      </c>
      <c r="M52" s="265" t="s">
        <v>177</v>
      </c>
      <c r="N52" s="270" t="s">
        <v>156</v>
      </c>
      <c r="O52" s="265" t="s">
        <v>121</v>
      </c>
      <c r="P52" s="265" t="s">
        <v>115</v>
      </c>
      <c r="Q52" s="265" t="s">
        <v>427</v>
      </c>
      <c r="R52" s="267" t="s">
        <v>178</v>
      </c>
      <c r="S52" s="267" t="s">
        <v>117</v>
      </c>
      <c r="T52" s="269" t="s">
        <v>117</v>
      </c>
      <c r="U52" s="47"/>
    </row>
    <row r="53" spans="1:21" x14ac:dyDescent="0.2">
      <c r="A53" s="68" t="str">
        <f t="shared" si="0"/>
        <v>18SST316L</v>
      </c>
      <c r="B53" s="70"/>
      <c r="C53" s="71"/>
      <c r="D53" s="263" t="s">
        <v>406</v>
      </c>
      <c r="E53" s="264" t="s">
        <v>179</v>
      </c>
      <c r="F53" s="265" t="s">
        <v>413</v>
      </c>
      <c r="G53" s="265" t="s">
        <v>413</v>
      </c>
      <c r="H53" s="266">
        <v>4.802E-2</v>
      </c>
      <c r="I53" s="265" t="s">
        <v>297</v>
      </c>
      <c r="J53" s="265" t="s">
        <v>300</v>
      </c>
      <c r="K53" s="267" t="s">
        <v>180</v>
      </c>
      <c r="L53" s="264" t="s">
        <v>436</v>
      </c>
      <c r="M53" s="265" t="s">
        <v>177</v>
      </c>
      <c r="N53" s="270" t="s">
        <v>156</v>
      </c>
      <c r="O53" s="265" t="s">
        <v>121</v>
      </c>
      <c r="P53" s="265" t="s">
        <v>115</v>
      </c>
      <c r="Q53" s="265" t="s">
        <v>427</v>
      </c>
      <c r="R53" s="267" t="s">
        <v>181</v>
      </c>
      <c r="S53" s="267" t="s">
        <v>117</v>
      </c>
      <c r="T53" s="269" t="s">
        <v>117</v>
      </c>
      <c r="U53" s="47"/>
    </row>
    <row r="54" spans="1:21" x14ac:dyDescent="0.2">
      <c r="A54" s="68" t="str">
        <f t="shared" si="0"/>
        <v>20SST316L</v>
      </c>
      <c r="B54" s="70"/>
      <c r="C54" s="71"/>
      <c r="D54" s="263" t="s">
        <v>406</v>
      </c>
      <c r="E54" s="264" t="s">
        <v>182</v>
      </c>
      <c r="F54" s="265" t="s">
        <v>414</v>
      </c>
      <c r="G54" s="265" t="s">
        <v>414</v>
      </c>
      <c r="H54" s="266">
        <v>3.5020000000000003E-2</v>
      </c>
      <c r="I54" s="265" t="s">
        <v>297</v>
      </c>
      <c r="J54" s="265" t="s">
        <v>300</v>
      </c>
      <c r="K54" s="267" t="s">
        <v>183</v>
      </c>
      <c r="L54" s="264" t="s">
        <v>437</v>
      </c>
      <c r="M54" s="265" t="s">
        <v>177</v>
      </c>
      <c r="N54" s="270" t="s">
        <v>156</v>
      </c>
      <c r="O54" s="265" t="s">
        <v>121</v>
      </c>
      <c r="P54" s="265" t="s">
        <v>115</v>
      </c>
      <c r="Q54" s="265" t="s">
        <v>427</v>
      </c>
      <c r="R54" s="267" t="s">
        <v>184</v>
      </c>
      <c r="S54" s="267" t="s">
        <v>117</v>
      </c>
      <c r="T54" s="269" t="s">
        <v>117</v>
      </c>
      <c r="U54" s="47"/>
    </row>
    <row r="55" spans="1:21" ht="13.5" thickBot="1" x14ac:dyDescent="0.25">
      <c r="A55" s="72" t="str">
        <f t="shared" si="0"/>
        <v>22SST316L</v>
      </c>
      <c r="B55" s="70"/>
      <c r="C55" s="73"/>
      <c r="D55" s="280" t="s">
        <v>406</v>
      </c>
      <c r="E55" s="280" t="s">
        <v>141</v>
      </c>
      <c r="F55" s="281" t="s">
        <v>415</v>
      </c>
      <c r="G55" s="281" t="s">
        <v>415</v>
      </c>
      <c r="H55" s="282">
        <v>2.9020000000000001E-2</v>
      </c>
      <c r="I55" s="281" t="s">
        <v>8</v>
      </c>
      <c r="J55" s="281" t="s">
        <v>300</v>
      </c>
      <c r="K55" s="283" t="s">
        <v>438</v>
      </c>
      <c r="L55" s="284" t="s">
        <v>439</v>
      </c>
      <c r="M55" s="281" t="s">
        <v>177</v>
      </c>
      <c r="N55" s="285" t="s">
        <v>156</v>
      </c>
      <c r="O55" s="281" t="s">
        <v>121</v>
      </c>
      <c r="P55" s="281" t="s">
        <v>115</v>
      </c>
      <c r="Q55" s="281" t="s">
        <v>427</v>
      </c>
      <c r="R55" s="286" t="s">
        <v>440</v>
      </c>
      <c r="S55" s="286" t="s">
        <v>117</v>
      </c>
      <c r="T55" s="287" t="s">
        <v>117</v>
      </c>
      <c r="U55" s="47"/>
    </row>
    <row r="56" spans="1:21" ht="17.25" customHeight="1" thickTop="1" thickBot="1" x14ac:dyDescent="0.25">
      <c r="A56" s="37" t="str">
        <f>IF(E56=" ","n/a",CONCATENATE(E56,Q56))</f>
        <v/>
      </c>
      <c r="B56" s="70"/>
      <c r="C56" s="74"/>
      <c r="D56" s="288"/>
      <c r="E56" s="288"/>
      <c r="F56" s="288"/>
      <c r="G56" s="288"/>
      <c r="H56" s="288"/>
      <c r="I56" s="288"/>
      <c r="J56" s="288"/>
      <c r="K56" s="288"/>
      <c r="L56" s="288"/>
      <c r="M56" s="289"/>
      <c r="N56" s="289"/>
      <c r="O56" s="289"/>
      <c r="P56" s="289"/>
      <c r="Q56" s="289"/>
      <c r="R56" s="289"/>
      <c r="S56" s="289"/>
      <c r="T56" s="289"/>
      <c r="U56" s="47"/>
    </row>
    <row r="57" spans="1:21" ht="17.25" thickTop="1" thickBot="1" x14ac:dyDescent="0.25">
      <c r="A57" s="37" t="str">
        <f t="shared" ref="A57:A120" si="1">CONCATENATE(E57,Q57)</f>
        <v/>
      </c>
      <c r="B57" s="70"/>
      <c r="C57" s="75" t="s">
        <v>441</v>
      </c>
      <c r="D57" s="3"/>
      <c r="E57" s="3"/>
      <c r="F57" s="3"/>
      <c r="G57" s="3"/>
      <c r="H57" s="3"/>
      <c r="I57" s="3"/>
      <c r="J57" s="3"/>
      <c r="K57" s="3"/>
      <c r="L57" s="3"/>
      <c r="M57" s="8"/>
      <c r="N57" s="8"/>
      <c r="O57" s="8"/>
      <c r="P57" s="8"/>
      <c r="Q57" s="8"/>
      <c r="R57" s="8"/>
      <c r="S57" s="8"/>
      <c r="T57" s="8"/>
      <c r="U57" s="47"/>
    </row>
    <row r="58" spans="1:21" ht="13.5" thickTop="1" x14ac:dyDescent="0.2">
      <c r="A58" s="76" t="str">
        <f t="shared" si="1"/>
        <v>10STRUCT GALV</v>
      </c>
      <c r="B58" s="70"/>
      <c r="C58" s="71"/>
      <c r="D58" s="290" t="s">
        <v>442</v>
      </c>
      <c r="E58" s="290" t="s">
        <v>126</v>
      </c>
      <c r="F58" s="291" t="s">
        <v>298</v>
      </c>
      <c r="G58" s="291" t="s">
        <v>299</v>
      </c>
      <c r="H58" s="292">
        <v>0.12601999999999999</v>
      </c>
      <c r="I58" s="291" t="s">
        <v>297</v>
      </c>
      <c r="J58" s="291" t="s">
        <v>8</v>
      </c>
      <c r="K58" s="293" t="s">
        <v>127</v>
      </c>
      <c r="L58" s="290" t="s">
        <v>128</v>
      </c>
      <c r="M58" s="291" t="s">
        <v>112</v>
      </c>
      <c r="N58" s="294" t="s">
        <v>443</v>
      </c>
      <c r="O58" s="291" t="s">
        <v>114</v>
      </c>
      <c r="P58" s="291" t="s">
        <v>115</v>
      </c>
      <c r="Q58" s="291" t="s">
        <v>125</v>
      </c>
      <c r="R58" s="293" t="s">
        <v>129</v>
      </c>
      <c r="S58" s="295" t="s">
        <v>117</v>
      </c>
      <c r="T58" s="295" t="s">
        <v>117</v>
      </c>
      <c r="U58" s="47"/>
    </row>
    <row r="59" spans="1:21" x14ac:dyDescent="0.2">
      <c r="A59" s="68" t="str">
        <f t="shared" si="1"/>
        <v>12STRUCT GALV</v>
      </c>
      <c r="B59" s="70"/>
      <c r="C59" s="71"/>
      <c r="D59" s="264" t="s">
        <v>442</v>
      </c>
      <c r="E59" s="263" t="s">
        <v>130</v>
      </c>
      <c r="F59" s="271" t="s">
        <v>301</v>
      </c>
      <c r="G59" s="271" t="s">
        <v>302</v>
      </c>
      <c r="H59" s="272">
        <v>9.7019999999999995E-2</v>
      </c>
      <c r="I59" s="271" t="s">
        <v>297</v>
      </c>
      <c r="J59" s="265" t="s">
        <v>8</v>
      </c>
      <c r="K59" s="267" t="s">
        <v>131</v>
      </c>
      <c r="L59" s="264" t="s">
        <v>128</v>
      </c>
      <c r="M59" s="265" t="s">
        <v>112</v>
      </c>
      <c r="N59" s="268" t="s">
        <v>443</v>
      </c>
      <c r="O59" s="265" t="s">
        <v>121</v>
      </c>
      <c r="P59" s="265" t="s">
        <v>115</v>
      </c>
      <c r="Q59" s="265" t="s">
        <v>125</v>
      </c>
      <c r="R59" s="267" t="s">
        <v>132</v>
      </c>
      <c r="S59" s="267" t="s">
        <v>117</v>
      </c>
      <c r="T59" s="267" t="s">
        <v>117</v>
      </c>
      <c r="U59" s="47"/>
    </row>
    <row r="60" spans="1:21" ht="13.5" customHeight="1" thickBot="1" x14ac:dyDescent="0.25">
      <c r="A60" s="72" t="str">
        <f t="shared" si="1"/>
        <v>14STRUCT GALV</v>
      </c>
      <c r="B60" s="70"/>
      <c r="C60" s="71"/>
      <c r="D60" s="280" t="s">
        <v>442</v>
      </c>
      <c r="E60" s="296" t="s">
        <v>133</v>
      </c>
      <c r="F60" s="297" t="s">
        <v>303</v>
      </c>
      <c r="G60" s="297" t="s">
        <v>304</v>
      </c>
      <c r="H60" s="298">
        <v>7.0019999999999999E-2</v>
      </c>
      <c r="I60" s="297" t="s">
        <v>297</v>
      </c>
      <c r="J60" s="281" t="s">
        <v>8</v>
      </c>
      <c r="K60" s="286" t="s">
        <v>134</v>
      </c>
      <c r="L60" s="280" t="s">
        <v>128</v>
      </c>
      <c r="M60" s="281" t="s">
        <v>112</v>
      </c>
      <c r="N60" s="299" t="s">
        <v>443</v>
      </c>
      <c r="O60" s="281" t="s">
        <v>121</v>
      </c>
      <c r="P60" s="281" t="s">
        <v>115</v>
      </c>
      <c r="Q60" s="281" t="s">
        <v>125</v>
      </c>
      <c r="R60" s="286" t="s">
        <v>135</v>
      </c>
      <c r="S60" s="286" t="s">
        <v>117</v>
      </c>
      <c r="T60" s="286" t="s">
        <v>117</v>
      </c>
      <c r="U60" s="47"/>
    </row>
    <row r="61" spans="1:21" ht="17.25" customHeight="1" thickTop="1" thickBot="1" x14ac:dyDescent="0.25">
      <c r="A61" s="37" t="str">
        <f t="shared" si="1"/>
        <v/>
      </c>
      <c r="B61" s="70"/>
      <c r="C61" s="74"/>
      <c r="D61" s="300"/>
      <c r="E61" s="300"/>
      <c r="F61" s="300"/>
      <c r="G61" s="300"/>
      <c r="H61" s="300"/>
      <c r="I61" s="300"/>
      <c r="J61" s="300"/>
      <c r="K61" s="300"/>
      <c r="L61" s="300"/>
      <c r="M61" s="301"/>
      <c r="N61" s="301"/>
      <c r="O61" s="301"/>
      <c r="P61" s="301"/>
      <c r="Q61" s="301"/>
      <c r="R61" s="301"/>
      <c r="S61" s="301"/>
      <c r="T61" s="302"/>
      <c r="U61" s="47"/>
    </row>
    <row r="62" spans="1:21" ht="17.25" thickTop="1" thickBot="1" x14ac:dyDescent="0.25">
      <c r="A62" s="37" t="str">
        <f t="shared" si="1"/>
        <v/>
      </c>
      <c r="B62" s="70"/>
      <c r="C62" s="77" t="s">
        <v>444</v>
      </c>
      <c r="D62" s="3"/>
      <c r="E62" s="3"/>
      <c r="F62" s="3"/>
      <c r="G62" s="3"/>
      <c r="H62" s="3"/>
      <c r="I62" s="3"/>
      <c r="J62" s="3"/>
      <c r="K62" s="3"/>
      <c r="L62" s="3"/>
      <c r="M62" s="8"/>
      <c r="N62" s="8"/>
      <c r="O62" s="8"/>
      <c r="P62" s="8"/>
      <c r="Q62" s="8"/>
      <c r="R62" s="8"/>
      <c r="S62" s="8"/>
      <c r="T62" s="8"/>
      <c r="U62" s="47"/>
    </row>
    <row r="63" spans="1:21" ht="13.5" thickTop="1" x14ac:dyDescent="0.2">
      <c r="A63" s="76" t="str">
        <f t="shared" si="1"/>
        <v>20GALV PRFA</v>
      </c>
      <c r="B63" s="70"/>
      <c r="C63" s="71"/>
      <c r="D63" s="290" t="s">
        <v>445</v>
      </c>
      <c r="E63" s="290">
        <v>20</v>
      </c>
      <c r="F63" s="291" t="s">
        <v>446</v>
      </c>
      <c r="G63" s="291" t="s">
        <v>446</v>
      </c>
      <c r="H63" s="292">
        <v>3.9010000000000003E-2</v>
      </c>
      <c r="I63" s="291" t="s">
        <v>297</v>
      </c>
      <c r="J63" s="291" t="s">
        <v>8</v>
      </c>
      <c r="K63" s="291" t="s">
        <v>185</v>
      </c>
      <c r="L63" s="290" t="s">
        <v>186</v>
      </c>
      <c r="M63" s="291" t="s">
        <v>112</v>
      </c>
      <c r="N63" s="293" t="s">
        <v>187</v>
      </c>
      <c r="O63" s="291" t="s">
        <v>188</v>
      </c>
      <c r="P63" s="291" t="s">
        <v>115</v>
      </c>
      <c r="Q63" s="291" t="s">
        <v>1163</v>
      </c>
      <c r="R63" s="293" t="s">
        <v>189</v>
      </c>
      <c r="S63" s="291" t="s">
        <v>190</v>
      </c>
      <c r="T63" s="291" t="s">
        <v>191</v>
      </c>
      <c r="U63" s="47"/>
    </row>
    <row r="64" spans="1:21" x14ac:dyDescent="0.2">
      <c r="A64" s="68" t="str">
        <f t="shared" si="1"/>
        <v>20GALV PRFD</v>
      </c>
      <c r="B64" s="70"/>
      <c r="C64" s="71"/>
      <c r="D64" s="263" t="s">
        <v>445</v>
      </c>
      <c r="E64" s="263">
        <v>20</v>
      </c>
      <c r="F64" s="271" t="s">
        <v>446</v>
      </c>
      <c r="G64" s="271" t="s">
        <v>446</v>
      </c>
      <c r="H64" s="272">
        <v>3.9019999999999999E-2</v>
      </c>
      <c r="I64" s="271" t="s">
        <v>297</v>
      </c>
      <c r="J64" s="265" t="s">
        <v>8</v>
      </c>
      <c r="K64" s="265" t="s">
        <v>192</v>
      </c>
      <c r="L64" s="264" t="s">
        <v>186</v>
      </c>
      <c r="M64" s="265" t="s">
        <v>112</v>
      </c>
      <c r="N64" s="267" t="s">
        <v>187</v>
      </c>
      <c r="O64" s="265" t="s">
        <v>188</v>
      </c>
      <c r="P64" s="265" t="s">
        <v>115</v>
      </c>
      <c r="Q64" s="271" t="s">
        <v>1164</v>
      </c>
      <c r="R64" s="273" t="s">
        <v>193</v>
      </c>
      <c r="S64" s="265" t="s">
        <v>194</v>
      </c>
      <c r="T64" s="265" t="s">
        <v>191</v>
      </c>
      <c r="U64" s="47"/>
    </row>
    <row r="65" spans="1:21" x14ac:dyDescent="0.2">
      <c r="A65" s="68" t="str">
        <f t="shared" si="1"/>
        <v>20GALV PRFE</v>
      </c>
      <c r="B65" s="70"/>
      <c r="C65" s="71"/>
      <c r="D65" s="263" t="s">
        <v>445</v>
      </c>
      <c r="E65" s="263" t="s">
        <v>182</v>
      </c>
      <c r="F65" s="276" t="s">
        <v>446</v>
      </c>
      <c r="G65" s="271" t="s">
        <v>446</v>
      </c>
      <c r="H65" s="303">
        <v>3.9030000000000002E-2</v>
      </c>
      <c r="I65" s="271" t="s">
        <v>297</v>
      </c>
      <c r="J65" s="265" t="s">
        <v>8</v>
      </c>
      <c r="K65" s="265" t="s">
        <v>195</v>
      </c>
      <c r="L65" s="264" t="s">
        <v>186</v>
      </c>
      <c r="M65" s="265" t="s">
        <v>112</v>
      </c>
      <c r="N65" s="267" t="s">
        <v>187</v>
      </c>
      <c r="O65" s="265" t="s">
        <v>188</v>
      </c>
      <c r="P65" s="265" t="s">
        <v>115</v>
      </c>
      <c r="Q65" s="271" t="s">
        <v>1165</v>
      </c>
      <c r="R65" s="273" t="s">
        <v>196</v>
      </c>
      <c r="S65" s="265" t="s">
        <v>197</v>
      </c>
      <c r="T65" s="265" t="s">
        <v>198</v>
      </c>
      <c r="U65" s="47"/>
    </row>
    <row r="66" spans="1:21" x14ac:dyDescent="0.2">
      <c r="A66" s="68" t="str">
        <f t="shared" si="1"/>
        <v>16GALV PRFG</v>
      </c>
      <c r="B66" s="70"/>
      <c r="C66" s="71"/>
      <c r="D66" s="263" t="s">
        <v>445</v>
      </c>
      <c r="E66" s="263" t="s">
        <v>175</v>
      </c>
      <c r="F66" s="271" t="s">
        <v>305</v>
      </c>
      <c r="G66" s="271" t="s">
        <v>305</v>
      </c>
      <c r="H66" s="272">
        <v>5.5010000000000003E-2</v>
      </c>
      <c r="I66" s="271" t="s">
        <v>8</v>
      </c>
      <c r="J66" s="265" t="s">
        <v>300</v>
      </c>
      <c r="K66" s="265" t="s">
        <v>447</v>
      </c>
      <c r="L66" s="264" t="s">
        <v>448</v>
      </c>
      <c r="M66" s="265" t="s">
        <v>112</v>
      </c>
      <c r="N66" s="267" t="s">
        <v>187</v>
      </c>
      <c r="O66" s="265" t="s">
        <v>449</v>
      </c>
      <c r="P66" s="265" t="s">
        <v>115</v>
      </c>
      <c r="Q66" s="271" t="s">
        <v>1166</v>
      </c>
      <c r="R66" s="271" t="s">
        <v>450</v>
      </c>
      <c r="S66" s="265" t="s">
        <v>298</v>
      </c>
      <c r="T66" s="265" t="s">
        <v>451</v>
      </c>
      <c r="U66" s="47"/>
    </row>
    <row r="67" spans="1:21" x14ac:dyDescent="0.2">
      <c r="A67" s="68" t="str">
        <f t="shared" si="1"/>
        <v>18GALV PRFG</v>
      </c>
      <c r="B67" s="70"/>
      <c r="C67" s="71"/>
      <c r="D67" s="263" t="s">
        <v>445</v>
      </c>
      <c r="E67" s="263" t="s">
        <v>179</v>
      </c>
      <c r="F67" s="271" t="s">
        <v>308</v>
      </c>
      <c r="G67" s="271" t="s">
        <v>308</v>
      </c>
      <c r="H67" s="272">
        <v>4.505E-2</v>
      </c>
      <c r="I67" s="271" t="s">
        <v>8</v>
      </c>
      <c r="J67" s="265" t="s">
        <v>300</v>
      </c>
      <c r="K67" s="265" t="s">
        <v>452</v>
      </c>
      <c r="L67" s="264" t="s">
        <v>453</v>
      </c>
      <c r="M67" s="265" t="s">
        <v>112</v>
      </c>
      <c r="N67" s="267" t="s">
        <v>187</v>
      </c>
      <c r="O67" s="265" t="s">
        <v>188</v>
      </c>
      <c r="P67" s="265" t="s">
        <v>115</v>
      </c>
      <c r="Q67" s="271" t="s">
        <v>1166</v>
      </c>
      <c r="R67" s="271" t="s">
        <v>454</v>
      </c>
      <c r="S67" s="265" t="s">
        <v>298</v>
      </c>
      <c r="T67" s="265" t="s">
        <v>451</v>
      </c>
      <c r="U67" s="47"/>
    </row>
    <row r="68" spans="1:21" x14ac:dyDescent="0.2">
      <c r="A68" s="68" t="str">
        <f t="shared" si="1"/>
        <v>20GALV PRFG</v>
      </c>
      <c r="B68" s="70"/>
      <c r="C68" s="71"/>
      <c r="D68" s="263" t="s">
        <v>445</v>
      </c>
      <c r="E68" s="263" t="s">
        <v>182</v>
      </c>
      <c r="F68" s="271" t="s">
        <v>311</v>
      </c>
      <c r="G68" s="271" t="s">
        <v>138</v>
      </c>
      <c r="H68" s="272">
        <v>3.4020000000000002E-2</v>
      </c>
      <c r="I68" s="271" t="s">
        <v>8</v>
      </c>
      <c r="J68" s="265" t="s">
        <v>300</v>
      </c>
      <c r="K68" s="265" t="s">
        <v>455</v>
      </c>
      <c r="L68" s="264" t="s">
        <v>456</v>
      </c>
      <c r="M68" s="265" t="s">
        <v>112</v>
      </c>
      <c r="N68" s="267" t="s">
        <v>187</v>
      </c>
      <c r="O68" s="265" t="s">
        <v>114</v>
      </c>
      <c r="P68" s="265" t="s">
        <v>115</v>
      </c>
      <c r="Q68" s="271" t="s">
        <v>1166</v>
      </c>
      <c r="R68" s="271" t="s">
        <v>457</v>
      </c>
      <c r="S68" s="265" t="s">
        <v>298</v>
      </c>
      <c r="T68" s="265" t="s">
        <v>451</v>
      </c>
      <c r="U68" s="47"/>
    </row>
    <row r="69" spans="1:21" x14ac:dyDescent="0.2">
      <c r="A69" s="68" t="str">
        <f t="shared" si="1"/>
        <v>22GALV PRFF</v>
      </c>
      <c r="B69" s="70"/>
      <c r="C69" s="71"/>
      <c r="D69" s="263" t="s">
        <v>445</v>
      </c>
      <c r="E69" s="304">
        <v>22</v>
      </c>
      <c r="F69" s="271" t="s">
        <v>312</v>
      </c>
      <c r="G69" s="271" t="s">
        <v>312</v>
      </c>
      <c r="H69" s="272">
        <v>2.802E-2</v>
      </c>
      <c r="I69" s="271" t="s">
        <v>297</v>
      </c>
      <c r="J69" s="265" t="s">
        <v>300</v>
      </c>
      <c r="K69" s="265" t="s">
        <v>199</v>
      </c>
      <c r="L69" s="264" t="s">
        <v>458</v>
      </c>
      <c r="M69" s="265" t="s">
        <v>112</v>
      </c>
      <c r="N69" s="267" t="s">
        <v>187</v>
      </c>
      <c r="O69" s="265" t="s">
        <v>121</v>
      </c>
      <c r="P69" s="265" t="s">
        <v>115</v>
      </c>
      <c r="Q69" s="271" t="s">
        <v>1167</v>
      </c>
      <c r="R69" s="273" t="s">
        <v>200</v>
      </c>
      <c r="S69" s="265" t="s">
        <v>298</v>
      </c>
      <c r="T69" s="265" t="s">
        <v>451</v>
      </c>
      <c r="U69" s="47"/>
    </row>
    <row r="70" spans="1:21" x14ac:dyDescent="0.2">
      <c r="A70" s="68" t="str">
        <f t="shared" si="1"/>
        <v>18GALV PRFH</v>
      </c>
      <c r="B70" s="70"/>
      <c r="C70" s="71"/>
      <c r="D70" s="263" t="s">
        <v>445</v>
      </c>
      <c r="E70" s="263" t="s">
        <v>179</v>
      </c>
      <c r="F70" s="271" t="s">
        <v>308</v>
      </c>
      <c r="G70" s="271" t="s">
        <v>308</v>
      </c>
      <c r="H70" s="272">
        <v>4.3999999999999997E-2</v>
      </c>
      <c r="I70" s="271" t="s">
        <v>8</v>
      </c>
      <c r="J70" s="265" t="s">
        <v>300</v>
      </c>
      <c r="K70" s="265" t="s">
        <v>459</v>
      </c>
      <c r="L70" s="264" t="s">
        <v>460</v>
      </c>
      <c r="M70" s="265" t="s">
        <v>112</v>
      </c>
      <c r="N70" s="267" t="s">
        <v>187</v>
      </c>
      <c r="O70" s="265" t="s">
        <v>188</v>
      </c>
      <c r="P70" s="265" t="s">
        <v>115</v>
      </c>
      <c r="Q70" s="271" t="s">
        <v>1168</v>
      </c>
      <c r="R70" s="271" t="s">
        <v>461</v>
      </c>
      <c r="S70" s="265" t="s">
        <v>462</v>
      </c>
      <c r="T70" s="265" t="s">
        <v>463</v>
      </c>
      <c r="U70" s="47"/>
    </row>
    <row r="71" spans="1:21" x14ac:dyDescent="0.2">
      <c r="A71" s="68" t="str">
        <f t="shared" si="1"/>
        <v>18ALM PRF</v>
      </c>
      <c r="B71" s="70"/>
      <c r="C71" s="71"/>
      <c r="D71" s="263" t="s">
        <v>464</v>
      </c>
      <c r="E71" s="263">
        <v>18</v>
      </c>
      <c r="F71" s="271" t="s">
        <v>387</v>
      </c>
      <c r="G71" s="271" t="s">
        <v>387</v>
      </c>
      <c r="H71" s="272">
        <v>5.0009999999999999E-2</v>
      </c>
      <c r="I71" s="271" t="s">
        <v>297</v>
      </c>
      <c r="J71" s="265" t="s">
        <v>8</v>
      </c>
      <c r="K71" s="265" t="s">
        <v>203</v>
      </c>
      <c r="L71" s="264" t="s">
        <v>204</v>
      </c>
      <c r="M71" s="265" t="s">
        <v>384</v>
      </c>
      <c r="N71" s="267" t="s">
        <v>205</v>
      </c>
      <c r="O71" s="265" t="s">
        <v>121</v>
      </c>
      <c r="P71" s="265" t="s">
        <v>115</v>
      </c>
      <c r="Q71" s="271" t="s">
        <v>1169</v>
      </c>
      <c r="R71" s="273" t="s">
        <v>206</v>
      </c>
      <c r="S71" s="265" t="s">
        <v>201</v>
      </c>
      <c r="T71" s="265" t="s">
        <v>207</v>
      </c>
      <c r="U71" s="47"/>
    </row>
    <row r="72" spans="1:21" x14ac:dyDescent="0.2">
      <c r="A72" s="68" t="str">
        <f t="shared" si="1"/>
        <v>18ALM PRFA</v>
      </c>
      <c r="B72" s="70"/>
      <c r="C72" s="71"/>
      <c r="D72" s="263" t="s">
        <v>464</v>
      </c>
      <c r="E72" s="263" t="s">
        <v>179</v>
      </c>
      <c r="F72" s="271" t="s">
        <v>387</v>
      </c>
      <c r="G72" s="271" t="s">
        <v>387</v>
      </c>
      <c r="H72" s="272">
        <v>5.0020000000000002E-2</v>
      </c>
      <c r="I72" s="271" t="s">
        <v>8</v>
      </c>
      <c r="J72" s="265" t="s">
        <v>300</v>
      </c>
      <c r="K72" s="277" t="s">
        <v>465</v>
      </c>
      <c r="L72" s="278" t="s">
        <v>466</v>
      </c>
      <c r="M72" s="265" t="s">
        <v>384</v>
      </c>
      <c r="N72" s="267" t="s">
        <v>8</v>
      </c>
      <c r="O72" s="265" t="s">
        <v>385</v>
      </c>
      <c r="P72" s="265" t="s">
        <v>115</v>
      </c>
      <c r="Q72" s="271" t="s">
        <v>1170</v>
      </c>
      <c r="R72" s="271" t="s">
        <v>467</v>
      </c>
      <c r="S72" s="265" t="s">
        <v>298</v>
      </c>
      <c r="T72" s="265" t="s">
        <v>451</v>
      </c>
      <c r="U72" s="47"/>
    </row>
    <row r="73" spans="1:21" x14ac:dyDescent="0.2">
      <c r="A73" s="68" t="str">
        <f t="shared" si="1"/>
        <v>16ALM PRFA</v>
      </c>
      <c r="B73" s="70"/>
      <c r="C73" s="71"/>
      <c r="D73" s="263" t="s">
        <v>464</v>
      </c>
      <c r="E73" s="263" t="s">
        <v>175</v>
      </c>
      <c r="F73" s="271" t="s">
        <v>391</v>
      </c>
      <c r="G73" s="271" t="s">
        <v>391</v>
      </c>
      <c r="H73" s="272">
        <v>6.3020000000000007E-2</v>
      </c>
      <c r="I73" s="271" t="s">
        <v>8</v>
      </c>
      <c r="J73" s="265" t="s">
        <v>300</v>
      </c>
      <c r="K73" s="265" t="s">
        <v>468</v>
      </c>
      <c r="L73" s="264" t="s">
        <v>469</v>
      </c>
      <c r="M73" s="265" t="s">
        <v>384</v>
      </c>
      <c r="N73" s="265" t="s">
        <v>8</v>
      </c>
      <c r="O73" s="265" t="s">
        <v>385</v>
      </c>
      <c r="P73" s="265" t="s">
        <v>115</v>
      </c>
      <c r="Q73" s="271" t="s">
        <v>1170</v>
      </c>
      <c r="R73" s="271" t="s">
        <v>470</v>
      </c>
      <c r="S73" s="265" t="s">
        <v>298</v>
      </c>
      <c r="T73" s="265" t="s">
        <v>451</v>
      </c>
      <c r="U73" s="47"/>
    </row>
    <row r="74" spans="1:21" x14ac:dyDescent="0.2">
      <c r="A74" s="68" t="str">
        <f t="shared" si="1"/>
        <v>14ALM PRFA</v>
      </c>
      <c r="B74" s="70"/>
      <c r="C74" s="71"/>
      <c r="D74" s="263" t="s">
        <v>464</v>
      </c>
      <c r="E74" s="263" t="s">
        <v>133</v>
      </c>
      <c r="F74" s="271" t="s">
        <v>395</v>
      </c>
      <c r="G74" s="271" t="s">
        <v>395</v>
      </c>
      <c r="H74" s="272">
        <v>8.0030000000000004E-2</v>
      </c>
      <c r="I74" s="271" t="s">
        <v>8</v>
      </c>
      <c r="J74" s="265" t="s">
        <v>300</v>
      </c>
      <c r="K74" s="265" t="s">
        <v>471</v>
      </c>
      <c r="L74" s="264" t="s">
        <v>472</v>
      </c>
      <c r="M74" s="265" t="s">
        <v>384</v>
      </c>
      <c r="N74" s="265" t="s">
        <v>8</v>
      </c>
      <c r="O74" s="265" t="s">
        <v>385</v>
      </c>
      <c r="P74" s="265" t="s">
        <v>115</v>
      </c>
      <c r="Q74" s="271" t="s">
        <v>1170</v>
      </c>
      <c r="R74" s="271" t="s">
        <v>473</v>
      </c>
      <c r="S74" s="265" t="s">
        <v>298</v>
      </c>
      <c r="T74" s="265" t="s">
        <v>451</v>
      </c>
      <c r="U74" s="47"/>
    </row>
    <row r="75" spans="1:21" x14ac:dyDescent="0.2">
      <c r="A75" s="68" t="str">
        <f t="shared" si="1"/>
        <v>14ALM PRFB</v>
      </c>
      <c r="B75" s="70"/>
      <c r="C75" s="71"/>
      <c r="D75" s="263" t="s">
        <v>464</v>
      </c>
      <c r="E75" s="263" t="s">
        <v>133</v>
      </c>
      <c r="F75" s="271" t="s">
        <v>395</v>
      </c>
      <c r="G75" s="271" t="s">
        <v>395</v>
      </c>
      <c r="H75" s="272">
        <v>8.004E-2</v>
      </c>
      <c r="I75" s="271" t="s">
        <v>8</v>
      </c>
      <c r="J75" s="265" t="s">
        <v>300</v>
      </c>
      <c r="K75" s="265" t="s">
        <v>474</v>
      </c>
      <c r="L75" s="264" t="s">
        <v>475</v>
      </c>
      <c r="M75" s="265" t="s">
        <v>384</v>
      </c>
      <c r="N75" s="265" t="s">
        <v>8</v>
      </c>
      <c r="O75" s="265" t="s">
        <v>385</v>
      </c>
      <c r="P75" s="265" t="s">
        <v>115</v>
      </c>
      <c r="Q75" s="271" t="s">
        <v>1171</v>
      </c>
      <c r="R75" s="271" t="s">
        <v>476</v>
      </c>
      <c r="S75" s="265" t="s">
        <v>462</v>
      </c>
      <c r="T75" s="265" t="s">
        <v>463</v>
      </c>
      <c r="U75" s="47"/>
    </row>
    <row r="76" spans="1:21" x14ac:dyDescent="0.2">
      <c r="A76" s="68" t="str">
        <f t="shared" si="1"/>
        <v>16SST304PA</v>
      </c>
      <c r="B76" s="70"/>
      <c r="C76" s="71"/>
      <c r="D76" s="263" t="s">
        <v>477</v>
      </c>
      <c r="E76" s="263" t="s">
        <v>175</v>
      </c>
      <c r="F76" s="271" t="s">
        <v>412</v>
      </c>
      <c r="G76" s="271" t="s">
        <v>412</v>
      </c>
      <c r="H76" s="272">
        <v>6.0040000000000003E-2</v>
      </c>
      <c r="I76" s="271" t="s">
        <v>8</v>
      </c>
      <c r="J76" s="265" t="s">
        <v>300</v>
      </c>
      <c r="K76" s="265" t="s">
        <v>478</v>
      </c>
      <c r="L76" s="264" t="s">
        <v>479</v>
      </c>
      <c r="M76" s="265" t="s">
        <v>155</v>
      </c>
      <c r="N76" s="267" t="s">
        <v>156</v>
      </c>
      <c r="O76" s="265" t="s">
        <v>121</v>
      </c>
      <c r="P76" s="265" t="s">
        <v>115</v>
      </c>
      <c r="Q76" s="271" t="s">
        <v>480</v>
      </c>
      <c r="R76" s="271" t="s">
        <v>481</v>
      </c>
      <c r="S76" s="265" t="s">
        <v>298</v>
      </c>
      <c r="T76" s="265" t="s">
        <v>451</v>
      </c>
      <c r="U76" s="47"/>
    </row>
    <row r="77" spans="1:21" x14ac:dyDescent="0.2">
      <c r="A77" s="68" t="str">
        <f t="shared" si="1"/>
        <v>18SST304PA</v>
      </c>
      <c r="B77" s="70"/>
      <c r="C77" s="78"/>
      <c r="D77" s="263" t="s">
        <v>477</v>
      </c>
      <c r="E77" s="263" t="s">
        <v>179</v>
      </c>
      <c r="F77" s="271" t="s">
        <v>413</v>
      </c>
      <c r="G77" s="271" t="s">
        <v>413</v>
      </c>
      <c r="H77" s="272">
        <v>4.8030000000000003E-2</v>
      </c>
      <c r="I77" s="271" t="s">
        <v>8</v>
      </c>
      <c r="J77" s="265" t="s">
        <v>300</v>
      </c>
      <c r="K77" s="265" t="s">
        <v>482</v>
      </c>
      <c r="L77" s="264" t="s">
        <v>483</v>
      </c>
      <c r="M77" s="265" t="s">
        <v>155</v>
      </c>
      <c r="N77" s="267" t="s">
        <v>156</v>
      </c>
      <c r="O77" s="265" t="s">
        <v>121</v>
      </c>
      <c r="P77" s="265" t="s">
        <v>115</v>
      </c>
      <c r="Q77" s="271" t="s">
        <v>480</v>
      </c>
      <c r="R77" s="271" t="s">
        <v>484</v>
      </c>
      <c r="S77" s="265" t="s">
        <v>298</v>
      </c>
      <c r="T77" s="265" t="s">
        <v>451</v>
      </c>
      <c r="U77" s="47"/>
    </row>
    <row r="78" spans="1:21" x14ac:dyDescent="0.2">
      <c r="A78" s="68" t="str">
        <f t="shared" si="1"/>
        <v>20SST304PA</v>
      </c>
      <c r="B78" s="70"/>
      <c r="C78" s="78"/>
      <c r="D78" s="263" t="s">
        <v>477</v>
      </c>
      <c r="E78" s="263" t="s">
        <v>182</v>
      </c>
      <c r="F78" s="271" t="s">
        <v>414</v>
      </c>
      <c r="G78" s="271" t="s">
        <v>414</v>
      </c>
      <c r="H78" s="272">
        <v>3.5029999999999999E-2</v>
      </c>
      <c r="I78" s="271" t="s">
        <v>8</v>
      </c>
      <c r="J78" s="271" t="s">
        <v>300</v>
      </c>
      <c r="K78" s="271" t="s">
        <v>485</v>
      </c>
      <c r="L78" s="263" t="s">
        <v>486</v>
      </c>
      <c r="M78" s="271" t="s">
        <v>155</v>
      </c>
      <c r="N78" s="267" t="s">
        <v>156</v>
      </c>
      <c r="O78" s="271" t="s">
        <v>121</v>
      </c>
      <c r="P78" s="271" t="s">
        <v>115</v>
      </c>
      <c r="Q78" s="271" t="s">
        <v>480</v>
      </c>
      <c r="R78" s="271" t="s">
        <v>487</v>
      </c>
      <c r="S78" s="271" t="s">
        <v>298</v>
      </c>
      <c r="T78" s="271" t="s">
        <v>451</v>
      </c>
      <c r="U78" s="47"/>
    </row>
    <row r="79" spans="1:21" x14ac:dyDescent="0.2">
      <c r="A79" s="68" t="str">
        <f t="shared" si="1"/>
        <v>16SST304PC</v>
      </c>
      <c r="B79" s="70"/>
      <c r="C79" s="78"/>
      <c r="D79" s="263" t="s">
        <v>477</v>
      </c>
      <c r="E79" s="264" t="s">
        <v>175</v>
      </c>
      <c r="F79" s="265" t="s">
        <v>412</v>
      </c>
      <c r="G79" s="265" t="s">
        <v>412</v>
      </c>
      <c r="H79" s="266">
        <v>6.0049999999999999E-2</v>
      </c>
      <c r="I79" s="265" t="s">
        <v>8</v>
      </c>
      <c r="J79" s="265" t="s">
        <v>300</v>
      </c>
      <c r="K79" s="265" t="s">
        <v>488</v>
      </c>
      <c r="L79" s="264" t="s">
        <v>489</v>
      </c>
      <c r="M79" s="265" t="s">
        <v>155</v>
      </c>
      <c r="N79" s="267" t="s">
        <v>156</v>
      </c>
      <c r="O79" s="271" t="s">
        <v>121</v>
      </c>
      <c r="P79" s="265" t="s">
        <v>115</v>
      </c>
      <c r="Q79" s="271" t="s">
        <v>490</v>
      </c>
      <c r="R79" s="265" t="s">
        <v>491</v>
      </c>
      <c r="S79" s="265" t="s">
        <v>451</v>
      </c>
      <c r="T79" s="265" t="s">
        <v>492</v>
      </c>
      <c r="U79" s="47"/>
    </row>
    <row r="80" spans="1:21" ht="13.5" thickBot="1" x14ac:dyDescent="0.25">
      <c r="A80" s="72" t="str">
        <f t="shared" si="1"/>
        <v>18SST304PB</v>
      </c>
      <c r="B80" s="70"/>
      <c r="C80" s="78"/>
      <c r="D80" s="280" t="s">
        <v>477</v>
      </c>
      <c r="E80" s="280" t="s">
        <v>179</v>
      </c>
      <c r="F80" s="281" t="s">
        <v>413</v>
      </c>
      <c r="G80" s="281" t="s">
        <v>413</v>
      </c>
      <c r="H80" s="282">
        <v>4.8039999999999999E-2</v>
      </c>
      <c r="I80" s="281" t="s">
        <v>8</v>
      </c>
      <c r="J80" s="281" t="s">
        <v>300</v>
      </c>
      <c r="K80" s="281" t="s">
        <v>493</v>
      </c>
      <c r="L80" s="280" t="s">
        <v>494</v>
      </c>
      <c r="M80" s="281" t="s">
        <v>155</v>
      </c>
      <c r="N80" s="286" t="s">
        <v>156</v>
      </c>
      <c r="O80" s="281" t="s">
        <v>121</v>
      </c>
      <c r="P80" s="281" t="s">
        <v>115</v>
      </c>
      <c r="Q80" s="281" t="s">
        <v>495</v>
      </c>
      <c r="R80" s="281" t="s">
        <v>496</v>
      </c>
      <c r="S80" s="281" t="s">
        <v>462</v>
      </c>
      <c r="T80" s="281" t="s">
        <v>463</v>
      </c>
      <c r="U80" s="47"/>
    </row>
    <row r="81" spans="1:21" ht="17.25" customHeight="1" thickTop="1" thickBot="1" x14ac:dyDescent="0.25">
      <c r="A81" s="37" t="str">
        <f t="shared" si="1"/>
        <v/>
      </c>
      <c r="B81" s="70"/>
      <c r="C81" s="74"/>
      <c r="D81" s="288"/>
      <c r="E81" s="288"/>
      <c r="F81" s="288"/>
      <c r="G81" s="288"/>
      <c r="H81" s="288"/>
      <c r="I81" s="288"/>
      <c r="J81" s="288"/>
      <c r="K81" s="288"/>
      <c r="L81" s="288"/>
      <c r="M81" s="289"/>
      <c r="N81" s="289"/>
      <c r="O81" s="289"/>
      <c r="P81" s="289"/>
      <c r="Q81" s="289"/>
      <c r="R81" s="289"/>
      <c r="S81" s="289"/>
      <c r="T81" s="305"/>
      <c r="U81" s="47"/>
    </row>
    <row r="82" spans="1:21" ht="17.25" customHeight="1" thickTop="1" thickBot="1" x14ac:dyDescent="0.25">
      <c r="A82" s="37" t="str">
        <f t="shared" si="1"/>
        <v/>
      </c>
      <c r="B82" s="70"/>
      <c r="C82" s="79" t="s">
        <v>497</v>
      </c>
      <c r="D82" s="3"/>
      <c r="E82" s="3"/>
      <c r="F82" s="3"/>
      <c r="G82" s="3"/>
      <c r="H82" s="3"/>
      <c r="I82" s="3"/>
      <c r="J82" s="3"/>
      <c r="K82" s="3"/>
      <c r="L82" s="3"/>
      <c r="M82" s="8"/>
      <c r="N82" s="8"/>
      <c r="O82" s="8"/>
      <c r="P82" s="8"/>
      <c r="Q82" s="8"/>
      <c r="R82" s="8"/>
      <c r="S82" s="8"/>
      <c r="T82" s="8"/>
      <c r="U82" s="47"/>
    </row>
    <row r="83" spans="1:21" ht="13.5" thickTop="1" x14ac:dyDescent="0.2">
      <c r="A83" s="76" t="str">
        <f t="shared" si="1"/>
        <v>9GALV EXPA</v>
      </c>
      <c r="B83" s="70"/>
      <c r="C83" s="78"/>
      <c r="D83" s="290" t="s">
        <v>498</v>
      </c>
      <c r="E83" s="290" t="s">
        <v>213</v>
      </c>
      <c r="F83" s="291" t="s">
        <v>499</v>
      </c>
      <c r="G83" s="291" t="s">
        <v>499</v>
      </c>
      <c r="H83" s="292">
        <v>0.14602000000000001</v>
      </c>
      <c r="I83" s="291" t="s">
        <v>297</v>
      </c>
      <c r="J83" s="291" t="s">
        <v>8</v>
      </c>
      <c r="K83" s="291" t="s">
        <v>214</v>
      </c>
      <c r="L83" s="290" t="s">
        <v>215</v>
      </c>
      <c r="M83" s="291" t="s">
        <v>112</v>
      </c>
      <c r="N83" s="293" t="s">
        <v>216</v>
      </c>
      <c r="O83" s="291" t="s">
        <v>217</v>
      </c>
      <c r="P83" s="291" t="s">
        <v>115</v>
      </c>
      <c r="Q83" s="291" t="s">
        <v>1172</v>
      </c>
      <c r="R83" s="293" t="s">
        <v>218</v>
      </c>
      <c r="S83" s="291" t="s">
        <v>219</v>
      </c>
      <c r="T83" s="291" t="s">
        <v>212</v>
      </c>
      <c r="U83" s="47"/>
    </row>
    <row r="84" spans="1:21" x14ac:dyDescent="0.2">
      <c r="A84" s="68" t="str">
        <f t="shared" si="1"/>
        <v>9GALV EXPB</v>
      </c>
      <c r="B84" s="70"/>
      <c r="C84" s="78"/>
      <c r="D84" s="263" t="s">
        <v>498</v>
      </c>
      <c r="E84" s="263" t="s">
        <v>213</v>
      </c>
      <c r="F84" s="271" t="s">
        <v>499</v>
      </c>
      <c r="G84" s="271" t="s">
        <v>499</v>
      </c>
      <c r="H84" s="266">
        <v>0.14601</v>
      </c>
      <c r="I84" s="271" t="s">
        <v>297</v>
      </c>
      <c r="J84" s="271" t="s">
        <v>8</v>
      </c>
      <c r="K84" s="271" t="s">
        <v>220</v>
      </c>
      <c r="L84" s="263" t="s">
        <v>221</v>
      </c>
      <c r="M84" s="271" t="s">
        <v>112</v>
      </c>
      <c r="N84" s="273" t="s">
        <v>216</v>
      </c>
      <c r="O84" s="271" t="s">
        <v>217</v>
      </c>
      <c r="P84" s="271" t="s">
        <v>115</v>
      </c>
      <c r="Q84" s="271" t="s">
        <v>1173</v>
      </c>
      <c r="R84" s="273" t="s">
        <v>222</v>
      </c>
      <c r="S84" s="271" t="s">
        <v>223</v>
      </c>
      <c r="T84" s="271" t="s">
        <v>212</v>
      </c>
      <c r="U84" s="47"/>
    </row>
    <row r="85" spans="1:21" x14ac:dyDescent="0.2">
      <c r="A85" s="68" t="str">
        <f t="shared" si="1"/>
        <v>9GALV EXPBY</v>
      </c>
      <c r="B85" s="70"/>
      <c r="C85" s="78"/>
      <c r="D85" s="263" t="s">
        <v>498</v>
      </c>
      <c r="E85" s="264" t="s">
        <v>213</v>
      </c>
      <c r="F85" s="265" t="s">
        <v>499</v>
      </c>
      <c r="G85" s="265" t="s">
        <v>499</v>
      </c>
      <c r="H85" s="272">
        <v>0.14604</v>
      </c>
      <c r="I85" s="265" t="s">
        <v>8</v>
      </c>
      <c r="J85" s="265" t="s">
        <v>300</v>
      </c>
      <c r="K85" s="265" t="s">
        <v>500</v>
      </c>
      <c r="L85" s="264" t="s">
        <v>501</v>
      </c>
      <c r="M85" s="265" t="s">
        <v>112</v>
      </c>
      <c r="N85" s="267" t="s">
        <v>216</v>
      </c>
      <c r="O85" s="265" t="s">
        <v>502</v>
      </c>
      <c r="P85" s="265" t="s">
        <v>115</v>
      </c>
      <c r="Q85" s="265" t="s">
        <v>1174</v>
      </c>
      <c r="R85" s="267" t="s">
        <v>503</v>
      </c>
      <c r="S85" s="265" t="s">
        <v>223</v>
      </c>
      <c r="T85" s="265" t="s">
        <v>212</v>
      </c>
      <c r="U85" s="47"/>
    </row>
    <row r="86" spans="1:21" x14ac:dyDescent="0.2">
      <c r="A86" s="68" t="str">
        <f t="shared" si="1"/>
        <v>11GALV EXPA</v>
      </c>
      <c r="B86" s="70"/>
      <c r="C86" s="71"/>
      <c r="D86" s="263" t="s">
        <v>498</v>
      </c>
      <c r="E86" s="264" t="s">
        <v>367</v>
      </c>
      <c r="F86" s="265" t="s">
        <v>504</v>
      </c>
      <c r="G86" s="265" t="s">
        <v>504</v>
      </c>
      <c r="H86" s="266">
        <v>0.12001000000000001</v>
      </c>
      <c r="I86" s="265" t="s">
        <v>8</v>
      </c>
      <c r="J86" s="265" t="s">
        <v>300</v>
      </c>
      <c r="K86" s="265" t="s">
        <v>505</v>
      </c>
      <c r="L86" s="264" t="s">
        <v>506</v>
      </c>
      <c r="M86" s="265" t="s">
        <v>112</v>
      </c>
      <c r="N86" s="267" t="s">
        <v>216</v>
      </c>
      <c r="O86" s="265" t="s">
        <v>217</v>
      </c>
      <c r="P86" s="265" t="s">
        <v>115</v>
      </c>
      <c r="Q86" s="265" t="s">
        <v>1172</v>
      </c>
      <c r="R86" s="267" t="s">
        <v>507</v>
      </c>
      <c r="S86" s="265" t="s">
        <v>219</v>
      </c>
      <c r="T86" s="265" t="s">
        <v>212</v>
      </c>
      <c r="U86" s="47"/>
    </row>
    <row r="87" spans="1:21" x14ac:dyDescent="0.2">
      <c r="A87" s="68" t="str">
        <f t="shared" si="1"/>
        <v>16ALM EXP</v>
      </c>
      <c r="B87" s="70"/>
      <c r="C87" s="71"/>
      <c r="D87" s="263" t="s">
        <v>508</v>
      </c>
      <c r="E87" s="264" t="s">
        <v>175</v>
      </c>
      <c r="F87" s="265" t="s">
        <v>412</v>
      </c>
      <c r="G87" s="265" t="s">
        <v>412</v>
      </c>
      <c r="H87" s="266">
        <v>6.0060000000000002E-2</v>
      </c>
      <c r="I87" s="265" t="s">
        <v>297</v>
      </c>
      <c r="J87" s="265" t="s">
        <v>8</v>
      </c>
      <c r="K87" s="265" t="s">
        <v>208</v>
      </c>
      <c r="L87" s="264" t="s">
        <v>209</v>
      </c>
      <c r="M87" s="265" t="s">
        <v>384</v>
      </c>
      <c r="N87" s="267" t="s">
        <v>8</v>
      </c>
      <c r="O87" s="265" t="s">
        <v>188</v>
      </c>
      <c r="P87" s="265" t="s">
        <v>115</v>
      </c>
      <c r="Q87" s="265" t="s">
        <v>1175</v>
      </c>
      <c r="R87" s="267" t="s">
        <v>210</v>
      </c>
      <c r="S87" s="265" t="s">
        <v>211</v>
      </c>
      <c r="T87" s="265" t="s">
        <v>212</v>
      </c>
      <c r="U87" s="47"/>
    </row>
    <row r="88" spans="1:21" x14ac:dyDescent="0.2">
      <c r="A88" s="68" t="str">
        <f t="shared" si="1"/>
        <v>9SST304E</v>
      </c>
      <c r="B88" s="70"/>
      <c r="C88" s="71"/>
      <c r="D88" s="263" t="s">
        <v>509</v>
      </c>
      <c r="E88" s="264" t="s">
        <v>213</v>
      </c>
      <c r="F88" s="265" t="s">
        <v>499</v>
      </c>
      <c r="G88" s="265" t="s">
        <v>499</v>
      </c>
      <c r="H88" s="266">
        <v>0.14602999999999999</v>
      </c>
      <c r="I88" s="265" t="s">
        <v>8</v>
      </c>
      <c r="J88" s="265" t="s">
        <v>300</v>
      </c>
      <c r="K88" s="265" t="s">
        <v>510</v>
      </c>
      <c r="L88" s="264" t="s">
        <v>511</v>
      </c>
      <c r="M88" s="277">
        <v>304</v>
      </c>
      <c r="N88" s="267" t="s">
        <v>156</v>
      </c>
      <c r="O88" s="265" t="s">
        <v>502</v>
      </c>
      <c r="P88" s="265" t="s">
        <v>115</v>
      </c>
      <c r="Q88" s="265" t="s">
        <v>512</v>
      </c>
      <c r="R88" s="267" t="s">
        <v>513</v>
      </c>
      <c r="S88" s="265" t="s">
        <v>223</v>
      </c>
      <c r="T88" s="265" t="s">
        <v>212</v>
      </c>
      <c r="U88" s="47"/>
    </row>
    <row r="89" spans="1:21" x14ac:dyDescent="0.2">
      <c r="A89" s="68" t="str">
        <f t="shared" si="1"/>
        <v>11SST304E</v>
      </c>
      <c r="B89" s="70"/>
      <c r="C89" s="71"/>
      <c r="D89" s="263" t="s">
        <v>509</v>
      </c>
      <c r="E89" s="264" t="s">
        <v>367</v>
      </c>
      <c r="F89" s="265" t="s">
        <v>504</v>
      </c>
      <c r="G89" s="265" t="s">
        <v>504</v>
      </c>
      <c r="H89" s="266">
        <v>0.12002</v>
      </c>
      <c r="I89" s="265" t="s">
        <v>8</v>
      </c>
      <c r="J89" s="265" t="s">
        <v>300</v>
      </c>
      <c r="K89" s="265" t="s">
        <v>514</v>
      </c>
      <c r="L89" s="264" t="s">
        <v>515</v>
      </c>
      <c r="M89" s="265" t="s">
        <v>155</v>
      </c>
      <c r="N89" s="267" t="s">
        <v>156</v>
      </c>
      <c r="O89" s="265" t="s">
        <v>121</v>
      </c>
      <c r="P89" s="265" t="s">
        <v>115</v>
      </c>
      <c r="Q89" s="265" t="s">
        <v>512</v>
      </c>
      <c r="R89" s="265" t="s">
        <v>516</v>
      </c>
      <c r="S89" s="265" t="s">
        <v>219</v>
      </c>
      <c r="T89" s="265" t="s">
        <v>212</v>
      </c>
      <c r="U89" s="47"/>
    </row>
    <row r="90" spans="1:21" x14ac:dyDescent="0.2">
      <c r="A90" s="68" t="str">
        <f t="shared" si="1"/>
        <v>20ALM EMB</v>
      </c>
      <c r="B90" s="70"/>
      <c r="C90" s="71"/>
      <c r="D90" s="264" t="s">
        <v>517</v>
      </c>
      <c r="E90" s="264" t="s">
        <v>182</v>
      </c>
      <c r="F90" s="265" t="s">
        <v>381</v>
      </c>
      <c r="G90" s="265" t="s">
        <v>381</v>
      </c>
      <c r="H90" s="266">
        <v>4.002E-2</v>
      </c>
      <c r="I90" s="265" t="s">
        <v>8</v>
      </c>
      <c r="J90" s="265" t="s">
        <v>300</v>
      </c>
      <c r="K90" s="265" t="s">
        <v>518</v>
      </c>
      <c r="L90" s="264" t="s">
        <v>519</v>
      </c>
      <c r="M90" s="265" t="s">
        <v>384</v>
      </c>
      <c r="N90" s="267" t="s">
        <v>520</v>
      </c>
      <c r="O90" s="265" t="s">
        <v>385</v>
      </c>
      <c r="P90" s="265" t="s">
        <v>115</v>
      </c>
      <c r="Q90" s="265" t="s">
        <v>1176</v>
      </c>
      <c r="R90" s="265" t="s">
        <v>521</v>
      </c>
      <c r="S90" s="265" t="s">
        <v>522</v>
      </c>
      <c r="T90" s="265" t="s">
        <v>117</v>
      </c>
      <c r="U90" s="47"/>
    </row>
    <row r="91" spans="1:21" x14ac:dyDescent="0.2">
      <c r="A91" s="68" t="str">
        <f t="shared" si="1"/>
        <v>14ALM EMB</v>
      </c>
      <c r="B91" s="70"/>
      <c r="C91" s="78"/>
      <c r="D91" s="264" t="s">
        <v>517</v>
      </c>
      <c r="E91" s="264" t="s">
        <v>133</v>
      </c>
      <c r="F91" s="265" t="s">
        <v>395</v>
      </c>
      <c r="G91" s="265" t="s">
        <v>395</v>
      </c>
      <c r="H91" s="266">
        <v>8.0019999999999994E-2</v>
      </c>
      <c r="I91" s="265" t="s">
        <v>8</v>
      </c>
      <c r="J91" s="265" t="s">
        <v>300</v>
      </c>
      <c r="K91" s="277" t="s">
        <v>523</v>
      </c>
      <c r="L91" s="278" t="s">
        <v>524</v>
      </c>
      <c r="M91" s="277" t="s">
        <v>384</v>
      </c>
      <c r="N91" s="267" t="s">
        <v>520</v>
      </c>
      <c r="O91" s="265" t="s">
        <v>385</v>
      </c>
      <c r="P91" s="265" t="s">
        <v>115</v>
      </c>
      <c r="Q91" s="265" t="s">
        <v>1176</v>
      </c>
      <c r="R91" s="265" t="s">
        <v>525</v>
      </c>
      <c r="S91" s="265" t="s">
        <v>522</v>
      </c>
      <c r="T91" s="265" t="s">
        <v>117</v>
      </c>
      <c r="U91" s="47"/>
    </row>
    <row r="92" spans="1:21" x14ac:dyDescent="0.2">
      <c r="A92" s="68" t="str">
        <f t="shared" si="1"/>
        <v>1SST304G</v>
      </c>
      <c r="B92" s="70"/>
      <c r="C92" s="78"/>
      <c r="D92" s="263" t="s">
        <v>526</v>
      </c>
      <c r="E92" s="263" t="s">
        <v>527</v>
      </c>
      <c r="F92" s="271" t="s">
        <v>528</v>
      </c>
      <c r="G92" s="271" t="s">
        <v>528</v>
      </c>
      <c r="H92" s="272">
        <v>1.0000199999999999</v>
      </c>
      <c r="I92" s="271" t="s">
        <v>8</v>
      </c>
      <c r="J92" s="271" t="s">
        <v>300</v>
      </c>
      <c r="K92" s="306" t="s">
        <v>529</v>
      </c>
      <c r="L92" s="263" t="s">
        <v>530</v>
      </c>
      <c r="M92" s="271" t="s">
        <v>155</v>
      </c>
      <c r="N92" s="306" t="s">
        <v>156</v>
      </c>
      <c r="O92" s="271" t="s">
        <v>531</v>
      </c>
      <c r="P92" s="271" t="s">
        <v>115</v>
      </c>
      <c r="Q92" s="271" t="s">
        <v>532</v>
      </c>
      <c r="R92" s="273" t="s">
        <v>533</v>
      </c>
      <c r="S92" s="273" t="s">
        <v>534</v>
      </c>
      <c r="T92" s="273" t="s">
        <v>117</v>
      </c>
      <c r="U92" s="47"/>
    </row>
    <row r="93" spans="1:21" x14ac:dyDescent="0.2">
      <c r="A93" s="68" t="str">
        <f t="shared" si="1"/>
        <v>1ALM GRATE</v>
      </c>
      <c r="B93" s="70"/>
      <c r="C93" s="78"/>
      <c r="D93" s="264" t="s">
        <v>526</v>
      </c>
      <c r="E93" s="264" t="s">
        <v>527</v>
      </c>
      <c r="F93" s="265" t="s">
        <v>528</v>
      </c>
      <c r="G93" s="265" t="s">
        <v>528</v>
      </c>
      <c r="H93" s="266">
        <v>1.00003</v>
      </c>
      <c r="I93" s="265" t="s">
        <v>8</v>
      </c>
      <c r="J93" s="265" t="s">
        <v>300</v>
      </c>
      <c r="K93" s="265" t="s">
        <v>535</v>
      </c>
      <c r="L93" s="264" t="s">
        <v>536</v>
      </c>
      <c r="M93" s="265" t="s">
        <v>384</v>
      </c>
      <c r="N93" s="273" t="s">
        <v>8</v>
      </c>
      <c r="O93" s="271" t="s">
        <v>531</v>
      </c>
      <c r="P93" s="271" t="s">
        <v>115</v>
      </c>
      <c r="Q93" s="265" t="s">
        <v>1177</v>
      </c>
      <c r="R93" s="267" t="s">
        <v>537</v>
      </c>
      <c r="S93" s="265" t="s">
        <v>538</v>
      </c>
      <c r="T93" s="265" t="s">
        <v>117</v>
      </c>
      <c r="U93" s="47"/>
    </row>
    <row r="94" spans="1:21" ht="13.5" thickBot="1" x14ac:dyDescent="0.25">
      <c r="A94" s="72" t="str">
        <f t="shared" si="1"/>
        <v>1GALV GRATE</v>
      </c>
      <c r="B94" s="70"/>
      <c r="C94" s="78"/>
      <c r="D94" s="264" t="s">
        <v>526</v>
      </c>
      <c r="E94" s="264" t="s">
        <v>527</v>
      </c>
      <c r="F94" s="265" t="s">
        <v>528</v>
      </c>
      <c r="G94" s="265" t="s">
        <v>528</v>
      </c>
      <c r="H94" s="266">
        <v>1.0000100000000001</v>
      </c>
      <c r="I94" s="265" t="s">
        <v>8</v>
      </c>
      <c r="J94" s="265" t="s">
        <v>300</v>
      </c>
      <c r="K94" s="265" t="s">
        <v>539</v>
      </c>
      <c r="L94" s="264" t="s">
        <v>540</v>
      </c>
      <c r="M94" s="265" t="s">
        <v>112</v>
      </c>
      <c r="N94" s="267" t="s">
        <v>541</v>
      </c>
      <c r="O94" s="265" t="s">
        <v>531</v>
      </c>
      <c r="P94" s="265" t="s">
        <v>115</v>
      </c>
      <c r="Q94" s="265" t="s">
        <v>1178</v>
      </c>
      <c r="R94" s="267" t="s">
        <v>542</v>
      </c>
      <c r="S94" s="265" t="s">
        <v>543</v>
      </c>
      <c r="T94" s="265" t="s">
        <v>117</v>
      </c>
      <c r="U94" s="47"/>
    </row>
    <row r="95" spans="1:21" ht="18" customHeight="1" thickTop="1" thickBot="1" x14ac:dyDescent="0.25">
      <c r="A95" s="37" t="str">
        <f t="shared" si="1"/>
        <v>19GALV CLOTH</v>
      </c>
      <c r="B95" s="70"/>
      <c r="C95" s="80"/>
      <c r="D95" s="280" t="s">
        <v>1179</v>
      </c>
      <c r="E95" s="280" t="s">
        <v>1180</v>
      </c>
      <c r="F95" s="281" t="s">
        <v>1181</v>
      </c>
      <c r="G95" s="281" t="s">
        <v>1181</v>
      </c>
      <c r="H95" s="282">
        <v>4.0030000000000003E-2</v>
      </c>
      <c r="I95" s="281" t="s">
        <v>8</v>
      </c>
      <c r="J95" s="281" t="s">
        <v>300</v>
      </c>
      <c r="K95" s="281" t="s">
        <v>1182</v>
      </c>
      <c r="L95" s="280" t="s">
        <v>1183</v>
      </c>
      <c r="M95" s="281" t="s">
        <v>112</v>
      </c>
      <c r="N95" s="286" t="s">
        <v>1184</v>
      </c>
      <c r="O95" s="281" t="s">
        <v>217</v>
      </c>
      <c r="P95" s="281" t="s">
        <v>115</v>
      </c>
      <c r="Q95" s="281" t="s">
        <v>1185</v>
      </c>
      <c r="R95" s="286" t="s">
        <v>1186</v>
      </c>
      <c r="S95" s="281" t="s">
        <v>117</v>
      </c>
      <c r="T95" s="281" t="s">
        <v>117</v>
      </c>
      <c r="U95" s="47"/>
    </row>
    <row r="96" spans="1:21" ht="18" customHeight="1" thickTop="1" thickBot="1" x14ac:dyDescent="0.25">
      <c r="A96" s="37" t="str">
        <f t="shared" si="1"/>
        <v/>
      </c>
      <c r="B96" s="70"/>
      <c r="C96" s="79" t="s">
        <v>544</v>
      </c>
      <c r="D96" s="307"/>
      <c r="E96" s="307"/>
      <c r="F96" s="307"/>
      <c r="G96" s="307"/>
      <c r="H96" s="307"/>
      <c r="I96" s="307"/>
      <c r="J96" s="307"/>
      <c r="K96" s="307"/>
      <c r="L96" s="307"/>
      <c r="M96" s="308"/>
      <c r="N96" s="308"/>
      <c r="O96" s="308"/>
      <c r="P96" s="308"/>
      <c r="Q96" s="308"/>
      <c r="R96" s="308"/>
      <c r="S96" s="308"/>
      <c r="T96" s="309"/>
      <c r="U96" s="47"/>
    </row>
    <row r="97" spans="1:21" ht="14.25" thickTop="1" thickBot="1" x14ac:dyDescent="0.25">
      <c r="A97" s="76" t="str">
        <f t="shared" si="1"/>
        <v/>
      </c>
      <c r="B97" s="70"/>
      <c r="C97" s="78"/>
      <c r="D97" s="3"/>
      <c r="E97" s="3"/>
      <c r="F97" s="3"/>
      <c r="G97" s="3"/>
      <c r="H97" s="3"/>
      <c r="I97" s="3"/>
      <c r="J97" s="3"/>
      <c r="K97" s="3"/>
      <c r="L97" s="3"/>
      <c r="M97" s="8"/>
      <c r="N97" s="8"/>
      <c r="O97" s="8"/>
      <c r="P97" s="8"/>
      <c r="Q97" s="8"/>
      <c r="R97" s="8"/>
      <c r="S97" s="8"/>
      <c r="T97" s="8"/>
      <c r="U97" s="47"/>
    </row>
    <row r="98" spans="1:21" ht="13.5" thickTop="1" x14ac:dyDescent="0.2">
      <c r="A98" s="68" t="str">
        <f t="shared" si="1"/>
        <v>12STL DIA HR</v>
      </c>
      <c r="B98" s="70"/>
      <c r="C98" s="78"/>
      <c r="D98" s="310" t="s">
        <v>545</v>
      </c>
      <c r="E98" s="310" t="s">
        <v>130</v>
      </c>
      <c r="F98" s="311" t="s">
        <v>301</v>
      </c>
      <c r="G98" s="311" t="s">
        <v>302</v>
      </c>
      <c r="H98" s="312">
        <v>9.7030000000000005E-2</v>
      </c>
      <c r="I98" s="311" t="s">
        <v>8</v>
      </c>
      <c r="J98" s="311" t="s">
        <v>300</v>
      </c>
      <c r="K98" s="311" t="s">
        <v>546</v>
      </c>
      <c r="L98" s="310" t="s">
        <v>547</v>
      </c>
      <c r="M98" s="311" t="s">
        <v>364</v>
      </c>
      <c r="N98" s="313" t="s">
        <v>8</v>
      </c>
      <c r="O98" s="311" t="s">
        <v>371</v>
      </c>
      <c r="P98" s="311" t="s">
        <v>115</v>
      </c>
      <c r="Q98" s="311" t="s">
        <v>1187</v>
      </c>
      <c r="R98" s="313" t="s">
        <v>548</v>
      </c>
      <c r="S98" s="311" t="s">
        <v>226</v>
      </c>
      <c r="T98" s="311" t="s">
        <v>117</v>
      </c>
      <c r="U98" s="47"/>
    </row>
    <row r="99" spans="1:21" x14ac:dyDescent="0.2">
      <c r="A99" s="68" t="str">
        <f t="shared" si="1"/>
        <v>14STL DIA HR</v>
      </c>
      <c r="B99" s="70"/>
      <c r="C99" s="78"/>
      <c r="D99" s="314" t="s">
        <v>545</v>
      </c>
      <c r="E99" s="314" t="s">
        <v>133</v>
      </c>
      <c r="F99" s="315" t="s">
        <v>303</v>
      </c>
      <c r="G99" s="315" t="s">
        <v>304</v>
      </c>
      <c r="H99" s="316">
        <v>7.0040000000000005E-2</v>
      </c>
      <c r="I99" s="315" t="s">
        <v>8</v>
      </c>
      <c r="J99" s="315" t="s">
        <v>300</v>
      </c>
      <c r="K99" s="315" t="s">
        <v>549</v>
      </c>
      <c r="L99" s="314" t="s">
        <v>550</v>
      </c>
      <c r="M99" s="315" t="s">
        <v>364</v>
      </c>
      <c r="N99" s="317" t="s">
        <v>8</v>
      </c>
      <c r="O99" s="318" t="s">
        <v>188</v>
      </c>
      <c r="P99" s="318" t="s">
        <v>115</v>
      </c>
      <c r="Q99" s="315" t="s">
        <v>1187</v>
      </c>
      <c r="R99" s="319" t="s">
        <v>551</v>
      </c>
      <c r="S99" s="315" t="s">
        <v>226</v>
      </c>
      <c r="T99" s="315" t="s">
        <v>117</v>
      </c>
      <c r="U99" s="47"/>
    </row>
    <row r="100" spans="1:21" x14ac:dyDescent="0.2">
      <c r="A100" s="68" t="str">
        <f t="shared" si="1"/>
        <v>10STL DIA HR</v>
      </c>
      <c r="B100" s="70"/>
      <c r="C100" s="78"/>
      <c r="D100" s="314" t="s">
        <v>545</v>
      </c>
      <c r="E100" s="314" t="s">
        <v>126</v>
      </c>
      <c r="F100" s="315" t="s">
        <v>298</v>
      </c>
      <c r="G100" s="315" t="s">
        <v>299</v>
      </c>
      <c r="H100" s="316">
        <v>0.12603</v>
      </c>
      <c r="I100" s="315" t="s">
        <v>8</v>
      </c>
      <c r="J100" s="315" t="s">
        <v>300</v>
      </c>
      <c r="K100" s="315" t="s">
        <v>552</v>
      </c>
      <c r="L100" s="314" t="s">
        <v>553</v>
      </c>
      <c r="M100" s="315" t="s">
        <v>364</v>
      </c>
      <c r="N100" s="317" t="s">
        <v>8</v>
      </c>
      <c r="O100" s="318" t="s">
        <v>114</v>
      </c>
      <c r="P100" s="318" t="s">
        <v>115</v>
      </c>
      <c r="Q100" s="315" t="s">
        <v>1187</v>
      </c>
      <c r="R100" s="319" t="s">
        <v>554</v>
      </c>
      <c r="S100" s="315" t="s">
        <v>226</v>
      </c>
      <c r="T100" s="315" t="s">
        <v>117</v>
      </c>
      <c r="U100" s="47"/>
    </row>
    <row r="101" spans="1:21" x14ac:dyDescent="0.2">
      <c r="A101" s="68" t="str">
        <f t="shared" si="1"/>
        <v>7STL DIA HR</v>
      </c>
      <c r="B101" s="70"/>
      <c r="C101" s="78"/>
      <c r="D101" s="314" t="s">
        <v>545</v>
      </c>
      <c r="E101" s="314" t="s">
        <v>555</v>
      </c>
      <c r="F101" s="315" t="s">
        <v>451</v>
      </c>
      <c r="G101" s="315" t="s">
        <v>451</v>
      </c>
      <c r="H101" s="316">
        <v>0.18801000000000001</v>
      </c>
      <c r="I101" s="315" t="s">
        <v>8</v>
      </c>
      <c r="J101" s="315" t="s">
        <v>300</v>
      </c>
      <c r="K101" s="315" t="s">
        <v>556</v>
      </c>
      <c r="L101" s="314" t="s">
        <v>557</v>
      </c>
      <c r="M101" s="315" t="s">
        <v>364</v>
      </c>
      <c r="N101" s="317" t="s">
        <v>8</v>
      </c>
      <c r="O101" s="318" t="s">
        <v>188</v>
      </c>
      <c r="P101" s="318" t="s">
        <v>115</v>
      </c>
      <c r="Q101" s="315" t="s">
        <v>1187</v>
      </c>
      <c r="R101" s="319" t="s">
        <v>558</v>
      </c>
      <c r="S101" s="315" t="s">
        <v>226</v>
      </c>
      <c r="T101" s="315" t="s">
        <v>117</v>
      </c>
      <c r="U101" s="47"/>
    </row>
    <row r="102" spans="1:21" x14ac:dyDescent="0.2">
      <c r="A102" s="68" t="str">
        <f t="shared" si="1"/>
        <v>11ALM DIA</v>
      </c>
      <c r="B102" s="70"/>
      <c r="C102" s="78"/>
      <c r="D102" s="314" t="s">
        <v>559</v>
      </c>
      <c r="E102" s="314" t="s">
        <v>367</v>
      </c>
      <c r="F102" s="315" t="s">
        <v>560</v>
      </c>
      <c r="G102" s="315" t="s">
        <v>560</v>
      </c>
      <c r="H102" s="316">
        <v>0.10001</v>
      </c>
      <c r="I102" s="315" t="s">
        <v>8</v>
      </c>
      <c r="J102" s="315" t="s">
        <v>300</v>
      </c>
      <c r="K102" s="320" t="s">
        <v>561</v>
      </c>
      <c r="L102" s="321" t="s">
        <v>562</v>
      </c>
      <c r="M102" s="315" t="s">
        <v>384</v>
      </c>
      <c r="N102" s="317" t="s">
        <v>8</v>
      </c>
      <c r="O102" s="318" t="s">
        <v>385</v>
      </c>
      <c r="P102" s="318" t="s">
        <v>115</v>
      </c>
      <c r="Q102" s="315" t="s">
        <v>1188</v>
      </c>
      <c r="R102" s="315" t="s">
        <v>563</v>
      </c>
      <c r="S102" s="315" t="s">
        <v>226</v>
      </c>
      <c r="T102" s="315" t="s">
        <v>117</v>
      </c>
      <c r="U102" s="47"/>
    </row>
    <row r="103" spans="1:21" x14ac:dyDescent="0.2">
      <c r="A103" s="68" t="str">
        <f t="shared" si="1"/>
        <v>1/8ALM DIA</v>
      </c>
      <c r="B103" s="70"/>
      <c r="C103" s="78"/>
      <c r="D103" s="314" t="s">
        <v>559</v>
      </c>
      <c r="E103" s="314" t="s">
        <v>201</v>
      </c>
      <c r="F103" s="315" t="s">
        <v>298</v>
      </c>
      <c r="G103" s="315" t="s">
        <v>298</v>
      </c>
      <c r="H103" s="316">
        <v>0.12503</v>
      </c>
      <c r="I103" s="315" t="s">
        <v>297</v>
      </c>
      <c r="J103" s="315" t="s">
        <v>300</v>
      </c>
      <c r="K103" s="315" t="s">
        <v>224</v>
      </c>
      <c r="L103" s="321" t="s">
        <v>564</v>
      </c>
      <c r="M103" s="315" t="s">
        <v>384</v>
      </c>
      <c r="N103" s="317" t="s">
        <v>8</v>
      </c>
      <c r="O103" s="318" t="s">
        <v>121</v>
      </c>
      <c r="P103" s="318" t="s">
        <v>115</v>
      </c>
      <c r="Q103" s="315" t="s">
        <v>1188</v>
      </c>
      <c r="R103" s="319" t="s">
        <v>225</v>
      </c>
      <c r="S103" s="315" t="s">
        <v>226</v>
      </c>
      <c r="T103" s="315" t="s">
        <v>117</v>
      </c>
      <c r="U103" s="47"/>
    </row>
    <row r="104" spans="1:21" x14ac:dyDescent="0.2">
      <c r="A104" s="68" t="str">
        <f t="shared" si="1"/>
        <v>3/16ALM DIA</v>
      </c>
      <c r="B104" s="70"/>
      <c r="C104" s="78"/>
      <c r="D104" s="314" t="s">
        <v>559</v>
      </c>
      <c r="E104" s="314" t="s">
        <v>202</v>
      </c>
      <c r="F104" s="315" t="s">
        <v>451</v>
      </c>
      <c r="G104" s="315" t="s">
        <v>451</v>
      </c>
      <c r="H104" s="316">
        <v>0.18801999999999999</v>
      </c>
      <c r="I104" s="315" t="s">
        <v>8</v>
      </c>
      <c r="J104" s="315" t="s">
        <v>300</v>
      </c>
      <c r="K104" s="320" t="s">
        <v>565</v>
      </c>
      <c r="L104" s="321" t="s">
        <v>566</v>
      </c>
      <c r="M104" s="315" t="s">
        <v>384</v>
      </c>
      <c r="N104" s="317" t="s">
        <v>8</v>
      </c>
      <c r="O104" s="318" t="s">
        <v>385</v>
      </c>
      <c r="P104" s="318" t="s">
        <v>115</v>
      </c>
      <c r="Q104" s="315" t="s">
        <v>1188</v>
      </c>
      <c r="R104" s="315" t="s">
        <v>567</v>
      </c>
      <c r="S104" s="315" t="s">
        <v>226</v>
      </c>
      <c r="T104" s="315" t="s">
        <v>117</v>
      </c>
      <c r="U104" s="47"/>
    </row>
    <row r="105" spans="1:21" x14ac:dyDescent="0.2">
      <c r="A105" s="68" t="str">
        <f t="shared" si="1"/>
        <v>1/8ALMB DIA</v>
      </c>
      <c r="B105" s="70"/>
      <c r="C105" s="78"/>
      <c r="D105" s="314" t="s">
        <v>559</v>
      </c>
      <c r="E105" s="314" t="s">
        <v>201</v>
      </c>
      <c r="F105" s="315" t="s">
        <v>298</v>
      </c>
      <c r="G105" s="322" t="s">
        <v>298</v>
      </c>
      <c r="H105" s="316">
        <v>0.12504000000000001</v>
      </c>
      <c r="I105" s="315" t="s">
        <v>8</v>
      </c>
      <c r="J105" s="315" t="s">
        <v>300</v>
      </c>
      <c r="K105" s="315" t="s">
        <v>568</v>
      </c>
      <c r="L105" s="314" t="s">
        <v>569</v>
      </c>
      <c r="M105" s="315" t="s">
        <v>384</v>
      </c>
      <c r="N105" s="317" t="s">
        <v>8</v>
      </c>
      <c r="O105" s="318" t="s">
        <v>385</v>
      </c>
      <c r="P105" s="318" t="s">
        <v>115</v>
      </c>
      <c r="Q105" s="315" t="s">
        <v>1189</v>
      </c>
      <c r="R105" s="315" t="s">
        <v>570</v>
      </c>
      <c r="S105" s="315" t="s">
        <v>226</v>
      </c>
      <c r="T105" s="315" t="s">
        <v>117</v>
      </c>
      <c r="U105" s="47"/>
    </row>
    <row r="106" spans="1:21" x14ac:dyDescent="0.2">
      <c r="A106" s="68" t="str">
        <f t="shared" si="1"/>
        <v>3/16ALMB DIA</v>
      </c>
      <c r="B106" s="70"/>
      <c r="C106" s="78"/>
      <c r="D106" s="314" t="s">
        <v>559</v>
      </c>
      <c r="E106" s="314" t="s">
        <v>202</v>
      </c>
      <c r="F106" s="315" t="s">
        <v>451</v>
      </c>
      <c r="G106" s="322" t="s">
        <v>451</v>
      </c>
      <c r="H106" s="316">
        <v>0.18804000000000001</v>
      </c>
      <c r="I106" s="315" t="s">
        <v>8</v>
      </c>
      <c r="J106" s="315" t="s">
        <v>300</v>
      </c>
      <c r="K106" s="315" t="s">
        <v>571</v>
      </c>
      <c r="L106" s="314" t="s">
        <v>572</v>
      </c>
      <c r="M106" s="315" t="s">
        <v>384</v>
      </c>
      <c r="N106" s="317" t="s">
        <v>8</v>
      </c>
      <c r="O106" s="318" t="s">
        <v>385</v>
      </c>
      <c r="P106" s="318" t="s">
        <v>115</v>
      </c>
      <c r="Q106" s="315" t="s">
        <v>1189</v>
      </c>
      <c r="R106" s="315" t="s">
        <v>573</v>
      </c>
      <c r="S106" s="315" t="s">
        <v>226</v>
      </c>
      <c r="T106" s="315" t="s">
        <v>117</v>
      </c>
      <c r="U106" s="47"/>
    </row>
    <row r="107" spans="1:21" x14ac:dyDescent="0.2">
      <c r="A107" s="68" t="str">
        <f t="shared" si="1"/>
        <v>1/4ALMB DIA</v>
      </c>
      <c r="B107" s="70"/>
      <c r="C107" s="78"/>
      <c r="D107" s="314" t="s">
        <v>559</v>
      </c>
      <c r="E107" s="314" t="s">
        <v>194</v>
      </c>
      <c r="F107" s="315" t="s">
        <v>574</v>
      </c>
      <c r="G107" s="315" t="s">
        <v>574</v>
      </c>
      <c r="H107" s="316">
        <v>0.25002999999999997</v>
      </c>
      <c r="I107" s="315" t="s">
        <v>8</v>
      </c>
      <c r="J107" s="315" t="s">
        <v>300</v>
      </c>
      <c r="K107" s="315" t="s">
        <v>575</v>
      </c>
      <c r="L107" s="314" t="s">
        <v>576</v>
      </c>
      <c r="M107" s="315" t="s">
        <v>384</v>
      </c>
      <c r="N107" s="317" t="s">
        <v>8</v>
      </c>
      <c r="O107" s="318" t="s">
        <v>385</v>
      </c>
      <c r="P107" s="318" t="s">
        <v>115</v>
      </c>
      <c r="Q107" s="315" t="s">
        <v>1189</v>
      </c>
      <c r="R107" s="315" t="s">
        <v>577</v>
      </c>
      <c r="S107" s="315" t="s">
        <v>226</v>
      </c>
      <c r="T107" s="315" t="s">
        <v>117</v>
      </c>
      <c r="U107" s="47"/>
    </row>
    <row r="108" spans="1:21" ht="13.5" thickBot="1" x14ac:dyDescent="0.25">
      <c r="A108" s="72" t="str">
        <f t="shared" si="1"/>
        <v>1/8SST304D</v>
      </c>
      <c r="B108" s="70"/>
      <c r="C108" s="78"/>
      <c r="D108" s="314" t="s">
        <v>578</v>
      </c>
      <c r="E108" s="323" t="s">
        <v>201</v>
      </c>
      <c r="F108" s="324" t="s">
        <v>298</v>
      </c>
      <c r="G108" s="324" t="s">
        <v>298</v>
      </c>
      <c r="H108" s="325">
        <v>0.12501999999999999</v>
      </c>
      <c r="I108" s="319" t="s">
        <v>8</v>
      </c>
      <c r="J108" s="315" t="s">
        <v>300</v>
      </c>
      <c r="K108" s="315" t="s">
        <v>579</v>
      </c>
      <c r="L108" s="314" t="s">
        <v>580</v>
      </c>
      <c r="M108" s="315">
        <v>304</v>
      </c>
      <c r="N108" s="317" t="s">
        <v>156</v>
      </c>
      <c r="O108" s="318" t="s">
        <v>188</v>
      </c>
      <c r="P108" s="318" t="s">
        <v>115</v>
      </c>
      <c r="Q108" s="315" t="s">
        <v>581</v>
      </c>
      <c r="R108" s="319" t="s">
        <v>582</v>
      </c>
      <c r="S108" s="319" t="s">
        <v>226</v>
      </c>
      <c r="T108" s="315" t="s">
        <v>117</v>
      </c>
      <c r="U108" s="47"/>
    </row>
    <row r="109" spans="1:21" ht="18" customHeight="1" thickTop="1" thickBot="1" x14ac:dyDescent="0.25">
      <c r="A109" s="37" t="str">
        <f t="shared" si="1"/>
        <v>3/16SST304D</v>
      </c>
      <c r="B109" s="70"/>
      <c r="C109" s="74"/>
      <c r="D109" s="326" t="s">
        <v>578</v>
      </c>
      <c r="E109" s="327" t="s">
        <v>202</v>
      </c>
      <c r="F109" s="328" t="s">
        <v>451</v>
      </c>
      <c r="G109" s="328" t="s">
        <v>451</v>
      </c>
      <c r="H109" s="329">
        <v>0.18804999999999999</v>
      </c>
      <c r="I109" s="330" t="s">
        <v>8</v>
      </c>
      <c r="J109" s="331" t="s">
        <v>300</v>
      </c>
      <c r="K109" s="331" t="s">
        <v>583</v>
      </c>
      <c r="L109" s="326" t="s">
        <v>584</v>
      </c>
      <c r="M109" s="331">
        <v>304</v>
      </c>
      <c r="N109" s="332" t="s">
        <v>156</v>
      </c>
      <c r="O109" s="333" t="s">
        <v>188</v>
      </c>
      <c r="P109" s="331" t="s">
        <v>115</v>
      </c>
      <c r="Q109" s="331" t="s">
        <v>581</v>
      </c>
      <c r="R109" s="330" t="s">
        <v>585</v>
      </c>
      <c r="S109" s="330" t="s">
        <v>226</v>
      </c>
      <c r="T109" s="331" t="s">
        <v>117</v>
      </c>
      <c r="U109" s="47"/>
    </row>
    <row r="110" spans="1:21" ht="18" customHeight="1" thickTop="1" thickBot="1" x14ac:dyDescent="0.25">
      <c r="A110" s="37" t="str">
        <f t="shared" si="1"/>
        <v/>
      </c>
      <c r="B110" s="70"/>
      <c r="C110" s="79" t="s">
        <v>586</v>
      </c>
      <c r="D110" s="288"/>
      <c r="E110" s="288"/>
      <c r="F110" s="288"/>
      <c r="G110" s="288"/>
      <c r="H110" s="288"/>
      <c r="I110" s="288"/>
      <c r="J110" s="288"/>
      <c r="K110" s="288"/>
      <c r="L110" s="288"/>
      <c r="M110" s="289"/>
      <c r="N110" s="289"/>
      <c r="O110" s="289"/>
      <c r="P110" s="289"/>
      <c r="Q110" s="289"/>
      <c r="R110" s="289"/>
      <c r="S110" s="289"/>
      <c r="T110" s="305"/>
      <c r="U110" s="47"/>
    </row>
    <row r="111" spans="1:21" ht="14.25" thickTop="1" thickBot="1" x14ac:dyDescent="0.25">
      <c r="A111" s="81" t="str">
        <f t="shared" si="1"/>
        <v/>
      </c>
      <c r="B111" s="70"/>
      <c r="C111" s="78"/>
      <c r="D111" s="3"/>
      <c r="E111" s="3"/>
      <c r="F111" s="3"/>
      <c r="G111" s="3"/>
      <c r="H111" s="3"/>
      <c r="I111" s="3"/>
      <c r="J111" s="3"/>
      <c r="K111" s="3"/>
      <c r="L111" s="3"/>
      <c r="M111" s="8"/>
      <c r="N111" s="8"/>
      <c r="O111" s="8"/>
      <c r="P111" s="8"/>
      <c r="Q111" s="8"/>
      <c r="R111" s="8"/>
      <c r="S111" s="8"/>
      <c r="T111" s="8"/>
      <c r="U111" s="47"/>
    </row>
    <row r="112" spans="1:21" ht="18" customHeight="1" thickTop="1" thickBot="1" x14ac:dyDescent="0.25">
      <c r="A112" s="37" t="str">
        <f t="shared" si="1"/>
        <v>20GALV CORA</v>
      </c>
      <c r="B112" s="70"/>
      <c r="C112" s="74"/>
      <c r="D112" s="334" t="s">
        <v>587</v>
      </c>
      <c r="E112" s="334">
        <v>20</v>
      </c>
      <c r="F112" s="335" t="s">
        <v>138</v>
      </c>
      <c r="G112" s="335" t="s">
        <v>138</v>
      </c>
      <c r="H112" s="336">
        <v>3.4029999999999998E-2</v>
      </c>
      <c r="I112" s="335" t="s">
        <v>297</v>
      </c>
      <c r="J112" s="335" t="s">
        <v>8</v>
      </c>
      <c r="K112" s="337" t="s">
        <v>227</v>
      </c>
      <c r="L112" s="334" t="s">
        <v>228</v>
      </c>
      <c r="M112" s="335" t="s">
        <v>112</v>
      </c>
      <c r="N112" s="338" t="s">
        <v>8</v>
      </c>
      <c r="O112" s="335" t="s">
        <v>229</v>
      </c>
      <c r="P112" s="335" t="s">
        <v>115</v>
      </c>
      <c r="Q112" s="335" t="s">
        <v>1190</v>
      </c>
      <c r="R112" s="338" t="s">
        <v>230</v>
      </c>
      <c r="S112" s="335" t="s">
        <v>588</v>
      </c>
      <c r="T112" s="335" t="s">
        <v>117</v>
      </c>
      <c r="U112" s="47"/>
    </row>
    <row r="113" spans="1:21" ht="18" customHeight="1" thickTop="1" thickBot="1" x14ac:dyDescent="0.25">
      <c r="A113" s="37" t="str">
        <f t="shared" si="1"/>
        <v/>
      </c>
      <c r="B113" s="70"/>
      <c r="C113" s="79" t="s">
        <v>589</v>
      </c>
      <c r="D113" s="288"/>
      <c r="E113" s="288"/>
      <c r="F113" s="288"/>
      <c r="G113" s="288"/>
      <c r="H113" s="288"/>
      <c r="I113" s="288"/>
      <c r="J113" s="288"/>
      <c r="K113" s="288"/>
      <c r="L113" s="288"/>
      <c r="M113" s="289"/>
      <c r="N113" s="289"/>
      <c r="O113" s="289"/>
      <c r="P113" s="289"/>
      <c r="Q113" s="289"/>
      <c r="R113" s="289"/>
      <c r="S113" s="289"/>
      <c r="T113" s="305"/>
      <c r="U113" s="47"/>
    </row>
    <row r="114" spans="1:21" ht="14.25" thickTop="1" thickBot="1" x14ac:dyDescent="0.25">
      <c r="A114" s="76" t="str">
        <f t="shared" si="1"/>
        <v/>
      </c>
      <c r="B114" s="70"/>
      <c r="C114" s="78"/>
      <c r="D114" s="3"/>
      <c r="E114" s="3"/>
      <c r="F114" s="3"/>
      <c r="G114" s="3"/>
      <c r="H114" s="3"/>
      <c r="I114" s="3"/>
      <c r="J114" s="3"/>
      <c r="K114" s="3"/>
      <c r="L114" s="3"/>
      <c r="M114" s="8"/>
      <c r="N114" s="8"/>
      <c r="O114" s="8"/>
      <c r="P114" s="8"/>
      <c r="Q114" s="8"/>
      <c r="R114" s="8"/>
      <c r="S114" s="8"/>
      <c r="T114" s="8"/>
      <c r="U114" s="47"/>
    </row>
    <row r="115" spans="1:21" ht="13.5" thickTop="1" x14ac:dyDescent="0.2">
      <c r="A115" s="68" t="str">
        <f t="shared" si="1"/>
        <v>7SST304</v>
      </c>
      <c r="B115" s="70"/>
      <c r="C115" s="78"/>
      <c r="D115" s="290" t="s">
        <v>590</v>
      </c>
      <c r="E115" s="290" t="s">
        <v>555</v>
      </c>
      <c r="F115" s="291" t="s">
        <v>451</v>
      </c>
      <c r="G115" s="291" t="s">
        <v>451</v>
      </c>
      <c r="H115" s="292">
        <v>0.18803</v>
      </c>
      <c r="I115" s="291" t="s">
        <v>8</v>
      </c>
      <c r="J115" s="291" t="s">
        <v>300</v>
      </c>
      <c r="K115" s="339" t="s">
        <v>591</v>
      </c>
      <c r="L115" s="340" t="s">
        <v>592</v>
      </c>
      <c r="M115" s="291" t="s">
        <v>155</v>
      </c>
      <c r="N115" s="341" t="s">
        <v>156</v>
      </c>
      <c r="O115" s="291" t="s">
        <v>121</v>
      </c>
      <c r="P115" s="291" t="s">
        <v>115</v>
      </c>
      <c r="Q115" s="291" t="s">
        <v>408</v>
      </c>
      <c r="R115" s="293" t="s">
        <v>593</v>
      </c>
      <c r="S115" s="293" t="s">
        <v>117</v>
      </c>
      <c r="T115" s="293" t="s">
        <v>117</v>
      </c>
      <c r="U115" s="47"/>
    </row>
    <row r="116" spans="1:21" x14ac:dyDescent="0.2">
      <c r="A116" s="68" t="str">
        <f t="shared" si="1"/>
        <v>1/4SST304</v>
      </c>
      <c r="B116" s="70"/>
      <c r="C116" s="78"/>
      <c r="D116" s="264" t="s">
        <v>590</v>
      </c>
      <c r="E116" s="264" t="s">
        <v>194</v>
      </c>
      <c r="F116" s="265" t="s">
        <v>574</v>
      </c>
      <c r="G116" s="265" t="s">
        <v>574</v>
      </c>
      <c r="H116" s="266">
        <v>0.25002000000000002</v>
      </c>
      <c r="I116" s="265" t="s">
        <v>8</v>
      </c>
      <c r="J116" s="265" t="s">
        <v>300</v>
      </c>
      <c r="K116" s="277" t="s">
        <v>594</v>
      </c>
      <c r="L116" s="278" t="s">
        <v>595</v>
      </c>
      <c r="M116" s="265" t="s">
        <v>155</v>
      </c>
      <c r="N116" s="306" t="s">
        <v>156</v>
      </c>
      <c r="O116" s="271" t="s">
        <v>121</v>
      </c>
      <c r="P116" s="271" t="s">
        <v>115</v>
      </c>
      <c r="Q116" s="265" t="s">
        <v>408</v>
      </c>
      <c r="R116" s="267" t="s">
        <v>596</v>
      </c>
      <c r="S116" s="267" t="s">
        <v>117</v>
      </c>
      <c r="T116" s="267" t="s">
        <v>117</v>
      </c>
      <c r="U116" s="47"/>
    </row>
    <row r="117" spans="1:21" x14ac:dyDescent="0.2">
      <c r="A117" s="68" t="str">
        <f t="shared" si="1"/>
        <v>3/16STL PLATE</v>
      </c>
      <c r="B117" s="70"/>
      <c r="C117" s="78"/>
      <c r="D117" s="263" t="s">
        <v>597</v>
      </c>
      <c r="E117" s="264" t="s">
        <v>202</v>
      </c>
      <c r="F117" s="265" t="s">
        <v>451</v>
      </c>
      <c r="G117" s="342" t="s">
        <v>451</v>
      </c>
      <c r="H117" s="343">
        <v>0.18806</v>
      </c>
      <c r="I117" s="265" t="s">
        <v>8</v>
      </c>
      <c r="J117" s="265" t="s">
        <v>300</v>
      </c>
      <c r="K117" s="271" t="s">
        <v>598</v>
      </c>
      <c r="L117" s="263" t="s">
        <v>599</v>
      </c>
      <c r="M117" s="265" t="s">
        <v>600</v>
      </c>
      <c r="N117" s="265" t="s">
        <v>8</v>
      </c>
      <c r="O117" s="265" t="s">
        <v>217</v>
      </c>
      <c r="P117" s="265" t="s">
        <v>115</v>
      </c>
      <c r="Q117" s="265" t="s">
        <v>601</v>
      </c>
      <c r="R117" s="265" t="s">
        <v>602</v>
      </c>
      <c r="S117" s="265" t="s">
        <v>117</v>
      </c>
      <c r="T117" s="265" t="s">
        <v>117</v>
      </c>
      <c r="U117" s="47"/>
    </row>
    <row r="118" spans="1:21" x14ac:dyDescent="0.2">
      <c r="A118" s="68" t="str">
        <f t="shared" si="1"/>
        <v>1/4STL PLATE</v>
      </c>
      <c r="B118" s="70"/>
      <c r="C118" s="78"/>
      <c r="D118" s="263" t="s">
        <v>597</v>
      </c>
      <c r="E118" s="264" t="s">
        <v>194</v>
      </c>
      <c r="F118" s="265" t="s">
        <v>574</v>
      </c>
      <c r="G118" s="265" t="s">
        <v>574</v>
      </c>
      <c r="H118" s="343">
        <v>0.25001000000000001</v>
      </c>
      <c r="I118" s="265" t="s">
        <v>8</v>
      </c>
      <c r="J118" s="265" t="s">
        <v>300</v>
      </c>
      <c r="K118" s="271" t="s">
        <v>603</v>
      </c>
      <c r="L118" s="263" t="s">
        <v>604</v>
      </c>
      <c r="M118" s="265" t="s">
        <v>600</v>
      </c>
      <c r="N118" s="265" t="s">
        <v>8</v>
      </c>
      <c r="O118" s="265" t="s">
        <v>217</v>
      </c>
      <c r="P118" s="265" t="s">
        <v>115</v>
      </c>
      <c r="Q118" s="265" t="s">
        <v>601</v>
      </c>
      <c r="R118" s="265" t="s">
        <v>605</v>
      </c>
      <c r="S118" s="265" t="s">
        <v>117</v>
      </c>
      <c r="T118" s="265" t="s">
        <v>117</v>
      </c>
      <c r="U118" s="47"/>
    </row>
    <row r="119" spans="1:21" x14ac:dyDescent="0.2">
      <c r="A119" s="68" t="str">
        <f t="shared" si="1"/>
        <v>5/16STL PLATE</v>
      </c>
      <c r="B119" s="70"/>
      <c r="C119" s="78"/>
      <c r="D119" s="264" t="s">
        <v>597</v>
      </c>
      <c r="E119" s="264" t="s">
        <v>190</v>
      </c>
      <c r="F119" s="265" t="s">
        <v>606</v>
      </c>
      <c r="G119" s="265" t="s">
        <v>606</v>
      </c>
      <c r="H119" s="266">
        <v>0.31301000000000001</v>
      </c>
      <c r="I119" s="265" t="s">
        <v>8</v>
      </c>
      <c r="J119" s="265" t="s">
        <v>300</v>
      </c>
      <c r="K119" s="265" t="s">
        <v>607</v>
      </c>
      <c r="L119" s="264" t="s">
        <v>608</v>
      </c>
      <c r="M119" s="265" t="s">
        <v>600</v>
      </c>
      <c r="N119" s="265" t="s">
        <v>8</v>
      </c>
      <c r="O119" s="271" t="s">
        <v>609</v>
      </c>
      <c r="P119" s="271" t="s">
        <v>115</v>
      </c>
      <c r="Q119" s="265" t="s">
        <v>601</v>
      </c>
      <c r="R119" s="265" t="s">
        <v>610</v>
      </c>
      <c r="S119" s="265" t="s">
        <v>117</v>
      </c>
      <c r="T119" s="265" t="s">
        <v>117</v>
      </c>
      <c r="U119" s="47"/>
    </row>
    <row r="120" spans="1:21" ht="13.5" thickBot="1" x14ac:dyDescent="0.25">
      <c r="A120" s="72" t="str">
        <f t="shared" si="1"/>
        <v>3/8STL PLATE</v>
      </c>
      <c r="B120" s="70"/>
      <c r="C120" s="71"/>
      <c r="D120" s="264" t="s">
        <v>597</v>
      </c>
      <c r="E120" s="264" t="s">
        <v>191</v>
      </c>
      <c r="F120" s="265" t="s">
        <v>611</v>
      </c>
      <c r="G120" s="342" t="s">
        <v>611</v>
      </c>
      <c r="H120" s="266">
        <v>0.37501000000000001</v>
      </c>
      <c r="I120" s="265" t="s">
        <v>8</v>
      </c>
      <c r="J120" s="265" t="s">
        <v>300</v>
      </c>
      <c r="K120" s="265" t="s">
        <v>612</v>
      </c>
      <c r="L120" s="264" t="s">
        <v>613</v>
      </c>
      <c r="M120" s="265" t="s">
        <v>600</v>
      </c>
      <c r="N120" s="265" t="s">
        <v>8</v>
      </c>
      <c r="O120" s="271" t="s">
        <v>217</v>
      </c>
      <c r="P120" s="271" t="s">
        <v>115</v>
      </c>
      <c r="Q120" s="265" t="s">
        <v>601</v>
      </c>
      <c r="R120" s="265" t="s">
        <v>614</v>
      </c>
      <c r="S120" s="265" t="s">
        <v>117</v>
      </c>
      <c r="T120" s="265" t="s">
        <v>117</v>
      </c>
      <c r="U120" s="47"/>
    </row>
    <row r="121" spans="1:21" ht="18" customHeight="1" thickTop="1" thickBot="1" x14ac:dyDescent="0.25">
      <c r="B121" s="70"/>
      <c r="C121" s="74"/>
      <c r="D121" s="280" t="s">
        <v>597</v>
      </c>
      <c r="E121" s="344" t="s">
        <v>615</v>
      </c>
      <c r="F121" s="281" t="s">
        <v>616</v>
      </c>
      <c r="G121" s="281" t="s">
        <v>616</v>
      </c>
      <c r="H121" s="282">
        <v>0.5</v>
      </c>
      <c r="I121" s="281" t="s">
        <v>8</v>
      </c>
      <c r="J121" s="281" t="s">
        <v>300</v>
      </c>
      <c r="K121" s="281" t="s">
        <v>617</v>
      </c>
      <c r="L121" s="280" t="s">
        <v>618</v>
      </c>
      <c r="M121" s="281" t="s">
        <v>600</v>
      </c>
      <c r="N121" s="281" t="s">
        <v>8</v>
      </c>
      <c r="O121" s="297" t="s">
        <v>217</v>
      </c>
      <c r="P121" s="297" t="s">
        <v>115</v>
      </c>
      <c r="Q121" s="281" t="s">
        <v>601</v>
      </c>
      <c r="R121" s="281" t="s">
        <v>619</v>
      </c>
      <c r="S121" s="281" t="s">
        <v>117</v>
      </c>
      <c r="T121" s="281" t="s">
        <v>117</v>
      </c>
      <c r="U121" s="47"/>
    </row>
    <row r="122" spans="1:21" ht="18" customHeight="1" thickTop="1" thickBot="1" x14ac:dyDescent="0.25">
      <c r="B122" s="70"/>
      <c r="C122" s="78"/>
      <c r="D122" s="300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345"/>
      <c r="U122" s="47"/>
    </row>
    <row r="123" spans="1:21" ht="13.5" thickTop="1" x14ac:dyDescent="0.2">
      <c r="B123" s="70"/>
      <c r="C123" s="7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7"/>
    </row>
    <row r="124" spans="1:21" x14ac:dyDescent="0.2">
      <c r="B124" s="70"/>
      <c r="C124" s="82"/>
      <c r="D124" s="346" t="s">
        <v>620</v>
      </c>
      <c r="E124" s="3"/>
      <c r="F124" s="347"/>
      <c r="G124" s="347"/>
      <c r="H124" s="348"/>
      <c r="I124" s="347"/>
      <c r="J124" s="347"/>
      <c r="K124" s="347"/>
      <c r="L124" s="349"/>
      <c r="M124" s="349"/>
      <c r="N124" s="349"/>
      <c r="O124" s="349"/>
      <c r="P124" s="347"/>
      <c r="Q124" s="349"/>
      <c r="R124" s="349"/>
      <c r="S124" s="349"/>
      <c r="T124" s="349"/>
      <c r="U124" s="47"/>
    </row>
    <row r="125" spans="1:21" x14ac:dyDescent="0.2">
      <c r="B125" s="70"/>
      <c r="C125" s="83"/>
      <c r="D125" s="350" t="s">
        <v>621</v>
      </c>
      <c r="E125" s="3"/>
      <c r="F125" s="275"/>
      <c r="G125" s="275"/>
      <c r="H125" s="351"/>
      <c r="I125" s="275"/>
      <c r="J125" s="275"/>
      <c r="K125" s="275"/>
      <c r="L125" s="350"/>
      <c r="M125" s="350"/>
      <c r="N125" s="350"/>
      <c r="O125" s="350"/>
      <c r="P125" s="275"/>
      <c r="Q125" s="350"/>
      <c r="R125" s="350"/>
      <c r="S125" s="350"/>
      <c r="T125" s="350"/>
      <c r="U125" s="47"/>
    </row>
    <row r="126" spans="1:21" x14ac:dyDescent="0.2">
      <c r="B126" s="70"/>
      <c r="C126" s="47"/>
      <c r="D126" s="3" t="s">
        <v>622</v>
      </c>
      <c r="E126" s="3"/>
      <c r="F126" s="275"/>
      <c r="G126" s="275"/>
      <c r="H126" s="351"/>
      <c r="I126" s="275"/>
      <c r="J126" s="275"/>
      <c r="K126" s="275"/>
      <c r="L126" s="350"/>
      <c r="M126" s="350"/>
      <c r="N126" s="350"/>
      <c r="O126" s="350"/>
      <c r="P126" s="275"/>
      <c r="Q126" s="350"/>
      <c r="R126" s="350"/>
      <c r="S126" s="350"/>
      <c r="T126" s="350"/>
      <c r="U126" s="47"/>
    </row>
    <row r="127" spans="1:21" x14ac:dyDescent="0.2">
      <c r="B127" s="70"/>
      <c r="C127" s="83"/>
      <c r="D127" s="350" t="s">
        <v>623</v>
      </c>
      <c r="E127" s="3"/>
      <c r="F127" s="275"/>
      <c r="G127" s="275"/>
      <c r="H127" s="351"/>
      <c r="I127" s="275"/>
      <c r="J127" s="275"/>
      <c r="K127" s="275"/>
      <c r="L127" s="350"/>
      <c r="M127" s="350"/>
      <c r="N127" s="350"/>
      <c r="O127" s="350"/>
      <c r="P127" s="275"/>
      <c r="Q127" s="350"/>
      <c r="R127" s="350"/>
      <c r="S127" s="350"/>
      <c r="T127" s="350"/>
      <c r="U127" s="47"/>
    </row>
    <row r="128" spans="1:21" ht="18" customHeight="1" x14ac:dyDescent="0.2">
      <c r="B128" s="70"/>
      <c r="C128" s="83"/>
      <c r="D128" s="349" t="s">
        <v>624</v>
      </c>
      <c r="E128" s="3"/>
      <c r="F128" s="347"/>
      <c r="G128" s="347"/>
      <c r="H128" s="348"/>
      <c r="I128" s="347"/>
      <c r="J128" s="347"/>
      <c r="K128" s="347"/>
      <c r="L128" s="349"/>
      <c r="M128" s="350"/>
      <c r="N128" s="350"/>
      <c r="O128" s="350"/>
      <c r="P128" s="275"/>
      <c r="Q128" s="350"/>
      <c r="R128" s="350"/>
      <c r="S128" s="350"/>
      <c r="T128" s="350"/>
      <c r="U128" s="47"/>
    </row>
    <row r="129" spans="2:20" ht="13.5" thickBot="1" x14ac:dyDescent="0.25">
      <c r="B129" s="84"/>
      <c r="C129" s="85"/>
      <c r="D129" s="352"/>
      <c r="E129" s="288"/>
      <c r="F129" s="289"/>
      <c r="G129" s="289"/>
      <c r="H129" s="353"/>
      <c r="I129" s="289"/>
      <c r="J129" s="289"/>
      <c r="K129" s="289"/>
      <c r="L129" s="288"/>
      <c r="M129" s="288"/>
      <c r="N129" s="288"/>
      <c r="O129" s="288"/>
      <c r="P129" s="289"/>
      <c r="Q129" s="288"/>
      <c r="R129" s="288"/>
      <c r="S129" s="288"/>
      <c r="T129" s="288"/>
    </row>
    <row r="130" spans="2:20" ht="13.9" customHeight="1" thickTop="1" x14ac:dyDescent="0.2">
      <c r="P130" s="35"/>
    </row>
    <row r="131" spans="2:20" ht="13.9" customHeight="1" x14ac:dyDescent="0.2">
      <c r="P131" s="35"/>
    </row>
    <row r="132" spans="2:20" x14ac:dyDescent="0.2">
      <c r="P132" s="35"/>
    </row>
    <row r="133" spans="2:20" x14ac:dyDescent="0.2">
      <c r="P133" s="35"/>
    </row>
    <row r="134" spans="2:20" x14ac:dyDescent="0.2">
      <c r="P134" s="35"/>
    </row>
    <row r="135" spans="2:20" x14ac:dyDescent="0.2">
      <c r="P135" s="35"/>
    </row>
    <row r="136" spans="2:20" x14ac:dyDescent="0.2">
      <c r="P136" s="35"/>
    </row>
    <row r="137" spans="2:20" x14ac:dyDescent="0.2">
      <c r="P137" s="35"/>
    </row>
    <row r="138" spans="2:20" x14ac:dyDescent="0.2">
      <c r="P138" s="35"/>
    </row>
    <row r="139" spans="2:20" x14ac:dyDescent="0.2">
      <c r="P139" s="35"/>
    </row>
    <row r="140" spans="2:20" x14ac:dyDescent="0.2">
      <c r="P140" s="35"/>
    </row>
  </sheetData>
  <mergeCells count="8">
    <mergeCell ref="A1:F1"/>
    <mergeCell ref="K1:L1"/>
    <mergeCell ref="M1:T1"/>
    <mergeCell ref="A2:L3"/>
    <mergeCell ref="M2:P2"/>
    <mergeCell ref="Q2:T2"/>
    <mergeCell ref="M3:P3"/>
    <mergeCell ref="Q3:T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3"/>
  <sheetViews>
    <sheetView zoomScale="85" zoomScaleNormal="85" workbookViewId="0"/>
  </sheetViews>
  <sheetFormatPr defaultRowHeight="12.75" x14ac:dyDescent="0.2"/>
  <cols>
    <col min="1" max="1" width="23.28515625" style="86" bestFit="1" customWidth="1"/>
    <col min="2" max="3" width="3.28515625" style="86" customWidth="1"/>
    <col min="4" max="4" width="21.42578125" style="87" customWidth="1"/>
    <col min="5" max="5" width="10.28515625" style="86" bestFit="1" customWidth="1"/>
    <col min="6" max="6" width="12.140625" style="88" customWidth="1"/>
    <col min="7" max="8" width="11.85546875" style="88" customWidth="1"/>
    <col min="9" max="10" width="11.85546875" style="89" customWidth="1"/>
    <col min="11" max="12" width="11.85546875" style="88" customWidth="1"/>
    <col min="13" max="13" width="17.140625" style="88" customWidth="1"/>
    <col min="14" max="14" width="52.42578125" style="86" bestFit="1" customWidth="1"/>
    <col min="15" max="15" width="13.85546875" style="86" bestFit="1" customWidth="1"/>
    <col min="16" max="16" width="17.140625" style="86" customWidth="1"/>
    <col min="17" max="17" width="13.140625" style="86" bestFit="1" customWidth="1"/>
    <col min="18" max="18" width="11.140625" style="88" bestFit="1" customWidth="1"/>
    <col min="19" max="19" width="16.5703125" style="86" customWidth="1"/>
    <col min="20" max="20" width="14" style="86" customWidth="1"/>
    <col min="21" max="22" width="3" style="86" customWidth="1"/>
    <col min="23" max="16384" width="9.140625" style="86"/>
  </cols>
  <sheetData>
    <row r="1" spans="1:21" ht="13.5" thickBot="1" x14ac:dyDescent="0.25">
      <c r="O1" s="90"/>
    </row>
    <row r="2" spans="1:21" ht="21.75" customHeight="1" thickTop="1" thickBot="1" x14ac:dyDescent="0.35">
      <c r="B2" s="91" t="s">
        <v>269</v>
      </c>
      <c r="C2" s="92"/>
      <c r="D2" s="93"/>
      <c r="E2" s="94"/>
      <c r="F2" s="95"/>
      <c r="G2" s="95"/>
      <c r="H2" s="95"/>
      <c r="I2" s="96"/>
      <c r="J2" s="96"/>
      <c r="K2" s="95"/>
      <c r="L2" s="95"/>
      <c r="M2" s="97"/>
      <c r="N2" s="92"/>
      <c r="O2" s="92"/>
      <c r="P2" s="92"/>
      <c r="Q2" s="92"/>
      <c r="R2" s="95"/>
      <c r="S2" s="92"/>
      <c r="T2" s="92"/>
      <c r="U2" s="98"/>
    </row>
    <row r="3" spans="1:21" s="99" customFormat="1" ht="47.25" customHeight="1" thickTop="1" thickBot="1" x14ac:dyDescent="0.25">
      <c r="B3" s="100"/>
      <c r="C3" s="101"/>
      <c r="D3" s="102" t="s">
        <v>270</v>
      </c>
      <c r="E3" s="102" t="s">
        <v>625</v>
      </c>
      <c r="F3" s="102" t="s">
        <v>626</v>
      </c>
      <c r="G3" s="102" t="s">
        <v>627</v>
      </c>
      <c r="H3" s="102"/>
      <c r="I3" s="103" t="s">
        <v>628</v>
      </c>
      <c r="J3" s="103" t="s">
        <v>629</v>
      </c>
      <c r="K3" s="102" t="s">
        <v>272</v>
      </c>
      <c r="L3" s="102" t="s">
        <v>273</v>
      </c>
      <c r="M3" s="102" t="s">
        <v>274</v>
      </c>
      <c r="N3" s="102" t="s">
        <v>103</v>
      </c>
      <c r="O3" s="102" t="s">
        <v>104</v>
      </c>
      <c r="P3" s="104" t="s">
        <v>105</v>
      </c>
      <c r="Q3" s="102" t="s">
        <v>106</v>
      </c>
      <c r="R3" s="102" t="s">
        <v>107</v>
      </c>
      <c r="S3" s="102" t="s">
        <v>99</v>
      </c>
      <c r="T3" s="102" t="s">
        <v>108</v>
      </c>
      <c r="U3" s="105"/>
    </row>
    <row r="4" spans="1:21" s="113" customFormat="1" ht="14.25" thickTop="1" thickBot="1" x14ac:dyDescent="0.25">
      <c r="A4" s="106" t="s">
        <v>630</v>
      </c>
      <c r="B4" s="107"/>
      <c r="C4" s="108"/>
      <c r="D4" s="109" t="s">
        <v>631</v>
      </c>
      <c r="E4" s="109" t="s">
        <v>632</v>
      </c>
      <c r="F4" s="109" t="s">
        <v>633</v>
      </c>
      <c r="G4" s="109" t="s">
        <v>634</v>
      </c>
      <c r="H4" s="109"/>
      <c r="I4" s="109" t="s">
        <v>635</v>
      </c>
      <c r="J4" s="110" t="s">
        <v>636</v>
      </c>
      <c r="K4" s="110" t="s">
        <v>637</v>
      </c>
      <c r="L4" s="109" t="s">
        <v>638</v>
      </c>
      <c r="M4" s="109" t="s">
        <v>639</v>
      </c>
      <c r="N4" s="109" t="s">
        <v>640</v>
      </c>
      <c r="O4" s="109" t="s">
        <v>641</v>
      </c>
      <c r="P4" s="111" t="s">
        <v>642</v>
      </c>
      <c r="Q4" s="109" t="s">
        <v>643</v>
      </c>
      <c r="R4" s="109" t="s">
        <v>644</v>
      </c>
      <c r="S4" s="109" t="s">
        <v>645</v>
      </c>
      <c r="T4" s="109" t="s">
        <v>646</v>
      </c>
      <c r="U4" s="112"/>
    </row>
    <row r="5" spans="1:21" s="113" customFormat="1" ht="17.25" customHeight="1" thickTop="1" thickBot="1" x14ac:dyDescent="0.3">
      <c r="A5" s="107"/>
      <c r="B5" s="107"/>
      <c r="C5" s="114" t="s">
        <v>647</v>
      </c>
      <c r="D5" s="115"/>
      <c r="E5" s="116"/>
      <c r="F5" s="116"/>
      <c r="G5" s="116"/>
      <c r="H5" s="116"/>
      <c r="I5" s="116"/>
      <c r="J5" s="117"/>
      <c r="K5" s="88"/>
      <c r="L5" s="118"/>
      <c r="M5" s="116"/>
      <c r="N5" s="116"/>
      <c r="O5" s="119"/>
      <c r="P5" s="116"/>
      <c r="Q5" s="116"/>
      <c r="R5" s="116"/>
      <c r="S5" s="118"/>
      <c r="T5" s="118"/>
      <c r="U5" s="112"/>
    </row>
    <row r="6" spans="1:21" s="113" customFormat="1" ht="13.5" customHeight="1" thickTop="1" x14ac:dyDescent="0.2">
      <c r="A6" s="120" t="str">
        <f>CONCATENATE(RIGHT(D6,LEN(D6)-FIND(" ",D6)),G6,E6)</f>
        <v>Channel20.56</v>
      </c>
      <c r="B6" s="107"/>
      <c r="C6" s="121"/>
      <c r="D6" s="122" t="s">
        <v>648</v>
      </c>
      <c r="E6" s="123">
        <v>0.56000000000000005</v>
      </c>
      <c r="F6" s="123">
        <v>0.188</v>
      </c>
      <c r="G6" s="123">
        <v>2</v>
      </c>
      <c r="H6" s="123"/>
      <c r="I6" s="123" t="s">
        <v>649</v>
      </c>
      <c r="J6" s="123">
        <v>0.188</v>
      </c>
      <c r="K6" s="124" t="s">
        <v>8</v>
      </c>
      <c r="L6" s="120" t="s">
        <v>300</v>
      </c>
      <c r="M6" s="120" t="s">
        <v>650</v>
      </c>
      <c r="N6" s="122" t="s">
        <v>651</v>
      </c>
      <c r="O6" s="124" t="s">
        <v>652</v>
      </c>
      <c r="P6" s="120" t="s">
        <v>653</v>
      </c>
      <c r="Q6" s="124" t="s">
        <v>654</v>
      </c>
      <c r="R6" s="124" t="s">
        <v>655</v>
      </c>
      <c r="S6" s="120" t="s">
        <v>8</v>
      </c>
      <c r="T6" s="120" t="s">
        <v>8</v>
      </c>
      <c r="U6" s="112"/>
    </row>
    <row r="7" spans="1:21" s="113" customFormat="1" ht="13.5" customHeight="1" x14ac:dyDescent="0.2">
      <c r="A7" s="125" t="str">
        <f t="shared" ref="A7:A15" si="0">CONCATENATE(RIGHT(D7,LEN(D7)-FIND(" ",D7)),G7,E7)</f>
        <v>Channel34.1</v>
      </c>
      <c r="B7" s="107"/>
      <c r="C7" s="121"/>
      <c r="D7" s="126" t="s">
        <v>648</v>
      </c>
      <c r="E7" s="127">
        <v>4.0999999999999996</v>
      </c>
      <c r="F7" s="128">
        <v>0.17</v>
      </c>
      <c r="G7" s="127">
        <v>3</v>
      </c>
      <c r="H7" s="127"/>
      <c r="I7" s="127">
        <v>1.41</v>
      </c>
      <c r="J7" s="127">
        <v>0.27300000000000002</v>
      </c>
      <c r="K7" s="125" t="s">
        <v>8</v>
      </c>
      <c r="L7" s="125" t="s">
        <v>300</v>
      </c>
      <c r="M7" s="125" t="s">
        <v>656</v>
      </c>
      <c r="N7" s="126" t="s">
        <v>657</v>
      </c>
      <c r="O7" s="129" t="s">
        <v>652</v>
      </c>
      <c r="P7" s="125" t="s">
        <v>653</v>
      </c>
      <c r="Q7" s="129" t="s">
        <v>654</v>
      </c>
      <c r="R7" s="129" t="s">
        <v>655</v>
      </c>
      <c r="S7" s="125" t="s">
        <v>8</v>
      </c>
      <c r="T7" s="125" t="s">
        <v>8</v>
      </c>
      <c r="U7" s="112"/>
    </row>
    <row r="8" spans="1:21" s="113" customFormat="1" ht="13.5" customHeight="1" x14ac:dyDescent="0.2">
      <c r="A8" s="125" t="str">
        <f t="shared" si="0"/>
        <v>Channel35</v>
      </c>
      <c r="B8" s="107"/>
      <c r="C8" s="121"/>
      <c r="D8" s="130" t="s">
        <v>648</v>
      </c>
      <c r="E8" s="128">
        <v>5</v>
      </c>
      <c r="F8" s="128">
        <v>0.25800000000000001</v>
      </c>
      <c r="G8" s="131">
        <v>3</v>
      </c>
      <c r="H8" s="131"/>
      <c r="I8" s="127">
        <v>1.498</v>
      </c>
      <c r="J8" s="127">
        <v>0.27300000000000002</v>
      </c>
      <c r="K8" s="125" t="s">
        <v>297</v>
      </c>
      <c r="L8" s="125" t="s">
        <v>8</v>
      </c>
      <c r="M8" s="129" t="s">
        <v>658</v>
      </c>
      <c r="N8" s="130" t="s">
        <v>659</v>
      </c>
      <c r="O8" s="129" t="s">
        <v>652</v>
      </c>
      <c r="P8" s="125" t="s">
        <v>653</v>
      </c>
      <c r="Q8" s="129" t="s">
        <v>654</v>
      </c>
      <c r="R8" s="129" t="s">
        <v>655</v>
      </c>
      <c r="S8" s="125" t="s">
        <v>8</v>
      </c>
      <c r="T8" s="125" t="s">
        <v>8</v>
      </c>
      <c r="U8" s="112"/>
    </row>
    <row r="9" spans="1:21" s="113" customFormat="1" ht="13.5" customHeight="1" x14ac:dyDescent="0.2">
      <c r="A9" s="125" t="str">
        <f t="shared" si="0"/>
        <v>Channel45.4</v>
      </c>
      <c r="B9" s="107"/>
      <c r="C9" s="121"/>
      <c r="D9" s="130" t="s">
        <v>648</v>
      </c>
      <c r="E9" s="128">
        <v>5.4</v>
      </c>
      <c r="F9" s="128">
        <v>0.184</v>
      </c>
      <c r="G9" s="128">
        <v>4</v>
      </c>
      <c r="H9" s="128"/>
      <c r="I9" s="127">
        <v>1.5840000000000001</v>
      </c>
      <c r="J9" s="127">
        <v>0.29599999999999999</v>
      </c>
      <c r="K9" s="125" t="s">
        <v>297</v>
      </c>
      <c r="L9" s="125" t="s">
        <v>300</v>
      </c>
      <c r="M9" s="129" t="s">
        <v>660</v>
      </c>
      <c r="N9" s="130" t="s">
        <v>661</v>
      </c>
      <c r="O9" s="129" t="s">
        <v>652</v>
      </c>
      <c r="P9" s="125" t="s">
        <v>653</v>
      </c>
      <c r="Q9" s="129" t="s">
        <v>654</v>
      </c>
      <c r="R9" s="129" t="s">
        <v>655</v>
      </c>
      <c r="S9" s="125" t="s">
        <v>8</v>
      </c>
      <c r="T9" s="125" t="s">
        <v>8</v>
      </c>
      <c r="U9" s="112"/>
    </row>
    <row r="10" spans="1:21" s="113" customFormat="1" ht="13.5" customHeight="1" x14ac:dyDescent="0.2">
      <c r="A10" s="125" t="str">
        <f t="shared" si="0"/>
        <v>Channel47.25</v>
      </c>
      <c r="B10" s="107"/>
      <c r="C10" s="121"/>
      <c r="D10" s="130" t="s">
        <v>648</v>
      </c>
      <c r="E10" s="128">
        <v>7.25</v>
      </c>
      <c r="F10" s="128">
        <v>0.32100000000000001</v>
      </c>
      <c r="G10" s="128">
        <v>4</v>
      </c>
      <c r="H10" s="128"/>
      <c r="I10" s="127">
        <v>1.7210000000000001</v>
      </c>
      <c r="J10" s="127">
        <v>0.29599999999999999</v>
      </c>
      <c r="K10" s="125" t="s">
        <v>297</v>
      </c>
      <c r="L10" s="125" t="s">
        <v>8</v>
      </c>
      <c r="M10" s="129" t="s">
        <v>662</v>
      </c>
      <c r="N10" s="130" t="s">
        <v>663</v>
      </c>
      <c r="O10" s="129" t="s">
        <v>652</v>
      </c>
      <c r="P10" s="125" t="s">
        <v>653</v>
      </c>
      <c r="Q10" s="129" t="s">
        <v>654</v>
      </c>
      <c r="R10" s="129" t="s">
        <v>655</v>
      </c>
      <c r="S10" s="125" t="s">
        <v>8</v>
      </c>
      <c r="T10" s="125" t="s">
        <v>8</v>
      </c>
      <c r="U10" s="112"/>
    </row>
    <row r="11" spans="1:21" s="113" customFormat="1" ht="13.5" customHeight="1" x14ac:dyDescent="0.2">
      <c r="A11" s="125" t="str">
        <f t="shared" si="0"/>
        <v>Channel56.7</v>
      </c>
      <c r="B11" s="107"/>
      <c r="C11" s="121"/>
      <c r="D11" s="126" t="s">
        <v>648</v>
      </c>
      <c r="E11" s="127">
        <v>6.7</v>
      </c>
      <c r="F11" s="128">
        <v>0.19</v>
      </c>
      <c r="G11" s="127">
        <v>5</v>
      </c>
      <c r="H11" s="127"/>
      <c r="I11" s="127">
        <v>1.75</v>
      </c>
      <c r="J11" s="127">
        <v>0.32</v>
      </c>
      <c r="K11" s="125" t="s">
        <v>8</v>
      </c>
      <c r="L11" s="125" t="s">
        <v>300</v>
      </c>
      <c r="M11" s="129" t="s">
        <v>664</v>
      </c>
      <c r="N11" s="126" t="s">
        <v>665</v>
      </c>
      <c r="O11" s="129" t="s">
        <v>652</v>
      </c>
      <c r="P11" s="125" t="s">
        <v>653</v>
      </c>
      <c r="Q11" s="129" t="s">
        <v>654</v>
      </c>
      <c r="R11" s="129" t="s">
        <v>655</v>
      </c>
      <c r="S11" s="125" t="s">
        <v>8</v>
      </c>
      <c r="T11" s="125" t="s">
        <v>8</v>
      </c>
      <c r="U11" s="112"/>
    </row>
    <row r="12" spans="1:21" s="113" customFormat="1" ht="13.5" customHeight="1" x14ac:dyDescent="0.2">
      <c r="A12" s="125" t="str">
        <f t="shared" si="0"/>
        <v>Channel68.2</v>
      </c>
      <c r="B12" s="107"/>
      <c r="C12" s="121"/>
      <c r="D12" s="130" t="s">
        <v>648</v>
      </c>
      <c r="E12" s="128">
        <v>8.1999999999999993</v>
      </c>
      <c r="F12" s="128">
        <v>0.2</v>
      </c>
      <c r="G12" s="128">
        <v>6</v>
      </c>
      <c r="H12" s="128"/>
      <c r="I12" s="127">
        <v>1.92</v>
      </c>
      <c r="J12" s="127">
        <v>0.34300000000000003</v>
      </c>
      <c r="K12" s="125" t="s">
        <v>297</v>
      </c>
      <c r="L12" s="125" t="s">
        <v>300</v>
      </c>
      <c r="M12" s="129" t="s">
        <v>666</v>
      </c>
      <c r="N12" s="130" t="s">
        <v>667</v>
      </c>
      <c r="O12" s="129" t="s">
        <v>652</v>
      </c>
      <c r="P12" s="125" t="s">
        <v>653</v>
      </c>
      <c r="Q12" s="129" t="s">
        <v>654</v>
      </c>
      <c r="R12" s="129" t="s">
        <v>655</v>
      </c>
      <c r="S12" s="125" t="s">
        <v>8</v>
      </c>
      <c r="T12" s="125" t="s">
        <v>8</v>
      </c>
      <c r="U12" s="112"/>
    </row>
    <row r="13" spans="1:21" s="113" customFormat="1" ht="13.5" customHeight="1" x14ac:dyDescent="0.2">
      <c r="A13" s="125" t="str">
        <f t="shared" si="0"/>
        <v>Channel811.5</v>
      </c>
      <c r="B13" s="107"/>
      <c r="C13" s="121"/>
      <c r="D13" s="130" t="s">
        <v>648</v>
      </c>
      <c r="E13" s="128">
        <v>11.5</v>
      </c>
      <c r="F13" s="128">
        <v>0.22</v>
      </c>
      <c r="G13" s="128">
        <v>8</v>
      </c>
      <c r="H13" s="128"/>
      <c r="I13" s="127">
        <v>2.2599999999999998</v>
      </c>
      <c r="J13" s="127">
        <v>0.39</v>
      </c>
      <c r="K13" s="125" t="s">
        <v>297</v>
      </c>
      <c r="L13" s="125" t="s">
        <v>300</v>
      </c>
      <c r="M13" s="129" t="s">
        <v>668</v>
      </c>
      <c r="N13" s="130" t="s">
        <v>669</v>
      </c>
      <c r="O13" s="129" t="s">
        <v>652</v>
      </c>
      <c r="P13" s="125" t="s">
        <v>653</v>
      </c>
      <c r="Q13" s="129" t="s">
        <v>654</v>
      </c>
      <c r="R13" s="129" t="s">
        <v>655</v>
      </c>
      <c r="S13" s="125" t="s">
        <v>8</v>
      </c>
      <c r="T13" s="125" t="s">
        <v>8</v>
      </c>
      <c r="U13" s="112"/>
    </row>
    <row r="14" spans="1:21" s="113" customFormat="1" ht="13.5" customHeight="1" x14ac:dyDescent="0.2">
      <c r="A14" s="125" t="str">
        <f t="shared" si="0"/>
        <v>Channel1015.3</v>
      </c>
      <c r="B14" s="107"/>
      <c r="C14" s="121"/>
      <c r="D14" s="130" t="s">
        <v>648</v>
      </c>
      <c r="E14" s="128">
        <v>15.3</v>
      </c>
      <c r="F14" s="128">
        <v>0.24</v>
      </c>
      <c r="G14" s="128">
        <v>10</v>
      </c>
      <c r="H14" s="128"/>
      <c r="I14" s="127">
        <v>2.6</v>
      </c>
      <c r="J14" s="127">
        <v>0.438</v>
      </c>
      <c r="K14" s="125" t="s">
        <v>297</v>
      </c>
      <c r="L14" s="125" t="s">
        <v>300</v>
      </c>
      <c r="M14" s="129" t="s">
        <v>670</v>
      </c>
      <c r="N14" s="130" t="s">
        <v>671</v>
      </c>
      <c r="O14" s="129" t="s">
        <v>652</v>
      </c>
      <c r="P14" s="125" t="s">
        <v>653</v>
      </c>
      <c r="Q14" s="129" t="s">
        <v>654</v>
      </c>
      <c r="R14" s="129" t="s">
        <v>655</v>
      </c>
      <c r="S14" s="125" t="s">
        <v>8</v>
      </c>
      <c r="T14" s="125" t="s">
        <v>8</v>
      </c>
      <c r="U14" s="112"/>
    </row>
    <row r="15" spans="1:21" s="113" customFormat="1" ht="13.5" customHeight="1" x14ac:dyDescent="0.2">
      <c r="A15" s="125" t="str">
        <f t="shared" si="0"/>
        <v>Channel1220.7</v>
      </c>
      <c r="B15" s="107"/>
      <c r="C15" s="121"/>
      <c r="D15" s="130" t="s">
        <v>648</v>
      </c>
      <c r="E15" s="128">
        <v>20.7</v>
      </c>
      <c r="F15" s="128">
        <v>0.28199999999999997</v>
      </c>
      <c r="G15" s="128">
        <v>12</v>
      </c>
      <c r="H15" s="128"/>
      <c r="I15" s="127">
        <v>2.9420000000000002</v>
      </c>
      <c r="J15" s="127">
        <v>0.501</v>
      </c>
      <c r="K15" s="125" t="s">
        <v>297</v>
      </c>
      <c r="L15" s="125" t="s">
        <v>300</v>
      </c>
      <c r="M15" s="129" t="s">
        <v>672</v>
      </c>
      <c r="N15" s="130" t="s">
        <v>673</v>
      </c>
      <c r="O15" s="129" t="s">
        <v>652</v>
      </c>
      <c r="P15" s="125" t="s">
        <v>653</v>
      </c>
      <c r="Q15" s="129" t="s">
        <v>654</v>
      </c>
      <c r="R15" s="129" t="s">
        <v>655</v>
      </c>
      <c r="S15" s="125" t="s">
        <v>8</v>
      </c>
      <c r="T15" s="125" t="s">
        <v>8</v>
      </c>
      <c r="U15" s="112"/>
    </row>
    <row r="16" spans="1:21" s="113" customFormat="1" ht="13.5" customHeight="1" x14ac:dyDescent="0.2">
      <c r="A16" s="125" t="str">
        <f>CONCATENATE(RIGHT(D16,LEN(D16)-FIND(" ",D16)),G16,E16)</f>
        <v>I-Beam35.7</v>
      </c>
      <c r="B16" s="107"/>
      <c r="C16" s="132"/>
      <c r="D16" s="126" t="s">
        <v>674</v>
      </c>
      <c r="E16" s="127">
        <v>5.7</v>
      </c>
      <c r="F16" s="128">
        <v>0.17</v>
      </c>
      <c r="G16" s="127">
        <v>3</v>
      </c>
      <c r="H16" s="127"/>
      <c r="I16" s="127">
        <v>2.33</v>
      </c>
      <c r="J16" s="127">
        <v>0.26</v>
      </c>
      <c r="K16" s="125" t="s">
        <v>8</v>
      </c>
      <c r="L16" s="125" t="s">
        <v>300</v>
      </c>
      <c r="M16" s="125" t="s">
        <v>675</v>
      </c>
      <c r="N16" s="126" t="s">
        <v>676</v>
      </c>
      <c r="O16" s="129" t="s">
        <v>677</v>
      </c>
      <c r="P16" s="125" t="s">
        <v>653</v>
      </c>
      <c r="Q16" s="129" t="s">
        <v>654</v>
      </c>
      <c r="R16" s="129" t="s">
        <v>655</v>
      </c>
      <c r="S16" s="125" t="s">
        <v>8</v>
      </c>
      <c r="T16" s="125" t="s">
        <v>8</v>
      </c>
      <c r="U16" s="112"/>
    </row>
    <row r="17" spans="1:21" s="113" customFormat="1" ht="13.5" customHeight="1" x14ac:dyDescent="0.2">
      <c r="A17" s="125" t="str">
        <f>CONCATENATE(RIGHT(D17,LEN(D17)-FIND(" ",D17)),G17,E17)</f>
        <v>I-Beam47.7</v>
      </c>
      <c r="B17" s="107"/>
      <c r="C17" s="132"/>
      <c r="D17" s="126" t="s">
        <v>674</v>
      </c>
      <c r="E17" s="127">
        <v>7.7</v>
      </c>
      <c r="F17" s="128">
        <v>0.19</v>
      </c>
      <c r="G17" s="127">
        <v>4</v>
      </c>
      <c r="H17" s="127"/>
      <c r="I17" s="127">
        <v>2.66</v>
      </c>
      <c r="J17" s="127">
        <v>0.29299999999999998</v>
      </c>
      <c r="K17" s="125" t="s">
        <v>297</v>
      </c>
      <c r="L17" s="125" t="s">
        <v>300</v>
      </c>
      <c r="M17" s="125" t="s">
        <v>678</v>
      </c>
      <c r="N17" s="126" t="s">
        <v>679</v>
      </c>
      <c r="O17" s="129" t="s">
        <v>677</v>
      </c>
      <c r="P17" s="125" t="s">
        <v>653</v>
      </c>
      <c r="Q17" s="129" t="s">
        <v>654</v>
      </c>
      <c r="R17" s="129" t="s">
        <v>655</v>
      </c>
      <c r="S17" s="125" t="s">
        <v>8</v>
      </c>
      <c r="T17" s="125" t="s">
        <v>8</v>
      </c>
      <c r="U17" s="112"/>
    </row>
    <row r="18" spans="1:21" s="113" customFormat="1" ht="13.5" customHeight="1" x14ac:dyDescent="0.2">
      <c r="A18" s="125" t="str">
        <f>CONCATENATE(RIGHT(D18,LEN(D18)-FIND(" ",D18)),G18,E18)</f>
        <v>I-Beam612.5</v>
      </c>
      <c r="B18" s="107"/>
      <c r="C18" s="132"/>
      <c r="D18" s="126" t="s">
        <v>674</v>
      </c>
      <c r="E18" s="127">
        <v>12.5</v>
      </c>
      <c r="F18" s="128">
        <v>0.23</v>
      </c>
      <c r="G18" s="127">
        <v>6</v>
      </c>
      <c r="H18" s="127"/>
      <c r="I18" s="127">
        <v>3.33</v>
      </c>
      <c r="J18" s="127">
        <v>0.35899999999999999</v>
      </c>
      <c r="K18" s="125" t="s">
        <v>8</v>
      </c>
      <c r="L18" s="125" t="s">
        <v>300</v>
      </c>
      <c r="M18" s="125" t="s">
        <v>680</v>
      </c>
      <c r="N18" s="126" t="s">
        <v>681</v>
      </c>
      <c r="O18" s="129" t="s">
        <v>677</v>
      </c>
      <c r="P18" s="125" t="s">
        <v>653</v>
      </c>
      <c r="Q18" s="129" t="s">
        <v>654</v>
      </c>
      <c r="R18" s="129" t="s">
        <v>655</v>
      </c>
      <c r="S18" s="125" t="s">
        <v>8</v>
      </c>
      <c r="T18" s="125" t="s">
        <v>8</v>
      </c>
      <c r="U18" s="112"/>
    </row>
    <row r="19" spans="1:21" s="113" customFormat="1" ht="13.5" customHeight="1" x14ac:dyDescent="0.2">
      <c r="A19" s="125" t="str">
        <f>CONCATENATE(RIGHT(D19,LEN(D19)-FIND(" ",D19)),G19,E19)</f>
        <v>I-Beam818.4</v>
      </c>
      <c r="B19" s="107"/>
      <c r="C19" s="132"/>
      <c r="D19" s="126" t="s">
        <v>674</v>
      </c>
      <c r="E19" s="127">
        <v>18.399999999999999</v>
      </c>
      <c r="F19" s="128">
        <v>0.27</v>
      </c>
      <c r="G19" s="127">
        <v>8</v>
      </c>
      <c r="H19" s="127"/>
      <c r="I19" s="127">
        <v>4</v>
      </c>
      <c r="J19" s="127">
        <v>0.42499999999999999</v>
      </c>
      <c r="K19" s="125" t="s">
        <v>8</v>
      </c>
      <c r="L19" s="125" t="s">
        <v>300</v>
      </c>
      <c r="M19" s="125" t="s">
        <v>682</v>
      </c>
      <c r="N19" s="126" t="s">
        <v>683</v>
      </c>
      <c r="O19" s="129" t="s">
        <v>677</v>
      </c>
      <c r="P19" s="125" t="s">
        <v>653</v>
      </c>
      <c r="Q19" s="129" t="s">
        <v>654</v>
      </c>
      <c r="R19" s="129" t="s">
        <v>655</v>
      </c>
      <c r="S19" s="125" t="s">
        <v>8</v>
      </c>
      <c r="T19" s="125" t="s">
        <v>8</v>
      </c>
      <c r="U19" s="112"/>
    </row>
    <row r="20" spans="1:21" s="113" customFormat="1" ht="13.5" customHeight="1" x14ac:dyDescent="0.2">
      <c r="A20" s="125" t="str">
        <f>CONCATENATE(RIGHT(D20,LEN(D20)-FIND(" ",D20)),G20,I20,F20)</f>
        <v>Angle0.750.750.125</v>
      </c>
      <c r="B20" s="107"/>
      <c r="C20" s="132"/>
      <c r="D20" s="130" t="s">
        <v>684</v>
      </c>
      <c r="E20" s="133">
        <v>0.59</v>
      </c>
      <c r="F20" s="134">
        <v>0.125</v>
      </c>
      <c r="G20" s="134">
        <v>0.75</v>
      </c>
      <c r="H20" s="134"/>
      <c r="I20" s="133">
        <v>0.75</v>
      </c>
      <c r="J20" s="133">
        <v>0.125</v>
      </c>
      <c r="K20" s="135" t="s">
        <v>297</v>
      </c>
      <c r="L20" s="135" t="s">
        <v>8</v>
      </c>
      <c r="M20" s="136" t="s">
        <v>685</v>
      </c>
      <c r="N20" s="137" t="s">
        <v>686</v>
      </c>
      <c r="O20" s="136" t="s">
        <v>677</v>
      </c>
      <c r="P20" s="135" t="s">
        <v>653</v>
      </c>
      <c r="Q20" s="136" t="s">
        <v>654</v>
      </c>
      <c r="R20" s="136" t="s">
        <v>655</v>
      </c>
      <c r="S20" s="135" t="s">
        <v>8</v>
      </c>
      <c r="T20" s="135" t="s">
        <v>8</v>
      </c>
      <c r="U20" s="112"/>
    </row>
    <row r="21" spans="1:21" s="113" customFormat="1" ht="13.5" customHeight="1" x14ac:dyDescent="0.2">
      <c r="A21" s="125" t="str">
        <f>CONCATENATE(RIGHT(D21,LEN(D21)-FIND(" ",D21)),G21,I21,F21)</f>
        <v>Angle110.25</v>
      </c>
      <c r="B21" s="107"/>
      <c r="C21" s="132"/>
      <c r="D21" s="130" t="s">
        <v>684</v>
      </c>
      <c r="E21" s="127">
        <v>1.49</v>
      </c>
      <c r="F21" s="128">
        <v>0.25</v>
      </c>
      <c r="G21" s="128">
        <v>1</v>
      </c>
      <c r="H21" s="128"/>
      <c r="I21" s="127">
        <v>1</v>
      </c>
      <c r="J21" s="127">
        <v>0.125</v>
      </c>
      <c r="K21" s="125" t="s">
        <v>297</v>
      </c>
      <c r="L21" s="125" t="s">
        <v>8</v>
      </c>
      <c r="M21" s="129" t="s">
        <v>687</v>
      </c>
      <c r="N21" s="130" t="s">
        <v>688</v>
      </c>
      <c r="O21" s="129" t="s">
        <v>677</v>
      </c>
      <c r="P21" s="125" t="s">
        <v>653</v>
      </c>
      <c r="Q21" s="129" t="s">
        <v>654</v>
      </c>
      <c r="R21" s="129" t="s">
        <v>655</v>
      </c>
      <c r="S21" s="125" t="s">
        <v>8</v>
      </c>
      <c r="T21" s="125" t="s">
        <v>8</v>
      </c>
      <c r="U21" s="112"/>
    </row>
    <row r="22" spans="1:21" s="113" customFormat="1" ht="13.5" customHeight="1" x14ac:dyDescent="0.2">
      <c r="A22" s="125" t="str">
        <f t="shared" ref="A22:A27" si="1">CONCATENATE(RIGHT(D22,LEN(D22)-FIND(" ",D22)),G22,I22,F22)</f>
        <v>Angle1.251.250.25</v>
      </c>
      <c r="B22" s="107"/>
      <c r="C22" s="132"/>
      <c r="D22" s="130" t="s">
        <v>684</v>
      </c>
      <c r="E22" s="127">
        <v>1.92</v>
      </c>
      <c r="F22" s="128">
        <v>0.25</v>
      </c>
      <c r="G22" s="128">
        <v>1.25</v>
      </c>
      <c r="H22" s="128"/>
      <c r="I22" s="127">
        <v>1.25</v>
      </c>
      <c r="J22" s="127">
        <v>0.188</v>
      </c>
      <c r="K22" s="125" t="s">
        <v>297</v>
      </c>
      <c r="L22" s="125" t="s">
        <v>8</v>
      </c>
      <c r="M22" s="129" t="s">
        <v>689</v>
      </c>
      <c r="N22" s="130" t="s">
        <v>690</v>
      </c>
      <c r="O22" s="129" t="s">
        <v>677</v>
      </c>
      <c r="P22" s="125" t="s">
        <v>653</v>
      </c>
      <c r="Q22" s="129" t="s">
        <v>654</v>
      </c>
      <c r="R22" s="129" t="s">
        <v>655</v>
      </c>
      <c r="S22" s="125" t="s">
        <v>8</v>
      </c>
      <c r="T22" s="125" t="s">
        <v>8</v>
      </c>
      <c r="U22" s="112"/>
    </row>
    <row r="23" spans="1:21" s="113" customFormat="1" ht="13.5" customHeight="1" x14ac:dyDescent="0.2">
      <c r="A23" s="125" t="str">
        <f t="shared" si="1"/>
        <v>Angle1.51.50.25</v>
      </c>
      <c r="B23" s="107"/>
      <c r="C23" s="132"/>
      <c r="D23" s="130" t="s">
        <v>684</v>
      </c>
      <c r="E23" s="127">
        <v>2.34</v>
      </c>
      <c r="F23" s="128">
        <v>0.25</v>
      </c>
      <c r="G23" s="128">
        <v>1.5</v>
      </c>
      <c r="H23" s="128"/>
      <c r="I23" s="127">
        <v>1.5</v>
      </c>
      <c r="J23" s="127">
        <v>0.188</v>
      </c>
      <c r="K23" s="125" t="s">
        <v>297</v>
      </c>
      <c r="L23" s="125" t="s">
        <v>8</v>
      </c>
      <c r="M23" s="129" t="s">
        <v>691</v>
      </c>
      <c r="N23" s="130" t="s">
        <v>692</v>
      </c>
      <c r="O23" s="129" t="s">
        <v>677</v>
      </c>
      <c r="P23" s="125" t="s">
        <v>653</v>
      </c>
      <c r="Q23" s="129" t="s">
        <v>654</v>
      </c>
      <c r="R23" s="129" t="s">
        <v>655</v>
      </c>
      <c r="S23" s="125" t="s">
        <v>8</v>
      </c>
      <c r="T23" s="125" t="s">
        <v>8</v>
      </c>
      <c r="U23" s="112"/>
    </row>
    <row r="24" spans="1:21" s="113" customFormat="1" ht="13.5" customHeight="1" x14ac:dyDescent="0.2">
      <c r="A24" s="125" t="str">
        <f t="shared" si="1"/>
        <v>Angle220.25</v>
      </c>
      <c r="B24" s="107"/>
      <c r="C24" s="132"/>
      <c r="D24" s="138" t="s">
        <v>684</v>
      </c>
      <c r="E24" s="127">
        <v>3.19</v>
      </c>
      <c r="F24" s="128">
        <v>0.25</v>
      </c>
      <c r="G24" s="128">
        <v>2</v>
      </c>
      <c r="H24" s="128"/>
      <c r="I24" s="127">
        <v>2</v>
      </c>
      <c r="J24" s="127">
        <v>0.28100000000000003</v>
      </c>
      <c r="K24" s="125" t="s">
        <v>297</v>
      </c>
      <c r="L24" s="125" t="s">
        <v>300</v>
      </c>
      <c r="M24" s="129" t="s">
        <v>693</v>
      </c>
      <c r="N24" s="130" t="s">
        <v>694</v>
      </c>
      <c r="O24" s="129" t="s">
        <v>677</v>
      </c>
      <c r="P24" s="125" t="s">
        <v>653</v>
      </c>
      <c r="Q24" s="129" t="s">
        <v>654</v>
      </c>
      <c r="R24" s="129" t="s">
        <v>655</v>
      </c>
      <c r="S24" s="125" t="s">
        <v>8</v>
      </c>
      <c r="T24" s="125" t="s">
        <v>8</v>
      </c>
      <c r="U24" s="112"/>
    </row>
    <row r="25" spans="1:21" s="113" customFormat="1" ht="13.5" customHeight="1" x14ac:dyDescent="0.2">
      <c r="A25" s="125" t="str">
        <f t="shared" si="1"/>
        <v>AngleCoped220.25</v>
      </c>
      <c r="B25" s="107"/>
      <c r="C25" s="132"/>
      <c r="D25" s="130" t="s">
        <v>695</v>
      </c>
      <c r="E25" s="127">
        <v>3.19</v>
      </c>
      <c r="F25" s="128">
        <v>0.25</v>
      </c>
      <c r="G25" s="128">
        <v>2</v>
      </c>
      <c r="H25" s="128"/>
      <c r="I25" s="127">
        <v>2</v>
      </c>
      <c r="J25" s="127">
        <v>0.28100000000000003</v>
      </c>
      <c r="K25" s="125" t="s">
        <v>297</v>
      </c>
      <c r="L25" s="125" t="s">
        <v>8</v>
      </c>
      <c r="M25" s="129" t="s">
        <v>696</v>
      </c>
      <c r="N25" s="130" t="s">
        <v>697</v>
      </c>
      <c r="O25" s="129" t="s">
        <v>677</v>
      </c>
      <c r="P25" s="125" t="s">
        <v>653</v>
      </c>
      <c r="Q25" s="129" t="s">
        <v>654</v>
      </c>
      <c r="R25" s="129" t="s">
        <v>655</v>
      </c>
      <c r="S25" s="125" t="s">
        <v>8</v>
      </c>
      <c r="T25" s="125" t="s">
        <v>8</v>
      </c>
      <c r="U25" s="112"/>
    </row>
    <row r="26" spans="1:21" s="113" customFormat="1" ht="13.5" customHeight="1" x14ac:dyDescent="0.2">
      <c r="A26" s="125" t="str">
        <f t="shared" si="1"/>
        <v>Angle220.188</v>
      </c>
      <c r="B26" s="107"/>
      <c r="C26" s="132"/>
      <c r="D26" s="126" t="s">
        <v>684</v>
      </c>
      <c r="E26" s="127">
        <v>2.44</v>
      </c>
      <c r="F26" s="128">
        <v>0.188</v>
      </c>
      <c r="G26" s="127">
        <v>2</v>
      </c>
      <c r="H26" s="127"/>
      <c r="I26" s="127">
        <v>2</v>
      </c>
      <c r="J26" s="127">
        <v>0.28100000000000003</v>
      </c>
      <c r="K26" s="125" t="s">
        <v>8</v>
      </c>
      <c r="L26" s="125" t="s">
        <v>300</v>
      </c>
      <c r="M26" s="125" t="s">
        <v>698</v>
      </c>
      <c r="N26" s="126" t="s">
        <v>699</v>
      </c>
      <c r="O26" s="129" t="s">
        <v>677</v>
      </c>
      <c r="P26" s="125" t="s">
        <v>653</v>
      </c>
      <c r="Q26" s="129" t="s">
        <v>700</v>
      </c>
      <c r="R26" s="129" t="s">
        <v>655</v>
      </c>
      <c r="S26" s="125" t="s">
        <v>8</v>
      </c>
      <c r="T26" s="125" t="s">
        <v>8</v>
      </c>
      <c r="U26" s="112"/>
    </row>
    <row r="27" spans="1:21" s="113" customFormat="1" ht="13.5" customHeight="1" x14ac:dyDescent="0.2">
      <c r="A27" s="125" t="str">
        <f t="shared" si="1"/>
        <v>Angle640.375</v>
      </c>
      <c r="B27" s="107"/>
      <c r="C27" s="132"/>
      <c r="D27" s="126" t="s">
        <v>684</v>
      </c>
      <c r="E27" s="127">
        <v>12.3</v>
      </c>
      <c r="F27" s="128">
        <v>0.375</v>
      </c>
      <c r="G27" s="127">
        <v>6</v>
      </c>
      <c r="H27" s="127"/>
      <c r="I27" s="127">
        <v>4</v>
      </c>
      <c r="J27" s="127">
        <v>0.5</v>
      </c>
      <c r="K27" s="125" t="s">
        <v>8</v>
      </c>
      <c r="L27" s="125" t="s">
        <v>300</v>
      </c>
      <c r="M27" s="125" t="s">
        <v>701</v>
      </c>
      <c r="N27" s="126" t="s">
        <v>702</v>
      </c>
      <c r="O27" s="129" t="s">
        <v>677</v>
      </c>
      <c r="P27" s="125" t="s">
        <v>653</v>
      </c>
      <c r="Q27" s="129" t="s">
        <v>703</v>
      </c>
      <c r="R27" s="129" t="s">
        <v>655</v>
      </c>
      <c r="S27" s="125" t="s">
        <v>8</v>
      </c>
      <c r="T27" s="125" t="s">
        <v>8</v>
      </c>
      <c r="U27" s="112"/>
    </row>
    <row r="28" spans="1:21" s="113" customFormat="1" ht="13.5" customHeight="1" x14ac:dyDescent="0.2">
      <c r="A28" s="125" t="str">
        <f>CONCATENATE(RIGHT(D28,LEN(D28)-FIND(" ",D28)),G28,I28,F28)</f>
        <v>Tubing110.065</v>
      </c>
      <c r="B28" s="107"/>
      <c r="C28" s="132"/>
      <c r="D28" s="126" t="s">
        <v>704</v>
      </c>
      <c r="E28" s="127">
        <v>0.82650000000000001</v>
      </c>
      <c r="F28" s="128">
        <v>6.5000000000000002E-2</v>
      </c>
      <c r="G28" s="127">
        <v>1</v>
      </c>
      <c r="H28" s="127"/>
      <c r="I28" s="127">
        <v>1</v>
      </c>
      <c r="J28" s="127" t="s">
        <v>8</v>
      </c>
      <c r="K28" s="125" t="s">
        <v>8</v>
      </c>
      <c r="L28" s="125" t="s">
        <v>300</v>
      </c>
      <c r="M28" s="125" t="s">
        <v>705</v>
      </c>
      <c r="N28" s="126" t="s">
        <v>706</v>
      </c>
      <c r="O28" s="125" t="s">
        <v>707</v>
      </c>
      <c r="P28" s="125" t="s">
        <v>8</v>
      </c>
      <c r="Q28" s="129" t="s">
        <v>654</v>
      </c>
      <c r="R28" s="129" t="s">
        <v>655</v>
      </c>
      <c r="S28" s="125" t="s">
        <v>8</v>
      </c>
      <c r="T28" s="125" t="s">
        <v>8</v>
      </c>
      <c r="U28" s="112"/>
    </row>
    <row r="29" spans="1:21" s="113" customFormat="1" ht="13.5" customHeight="1" x14ac:dyDescent="0.2">
      <c r="A29" s="125" t="str">
        <f>CONCATENATE(RIGHT(D29,LEN(D29)-FIND(" ",D29)),G29,I29,F29)</f>
        <v>Tubing330.12</v>
      </c>
      <c r="B29" s="107"/>
      <c r="C29" s="132"/>
      <c r="D29" s="126" t="s">
        <v>704</v>
      </c>
      <c r="E29" s="127">
        <v>4.58</v>
      </c>
      <c r="F29" s="128">
        <v>0.12</v>
      </c>
      <c r="G29" s="127">
        <v>3</v>
      </c>
      <c r="H29" s="127"/>
      <c r="I29" s="127">
        <v>3</v>
      </c>
      <c r="J29" s="127" t="s">
        <v>8</v>
      </c>
      <c r="K29" s="125" t="s">
        <v>297</v>
      </c>
      <c r="L29" s="125" t="s">
        <v>300</v>
      </c>
      <c r="M29" s="125" t="s">
        <v>708</v>
      </c>
      <c r="N29" s="126" t="s">
        <v>709</v>
      </c>
      <c r="O29" s="125" t="s">
        <v>707</v>
      </c>
      <c r="P29" s="125" t="s">
        <v>8</v>
      </c>
      <c r="Q29" s="129" t="s">
        <v>654</v>
      </c>
      <c r="R29" s="129" t="s">
        <v>655</v>
      </c>
      <c r="S29" s="125" t="s">
        <v>8</v>
      </c>
      <c r="T29" s="125" t="s">
        <v>8</v>
      </c>
      <c r="U29" s="112"/>
    </row>
    <row r="30" spans="1:21" s="113" customFormat="1" ht="13.5" customHeight="1" x14ac:dyDescent="0.2">
      <c r="A30" s="125" t="str">
        <f>CONCATENATE(RIGHT(D30,LEN(D30)-FIND(" ",D30)),G30,I30,F30)</f>
        <v>Tubing440.12</v>
      </c>
      <c r="B30" s="107"/>
      <c r="C30" s="132"/>
      <c r="D30" s="126" t="s">
        <v>704</v>
      </c>
      <c r="E30" s="128">
        <v>6.22</v>
      </c>
      <c r="F30" s="128">
        <v>0.12</v>
      </c>
      <c r="G30" s="128">
        <v>4</v>
      </c>
      <c r="H30" s="128"/>
      <c r="I30" s="128">
        <v>4</v>
      </c>
      <c r="J30" s="128" t="s">
        <v>8</v>
      </c>
      <c r="K30" s="129" t="s">
        <v>8</v>
      </c>
      <c r="L30" s="125" t="s">
        <v>300</v>
      </c>
      <c r="M30" s="125" t="s">
        <v>710</v>
      </c>
      <c r="N30" s="126" t="s">
        <v>711</v>
      </c>
      <c r="O30" s="125" t="s">
        <v>707</v>
      </c>
      <c r="P30" s="125" t="s">
        <v>8</v>
      </c>
      <c r="Q30" s="129" t="s">
        <v>654</v>
      </c>
      <c r="R30" s="129" t="s">
        <v>655</v>
      </c>
      <c r="S30" s="125" t="s">
        <v>8</v>
      </c>
      <c r="T30" s="125" t="s">
        <v>8</v>
      </c>
      <c r="U30" s="112"/>
    </row>
    <row r="31" spans="1:21" s="113" customFormat="1" ht="13.5" customHeight="1" x14ac:dyDescent="0.2">
      <c r="A31" s="125" t="str">
        <f>CONCATENATE(RIGHT(D31,LEN(D31)-FIND(" ",D31)),G31,I31,F31)</f>
        <v>Tubing220.12</v>
      </c>
      <c r="B31" s="107"/>
      <c r="C31" s="132"/>
      <c r="D31" s="126" t="s">
        <v>704</v>
      </c>
      <c r="E31" s="127">
        <v>2.94</v>
      </c>
      <c r="F31" s="128">
        <v>0.12</v>
      </c>
      <c r="G31" s="127">
        <v>2</v>
      </c>
      <c r="H31" s="127"/>
      <c r="I31" s="127">
        <v>2</v>
      </c>
      <c r="J31" s="127" t="s">
        <v>8</v>
      </c>
      <c r="K31" s="125" t="s">
        <v>297</v>
      </c>
      <c r="L31" s="125" t="s">
        <v>300</v>
      </c>
      <c r="M31" s="125" t="s">
        <v>712</v>
      </c>
      <c r="N31" s="126" t="s">
        <v>713</v>
      </c>
      <c r="O31" s="125" t="s">
        <v>707</v>
      </c>
      <c r="P31" s="139" t="s">
        <v>8</v>
      </c>
      <c r="Q31" s="129" t="s">
        <v>654</v>
      </c>
      <c r="R31" s="129" t="s">
        <v>655</v>
      </c>
      <c r="S31" s="125" t="s">
        <v>8</v>
      </c>
      <c r="T31" s="125" t="s">
        <v>8</v>
      </c>
      <c r="U31" s="112"/>
    </row>
    <row r="32" spans="1:21" s="113" customFormat="1" ht="13.5" customHeight="1" x14ac:dyDescent="0.2">
      <c r="A32" s="125" t="str">
        <f>CONCATENATE(RIGHT(D32,LEN(D32)-FIND(" ",D32)),G32,I32,F32)</f>
        <v>Tubing1.50.750.12</v>
      </c>
      <c r="B32" s="107"/>
      <c r="C32" s="132"/>
      <c r="D32" s="126" t="s">
        <v>704</v>
      </c>
      <c r="E32" s="127">
        <v>1.64</v>
      </c>
      <c r="F32" s="128">
        <v>0.12</v>
      </c>
      <c r="G32" s="127">
        <v>1.5</v>
      </c>
      <c r="H32" s="127"/>
      <c r="I32" s="127">
        <v>0.75</v>
      </c>
      <c r="J32" s="127" t="s">
        <v>8</v>
      </c>
      <c r="K32" s="125" t="s">
        <v>8</v>
      </c>
      <c r="L32" s="125" t="s">
        <v>300</v>
      </c>
      <c r="M32" s="125" t="s">
        <v>714</v>
      </c>
      <c r="N32" s="126" t="s">
        <v>715</v>
      </c>
      <c r="O32" s="125" t="s">
        <v>707</v>
      </c>
      <c r="P32" s="139" t="s">
        <v>8</v>
      </c>
      <c r="Q32" s="129" t="s">
        <v>654</v>
      </c>
      <c r="R32" s="129" t="s">
        <v>655</v>
      </c>
      <c r="S32" s="125" t="s">
        <v>8</v>
      </c>
      <c r="T32" s="125" t="s">
        <v>8</v>
      </c>
      <c r="U32" s="112"/>
    </row>
    <row r="33" spans="1:21" s="113" customFormat="1" ht="13.5" customHeight="1" x14ac:dyDescent="0.2">
      <c r="A33" s="125" t="str">
        <f>CONCATENATE(RIGHT(D33,LEN(D33)-FIND(" ",D33)),I33,F33)</f>
        <v>Flat Bar30.25</v>
      </c>
      <c r="B33" s="107"/>
      <c r="C33" s="132"/>
      <c r="D33" s="126" t="s">
        <v>716</v>
      </c>
      <c r="E33" s="127">
        <v>2.9750000000000001</v>
      </c>
      <c r="F33" s="128">
        <v>0.25</v>
      </c>
      <c r="G33" s="127" t="s">
        <v>8</v>
      </c>
      <c r="H33" s="127"/>
      <c r="I33" s="127">
        <v>3</v>
      </c>
      <c r="J33" s="127" t="s">
        <v>8</v>
      </c>
      <c r="K33" s="125" t="s">
        <v>8</v>
      </c>
      <c r="L33" s="125" t="s">
        <v>300</v>
      </c>
      <c r="M33" s="125" t="s">
        <v>717</v>
      </c>
      <c r="N33" s="126" t="s">
        <v>718</v>
      </c>
      <c r="O33" s="125" t="s">
        <v>707</v>
      </c>
      <c r="P33" s="125" t="s">
        <v>8</v>
      </c>
      <c r="Q33" s="129" t="s">
        <v>654</v>
      </c>
      <c r="R33" s="129" t="s">
        <v>655</v>
      </c>
      <c r="S33" s="125" t="s">
        <v>8</v>
      </c>
      <c r="T33" s="125" t="s">
        <v>8</v>
      </c>
      <c r="U33" s="112"/>
    </row>
    <row r="34" spans="1:21" s="88" customFormat="1" ht="13.5" customHeight="1" thickBot="1" x14ac:dyDescent="0.25">
      <c r="A34" s="140" t="str">
        <f>CONCATENATE(E34,S34)</f>
        <v/>
      </c>
      <c r="B34" s="141"/>
      <c r="C34" s="121"/>
      <c r="D34" s="142"/>
      <c r="E34" s="143"/>
      <c r="F34" s="143"/>
      <c r="G34" s="143"/>
      <c r="H34" s="143"/>
      <c r="I34" s="143"/>
      <c r="J34" s="143"/>
      <c r="K34" s="144"/>
      <c r="L34" s="144"/>
      <c r="M34" s="145"/>
      <c r="N34" s="146"/>
      <c r="O34" s="144"/>
      <c r="P34" s="147"/>
      <c r="Q34" s="144"/>
      <c r="R34" s="144"/>
      <c r="S34" s="144"/>
      <c r="T34" s="145"/>
      <c r="U34" s="148"/>
    </row>
    <row r="35" spans="1:21" s="88" customFormat="1" ht="17.25" customHeight="1" thickTop="1" thickBot="1" x14ac:dyDescent="0.25">
      <c r="A35" s="141" t="str">
        <f>CONCATENATE(E35,S35)</f>
        <v/>
      </c>
      <c r="B35" s="141"/>
      <c r="C35" s="149"/>
      <c r="D35" s="150"/>
      <c r="E35" s="151"/>
      <c r="F35" s="151"/>
      <c r="G35" s="151"/>
      <c r="H35" s="151"/>
      <c r="I35" s="151"/>
      <c r="J35" s="151"/>
      <c r="K35" s="152"/>
      <c r="L35" s="152"/>
      <c r="M35" s="152"/>
      <c r="N35" s="150"/>
      <c r="O35" s="152"/>
      <c r="P35" s="152"/>
      <c r="Q35" s="152"/>
      <c r="R35" s="152"/>
      <c r="S35" s="152"/>
      <c r="T35" s="152"/>
      <c r="U35" s="148"/>
    </row>
    <row r="36" spans="1:21" s="88" customFormat="1" ht="17.25" customHeight="1" thickTop="1" thickBot="1" x14ac:dyDescent="0.3">
      <c r="A36" s="153" t="str">
        <f>CONCATENATE(E36,S36)</f>
        <v/>
      </c>
      <c r="B36" s="141"/>
      <c r="C36" s="114" t="s">
        <v>719</v>
      </c>
      <c r="D36" s="86"/>
      <c r="E36" s="154"/>
      <c r="F36" s="154"/>
      <c r="G36" s="154"/>
      <c r="H36" s="154"/>
      <c r="I36" s="154"/>
      <c r="J36" s="154"/>
      <c r="N36" s="86"/>
      <c r="U36" s="148"/>
    </row>
    <row r="37" spans="1:21" s="88" customFormat="1" ht="13.5" customHeight="1" thickTop="1" x14ac:dyDescent="0.2">
      <c r="A37" s="120" t="str">
        <f>T37</f>
        <v>ALUT12TB</v>
      </c>
      <c r="B37" s="141"/>
      <c r="C37" s="121"/>
      <c r="D37" s="155" t="s">
        <v>720</v>
      </c>
      <c r="E37" s="123" t="s">
        <v>8</v>
      </c>
      <c r="F37" s="123" t="s">
        <v>8</v>
      </c>
      <c r="G37" s="123" t="s">
        <v>8</v>
      </c>
      <c r="H37" s="123"/>
      <c r="I37" s="123" t="s">
        <v>8</v>
      </c>
      <c r="J37" s="123" t="s">
        <v>8</v>
      </c>
      <c r="K37" s="124" t="s">
        <v>297</v>
      </c>
      <c r="L37" s="120" t="s">
        <v>8</v>
      </c>
      <c r="M37" s="124" t="s">
        <v>721</v>
      </c>
      <c r="N37" s="155" t="s">
        <v>722</v>
      </c>
      <c r="O37" s="124" t="s">
        <v>723</v>
      </c>
      <c r="P37" s="120" t="s">
        <v>8</v>
      </c>
      <c r="Q37" s="124" t="s">
        <v>724</v>
      </c>
      <c r="R37" s="124" t="s">
        <v>655</v>
      </c>
      <c r="S37" s="124" t="s">
        <v>725</v>
      </c>
      <c r="T37" s="120" t="s">
        <v>726</v>
      </c>
      <c r="U37" s="148"/>
    </row>
    <row r="38" spans="1:21" s="88" customFormat="1" ht="13.5" customHeight="1" x14ac:dyDescent="0.2">
      <c r="A38" s="125" t="str">
        <f t="shared" ref="A38:A53" si="2">T38</f>
        <v>ALUT12M-</v>
      </c>
      <c r="B38" s="141"/>
      <c r="C38" s="121"/>
      <c r="D38" s="130" t="s">
        <v>720</v>
      </c>
      <c r="E38" s="128" t="s">
        <v>8</v>
      </c>
      <c r="F38" s="128" t="s">
        <v>8</v>
      </c>
      <c r="G38" s="128" t="s">
        <v>8</v>
      </c>
      <c r="H38" s="128"/>
      <c r="I38" s="128" t="s">
        <v>8</v>
      </c>
      <c r="J38" s="128" t="s">
        <v>8</v>
      </c>
      <c r="K38" s="129" t="s">
        <v>297</v>
      </c>
      <c r="L38" s="125" t="s">
        <v>8</v>
      </c>
      <c r="M38" s="129" t="s">
        <v>727</v>
      </c>
      <c r="N38" s="130" t="s">
        <v>728</v>
      </c>
      <c r="O38" s="129" t="s">
        <v>723</v>
      </c>
      <c r="P38" s="125" t="s">
        <v>8</v>
      </c>
      <c r="Q38" s="129" t="s">
        <v>724</v>
      </c>
      <c r="R38" s="129" t="s">
        <v>655</v>
      </c>
      <c r="S38" s="129" t="s">
        <v>729</v>
      </c>
      <c r="T38" s="125" t="s">
        <v>730</v>
      </c>
      <c r="U38" s="148"/>
    </row>
    <row r="39" spans="1:21" s="88" customFormat="1" ht="13.5" customHeight="1" x14ac:dyDescent="0.2">
      <c r="A39" s="125" t="str">
        <f t="shared" si="2"/>
        <v>ALUT14TB</v>
      </c>
      <c r="B39" s="141"/>
      <c r="C39" s="121"/>
      <c r="D39" s="130" t="s">
        <v>720</v>
      </c>
      <c r="E39" s="128" t="s">
        <v>8</v>
      </c>
      <c r="F39" s="128" t="s">
        <v>8</v>
      </c>
      <c r="G39" s="128" t="s">
        <v>8</v>
      </c>
      <c r="H39" s="128"/>
      <c r="I39" s="128" t="s">
        <v>8</v>
      </c>
      <c r="J39" s="128" t="s">
        <v>8</v>
      </c>
      <c r="K39" s="129" t="s">
        <v>297</v>
      </c>
      <c r="L39" s="125" t="s">
        <v>8</v>
      </c>
      <c r="M39" s="129" t="s">
        <v>731</v>
      </c>
      <c r="N39" s="130" t="s">
        <v>732</v>
      </c>
      <c r="O39" s="129" t="s">
        <v>723</v>
      </c>
      <c r="P39" s="125" t="s">
        <v>8</v>
      </c>
      <c r="Q39" s="129" t="s">
        <v>724</v>
      </c>
      <c r="R39" s="129" t="s">
        <v>655</v>
      </c>
      <c r="S39" s="129" t="s">
        <v>733</v>
      </c>
      <c r="T39" s="125" t="s">
        <v>734</v>
      </c>
      <c r="U39" s="148"/>
    </row>
    <row r="40" spans="1:21" s="88" customFormat="1" ht="13.5" customHeight="1" x14ac:dyDescent="0.2">
      <c r="A40" s="125" t="str">
        <f t="shared" si="2"/>
        <v>ALUT14M-</v>
      </c>
      <c r="B40" s="141"/>
      <c r="C40" s="121"/>
      <c r="D40" s="130" t="s">
        <v>720</v>
      </c>
      <c r="E40" s="128" t="s">
        <v>8</v>
      </c>
      <c r="F40" s="128" t="s">
        <v>8</v>
      </c>
      <c r="G40" s="128" t="s">
        <v>8</v>
      </c>
      <c r="H40" s="128"/>
      <c r="I40" s="128" t="s">
        <v>8</v>
      </c>
      <c r="J40" s="128" t="s">
        <v>8</v>
      </c>
      <c r="K40" s="129" t="s">
        <v>297</v>
      </c>
      <c r="L40" s="125" t="s">
        <v>8</v>
      </c>
      <c r="M40" s="129" t="s">
        <v>735</v>
      </c>
      <c r="N40" s="130" t="s">
        <v>736</v>
      </c>
      <c r="O40" s="129" t="s">
        <v>723</v>
      </c>
      <c r="P40" s="125" t="s">
        <v>8</v>
      </c>
      <c r="Q40" s="129" t="s">
        <v>724</v>
      </c>
      <c r="R40" s="129" t="s">
        <v>655</v>
      </c>
      <c r="S40" s="129" t="s">
        <v>737</v>
      </c>
      <c r="T40" s="125" t="s">
        <v>738</v>
      </c>
      <c r="U40" s="148"/>
    </row>
    <row r="41" spans="1:21" s="88" customFormat="1" ht="13.5" customHeight="1" x14ac:dyDescent="0.2">
      <c r="A41" s="125" t="str">
        <f t="shared" si="2"/>
        <v>ALUT42TB</v>
      </c>
      <c r="B41" s="141"/>
      <c r="C41" s="121"/>
      <c r="D41" s="130" t="s">
        <v>720</v>
      </c>
      <c r="E41" s="128" t="s">
        <v>8</v>
      </c>
      <c r="F41" s="128" t="s">
        <v>8</v>
      </c>
      <c r="G41" s="128" t="s">
        <v>8</v>
      </c>
      <c r="H41" s="128"/>
      <c r="I41" s="128" t="s">
        <v>8</v>
      </c>
      <c r="J41" s="128" t="s">
        <v>8</v>
      </c>
      <c r="K41" s="129" t="s">
        <v>297</v>
      </c>
      <c r="L41" s="125" t="s">
        <v>8</v>
      </c>
      <c r="M41" s="129" t="s">
        <v>739</v>
      </c>
      <c r="N41" s="130" t="s">
        <v>722</v>
      </c>
      <c r="O41" s="129" t="s">
        <v>723</v>
      </c>
      <c r="P41" s="125" t="s">
        <v>8</v>
      </c>
      <c r="Q41" s="129" t="s">
        <v>724</v>
      </c>
      <c r="R41" s="129" t="s">
        <v>655</v>
      </c>
      <c r="S41" s="129" t="s">
        <v>740</v>
      </c>
      <c r="T41" s="125" t="s">
        <v>741</v>
      </c>
      <c r="U41" s="148"/>
    </row>
    <row r="42" spans="1:21" s="88" customFormat="1" ht="13.5" customHeight="1" x14ac:dyDescent="0.2">
      <c r="A42" s="125" t="str">
        <f t="shared" si="2"/>
        <v>ALUT42M-</v>
      </c>
      <c r="B42" s="141"/>
      <c r="C42" s="121"/>
      <c r="D42" s="130" t="s">
        <v>720</v>
      </c>
      <c r="E42" s="128" t="s">
        <v>8</v>
      </c>
      <c r="F42" s="128" t="s">
        <v>8</v>
      </c>
      <c r="G42" s="128" t="s">
        <v>8</v>
      </c>
      <c r="H42" s="128"/>
      <c r="I42" s="128" t="s">
        <v>8</v>
      </c>
      <c r="J42" s="128" t="s">
        <v>8</v>
      </c>
      <c r="K42" s="129" t="s">
        <v>297</v>
      </c>
      <c r="L42" s="125" t="s">
        <v>8</v>
      </c>
      <c r="M42" s="129" t="s">
        <v>742</v>
      </c>
      <c r="N42" s="130" t="s">
        <v>728</v>
      </c>
      <c r="O42" s="129" t="s">
        <v>723</v>
      </c>
      <c r="P42" s="125" t="s">
        <v>8</v>
      </c>
      <c r="Q42" s="129" t="s">
        <v>724</v>
      </c>
      <c r="R42" s="129" t="s">
        <v>655</v>
      </c>
      <c r="S42" s="129" t="s">
        <v>743</v>
      </c>
      <c r="T42" s="125" t="s">
        <v>744</v>
      </c>
      <c r="U42" s="148"/>
    </row>
    <row r="43" spans="1:21" s="88" customFormat="1" ht="13.5" customHeight="1" x14ac:dyDescent="0.2">
      <c r="A43" s="125" t="str">
        <f t="shared" si="2"/>
        <v>-</v>
      </c>
      <c r="B43" s="141"/>
      <c r="C43" s="121"/>
      <c r="D43" s="130" t="s">
        <v>720</v>
      </c>
      <c r="E43" s="128" t="s">
        <v>8</v>
      </c>
      <c r="F43" s="128" t="s">
        <v>8</v>
      </c>
      <c r="G43" s="128" t="s">
        <v>8</v>
      </c>
      <c r="H43" s="128"/>
      <c r="I43" s="128" t="s">
        <v>8</v>
      </c>
      <c r="J43" s="128" t="s">
        <v>8</v>
      </c>
      <c r="K43" s="129" t="s">
        <v>8</v>
      </c>
      <c r="L43" s="156" t="s">
        <v>300</v>
      </c>
      <c r="M43" s="125" t="s">
        <v>745</v>
      </c>
      <c r="N43" s="126" t="s">
        <v>746</v>
      </c>
      <c r="O43" s="129" t="s">
        <v>723</v>
      </c>
      <c r="P43" s="125" t="s">
        <v>8</v>
      </c>
      <c r="Q43" s="129" t="s">
        <v>724</v>
      </c>
      <c r="R43" s="129" t="s">
        <v>655</v>
      </c>
      <c r="S43" s="125" t="s">
        <v>8</v>
      </c>
      <c r="T43" s="125" t="s">
        <v>8</v>
      </c>
      <c r="U43" s="148"/>
    </row>
    <row r="44" spans="1:21" s="88" customFormat="1" ht="13.5" customHeight="1" x14ac:dyDescent="0.2">
      <c r="A44" s="125" t="str">
        <f t="shared" si="2"/>
        <v>-</v>
      </c>
      <c r="B44" s="141"/>
      <c r="C44" s="121"/>
      <c r="D44" s="130" t="s">
        <v>720</v>
      </c>
      <c r="E44" s="127" t="s">
        <v>8</v>
      </c>
      <c r="F44" s="127" t="s">
        <v>8</v>
      </c>
      <c r="G44" s="127" t="s">
        <v>8</v>
      </c>
      <c r="H44" s="127"/>
      <c r="I44" s="127" t="s">
        <v>8</v>
      </c>
      <c r="J44" s="128" t="s">
        <v>8</v>
      </c>
      <c r="K44" s="125" t="s">
        <v>8</v>
      </c>
      <c r="L44" s="156" t="s">
        <v>300</v>
      </c>
      <c r="M44" s="125" t="s">
        <v>747</v>
      </c>
      <c r="N44" s="126" t="s">
        <v>748</v>
      </c>
      <c r="O44" s="129" t="s">
        <v>723</v>
      </c>
      <c r="P44" s="125" t="s">
        <v>8</v>
      </c>
      <c r="Q44" s="129" t="s">
        <v>724</v>
      </c>
      <c r="R44" s="129" t="s">
        <v>655</v>
      </c>
      <c r="S44" s="125" t="s">
        <v>8</v>
      </c>
      <c r="T44" s="125" t="s">
        <v>8</v>
      </c>
      <c r="U44" s="148"/>
    </row>
    <row r="45" spans="1:21" s="88" customFormat="1" ht="13.5" customHeight="1" x14ac:dyDescent="0.2">
      <c r="A45" s="125" t="str">
        <f t="shared" si="2"/>
        <v>-</v>
      </c>
      <c r="B45" s="141"/>
      <c r="C45" s="121"/>
      <c r="D45" s="130" t="s">
        <v>720</v>
      </c>
      <c r="E45" s="127" t="s">
        <v>8</v>
      </c>
      <c r="F45" s="127" t="s">
        <v>8</v>
      </c>
      <c r="G45" s="127" t="s">
        <v>8</v>
      </c>
      <c r="H45" s="127"/>
      <c r="I45" s="127" t="s">
        <v>8</v>
      </c>
      <c r="J45" s="128" t="s">
        <v>8</v>
      </c>
      <c r="K45" s="125" t="s">
        <v>8</v>
      </c>
      <c r="L45" s="125" t="s">
        <v>300</v>
      </c>
      <c r="M45" s="125" t="s">
        <v>749</v>
      </c>
      <c r="N45" s="126" t="s">
        <v>750</v>
      </c>
      <c r="O45" s="129" t="s">
        <v>723</v>
      </c>
      <c r="P45" s="125" t="s">
        <v>8</v>
      </c>
      <c r="Q45" s="129" t="s">
        <v>724</v>
      </c>
      <c r="R45" s="129" t="s">
        <v>655</v>
      </c>
      <c r="S45" s="125" t="s">
        <v>8</v>
      </c>
      <c r="T45" s="125" t="s">
        <v>8</v>
      </c>
      <c r="U45" s="148"/>
    </row>
    <row r="46" spans="1:21" s="88" customFormat="1" ht="13.5" customHeight="1" x14ac:dyDescent="0.2">
      <c r="A46" s="125" t="str">
        <f t="shared" si="2"/>
        <v>-</v>
      </c>
      <c r="B46" s="141"/>
      <c r="C46" s="121"/>
      <c r="D46" s="130" t="s">
        <v>720</v>
      </c>
      <c r="E46" s="127" t="s">
        <v>8</v>
      </c>
      <c r="F46" s="127" t="s">
        <v>8</v>
      </c>
      <c r="G46" s="127" t="s">
        <v>8</v>
      </c>
      <c r="H46" s="127"/>
      <c r="I46" s="127" t="s">
        <v>8</v>
      </c>
      <c r="J46" s="128" t="s">
        <v>8</v>
      </c>
      <c r="K46" s="125" t="s">
        <v>8</v>
      </c>
      <c r="L46" s="125" t="s">
        <v>300</v>
      </c>
      <c r="M46" s="125" t="s">
        <v>751</v>
      </c>
      <c r="N46" s="126" t="s">
        <v>752</v>
      </c>
      <c r="O46" s="129" t="s">
        <v>723</v>
      </c>
      <c r="P46" s="125" t="s">
        <v>8</v>
      </c>
      <c r="Q46" s="129" t="s">
        <v>724</v>
      </c>
      <c r="R46" s="129" t="s">
        <v>655</v>
      </c>
      <c r="S46" s="125" t="s">
        <v>8</v>
      </c>
      <c r="T46" s="125" t="s">
        <v>8</v>
      </c>
      <c r="U46" s="148"/>
    </row>
    <row r="47" spans="1:21" s="88" customFormat="1" ht="13.5" customHeight="1" x14ac:dyDescent="0.2">
      <c r="A47" s="125" t="str">
        <f t="shared" si="2"/>
        <v>-</v>
      </c>
      <c r="B47" s="141"/>
      <c r="C47" s="121"/>
      <c r="D47" s="130" t="s">
        <v>720</v>
      </c>
      <c r="E47" s="127" t="s">
        <v>8</v>
      </c>
      <c r="F47" s="127" t="s">
        <v>8</v>
      </c>
      <c r="G47" s="127" t="s">
        <v>8</v>
      </c>
      <c r="H47" s="127"/>
      <c r="I47" s="127" t="s">
        <v>8</v>
      </c>
      <c r="J47" s="128" t="s">
        <v>8</v>
      </c>
      <c r="K47" s="125" t="s">
        <v>8</v>
      </c>
      <c r="L47" s="125" t="s">
        <v>300</v>
      </c>
      <c r="M47" s="125" t="s">
        <v>753</v>
      </c>
      <c r="N47" s="126" t="s">
        <v>754</v>
      </c>
      <c r="O47" s="129" t="s">
        <v>723</v>
      </c>
      <c r="P47" s="125" t="s">
        <v>8</v>
      </c>
      <c r="Q47" s="129" t="s">
        <v>724</v>
      </c>
      <c r="R47" s="129" t="s">
        <v>655</v>
      </c>
      <c r="S47" s="125" t="s">
        <v>8</v>
      </c>
      <c r="T47" s="125" t="s">
        <v>8</v>
      </c>
      <c r="U47" s="148"/>
    </row>
    <row r="48" spans="1:21" s="88" customFormat="1" ht="13.5" customHeight="1" x14ac:dyDescent="0.2">
      <c r="A48" s="125" t="str">
        <f t="shared" si="2"/>
        <v>-</v>
      </c>
      <c r="B48" s="141"/>
      <c r="C48" s="121"/>
      <c r="D48" s="130" t="s">
        <v>720</v>
      </c>
      <c r="E48" s="127" t="s">
        <v>8</v>
      </c>
      <c r="F48" s="127" t="s">
        <v>8</v>
      </c>
      <c r="G48" s="127" t="s">
        <v>8</v>
      </c>
      <c r="H48" s="127"/>
      <c r="I48" s="127" t="s">
        <v>8</v>
      </c>
      <c r="J48" s="128" t="s">
        <v>8</v>
      </c>
      <c r="K48" s="125" t="s">
        <v>8</v>
      </c>
      <c r="L48" s="125" t="s">
        <v>300</v>
      </c>
      <c r="M48" s="125" t="s">
        <v>755</v>
      </c>
      <c r="N48" s="126" t="s">
        <v>756</v>
      </c>
      <c r="O48" s="129" t="s">
        <v>723</v>
      </c>
      <c r="P48" s="125" t="s">
        <v>8</v>
      </c>
      <c r="Q48" s="129" t="s">
        <v>724</v>
      </c>
      <c r="R48" s="129" t="s">
        <v>655</v>
      </c>
      <c r="S48" s="125" t="s">
        <v>8</v>
      </c>
      <c r="T48" s="125" t="s">
        <v>8</v>
      </c>
      <c r="U48" s="148"/>
    </row>
    <row r="49" spans="1:21" s="88" customFormat="1" ht="13.5" customHeight="1" x14ac:dyDescent="0.2">
      <c r="A49" s="125" t="str">
        <f t="shared" si="2"/>
        <v>-</v>
      </c>
      <c r="B49" s="141"/>
      <c r="C49" s="121"/>
      <c r="D49" s="130" t="s">
        <v>720</v>
      </c>
      <c r="E49" s="127" t="s">
        <v>8</v>
      </c>
      <c r="F49" s="127" t="s">
        <v>8</v>
      </c>
      <c r="G49" s="127" t="s">
        <v>8</v>
      </c>
      <c r="H49" s="127"/>
      <c r="I49" s="127" t="s">
        <v>8</v>
      </c>
      <c r="J49" s="128" t="s">
        <v>8</v>
      </c>
      <c r="K49" s="125" t="s">
        <v>8</v>
      </c>
      <c r="L49" s="125" t="s">
        <v>300</v>
      </c>
      <c r="M49" s="125" t="s">
        <v>757</v>
      </c>
      <c r="N49" s="126" t="s">
        <v>758</v>
      </c>
      <c r="O49" s="129" t="s">
        <v>723</v>
      </c>
      <c r="P49" s="125" t="s">
        <v>8</v>
      </c>
      <c r="Q49" s="129" t="s">
        <v>724</v>
      </c>
      <c r="R49" s="129" t="s">
        <v>655</v>
      </c>
      <c r="S49" s="125" t="s">
        <v>8</v>
      </c>
      <c r="T49" s="125" t="s">
        <v>8</v>
      </c>
      <c r="U49" s="148"/>
    </row>
    <row r="50" spans="1:21" s="88" customFormat="1" ht="13.5" customHeight="1" x14ac:dyDescent="0.2">
      <c r="A50" s="125" t="str">
        <f t="shared" si="2"/>
        <v>-</v>
      </c>
      <c r="B50" s="141"/>
      <c r="C50" s="121"/>
      <c r="D50" s="130" t="s">
        <v>720</v>
      </c>
      <c r="E50" s="127" t="s">
        <v>8</v>
      </c>
      <c r="F50" s="127" t="s">
        <v>8</v>
      </c>
      <c r="G50" s="127" t="s">
        <v>8</v>
      </c>
      <c r="H50" s="127"/>
      <c r="I50" s="127" t="s">
        <v>8</v>
      </c>
      <c r="J50" s="128" t="s">
        <v>8</v>
      </c>
      <c r="K50" s="125" t="s">
        <v>8</v>
      </c>
      <c r="L50" s="125" t="s">
        <v>300</v>
      </c>
      <c r="M50" s="125" t="s">
        <v>759</v>
      </c>
      <c r="N50" s="126" t="s">
        <v>760</v>
      </c>
      <c r="O50" s="129" t="s">
        <v>723</v>
      </c>
      <c r="P50" s="125" t="s">
        <v>8</v>
      </c>
      <c r="Q50" s="129" t="s">
        <v>724</v>
      </c>
      <c r="R50" s="129" t="s">
        <v>655</v>
      </c>
      <c r="S50" s="125" t="s">
        <v>8</v>
      </c>
      <c r="T50" s="125" t="s">
        <v>8</v>
      </c>
      <c r="U50" s="148"/>
    </row>
    <row r="51" spans="1:21" s="88" customFormat="1" ht="13.5" customHeight="1" x14ac:dyDescent="0.2">
      <c r="A51" s="125" t="str">
        <f t="shared" si="2"/>
        <v>-</v>
      </c>
      <c r="B51" s="141"/>
      <c r="C51" s="121"/>
      <c r="D51" s="130" t="s">
        <v>720</v>
      </c>
      <c r="E51" s="127" t="s">
        <v>8</v>
      </c>
      <c r="F51" s="127" t="s">
        <v>8</v>
      </c>
      <c r="G51" s="127" t="s">
        <v>8</v>
      </c>
      <c r="H51" s="127"/>
      <c r="I51" s="127" t="s">
        <v>8</v>
      </c>
      <c r="J51" s="128" t="s">
        <v>8</v>
      </c>
      <c r="K51" s="125" t="s">
        <v>8</v>
      </c>
      <c r="L51" s="125" t="s">
        <v>300</v>
      </c>
      <c r="M51" s="125" t="s">
        <v>761</v>
      </c>
      <c r="N51" s="126" t="s">
        <v>762</v>
      </c>
      <c r="O51" s="129" t="s">
        <v>723</v>
      </c>
      <c r="P51" s="125" t="s">
        <v>8</v>
      </c>
      <c r="Q51" s="129" t="s">
        <v>724</v>
      </c>
      <c r="R51" s="129" t="s">
        <v>655</v>
      </c>
      <c r="S51" s="125" t="s">
        <v>8</v>
      </c>
      <c r="T51" s="125" t="s">
        <v>8</v>
      </c>
      <c r="U51" s="148"/>
    </row>
    <row r="52" spans="1:21" s="88" customFormat="1" ht="13.5" customHeight="1" x14ac:dyDescent="0.2">
      <c r="A52" s="125" t="str">
        <f t="shared" si="2"/>
        <v>-</v>
      </c>
      <c r="B52" s="141"/>
      <c r="C52" s="121"/>
      <c r="D52" s="130" t="s">
        <v>720</v>
      </c>
      <c r="E52" s="127" t="s">
        <v>8</v>
      </c>
      <c r="F52" s="127" t="s">
        <v>8</v>
      </c>
      <c r="G52" s="127" t="s">
        <v>8</v>
      </c>
      <c r="H52" s="127"/>
      <c r="I52" s="127" t="s">
        <v>8</v>
      </c>
      <c r="J52" s="128" t="s">
        <v>8</v>
      </c>
      <c r="K52" s="125" t="s">
        <v>8</v>
      </c>
      <c r="L52" s="125" t="s">
        <v>300</v>
      </c>
      <c r="M52" s="125" t="s">
        <v>763</v>
      </c>
      <c r="N52" s="126" t="s">
        <v>764</v>
      </c>
      <c r="O52" s="129" t="s">
        <v>723</v>
      </c>
      <c r="P52" s="125" t="s">
        <v>8</v>
      </c>
      <c r="Q52" s="129" t="s">
        <v>724</v>
      </c>
      <c r="R52" s="129" t="s">
        <v>655</v>
      </c>
      <c r="S52" s="125" t="s">
        <v>8</v>
      </c>
      <c r="T52" s="125" t="s">
        <v>8</v>
      </c>
      <c r="U52" s="148"/>
    </row>
    <row r="53" spans="1:21" s="88" customFormat="1" ht="13.5" customHeight="1" x14ac:dyDescent="0.2">
      <c r="A53" s="125" t="str">
        <f t="shared" si="2"/>
        <v>-</v>
      </c>
      <c r="B53" s="141"/>
      <c r="C53" s="121"/>
      <c r="D53" s="130" t="s">
        <v>720</v>
      </c>
      <c r="E53" s="127" t="s">
        <v>8</v>
      </c>
      <c r="F53" s="127" t="s">
        <v>8</v>
      </c>
      <c r="G53" s="127" t="s">
        <v>8</v>
      </c>
      <c r="H53" s="127"/>
      <c r="I53" s="127" t="s">
        <v>8</v>
      </c>
      <c r="J53" s="128" t="s">
        <v>8</v>
      </c>
      <c r="K53" s="125" t="s">
        <v>8</v>
      </c>
      <c r="L53" s="125" t="s">
        <v>300</v>
      </c>
      <c r="M53" s="125" t="s">
        <v>765</v>
      </c>
      <c r="N53" s="126" t="s">
        <v>766</v>
      </c>
      <c r="O53" s="129" t="s">
        <v>723</v>
      </c>
      <c r="P53" s="125" t="s">
        <v>8</v>
      </c>
      <c r="Q53" s="129" t="s">
        <v>724</v>
      </c>
      <c r="R53" s="129" t="s">
        <v>655</v>
      </c>
      <c r="S53" s="125" t="s">
        <v>8</v>
      </c>
      <c r="T53" s="125" t="s">
        <v>8</v>
      </c>
      <c r="U53" s="148"/>
    </row>
    <row r="54" spans="1:21" s="88" customFormat="1" ht="13.5" customHeight="1" thickBot="1" x14ac:dyDescent="0.25">
      <c r="A54" s="145"/>
      <c r="B54" s="141"/>
      <c r="C54" s="157"/>
      <c r="D54" s="142"/>
      <c r="E54" s="143"/>
      <c r="F54" s="143"/>
      <c r="G54" s="143"/>
      <c r="H54" s="143"/>
      <c r="I54" s="143"/>
      <c r="J54" s="143"/>
      <c r="K54" s="144"/>
      <c r="L54" s="144"/>
      <c r="M54" s="144"/>
      <c r="N54" s="142"/>
      <c r="O54" s="144"/>
      <c r="P54" s="145"/>
      <c r="Q54" s="144"/>
      <c r="R54" s="144"/>
      <c r="S54" s="144"/>
      <c r="T54" s="145"/>
      <c r="U54" s="148"/>
    </row>
    <row r="55" spans="1:21" s="88" customFormat="1" ht="17.25" customHeight="1" thickTop="1" thickBot="1" x14ac:dyDescent="0.25">
      <c r="A55" s="158" t="str">
        <f>CONCATENATE(E55,S55)</f>
        <v/>
      </c>
      <c r="B55" s="141"/>
      <c r="C55" s="149"/>
      <c r="D55" s="150"/>
      <c r="E55" s="151"/>
      <c r="F55" s="151"/>
      <c r="G55" s="151"/>
      <c r="H55" s="151"/>
      <c r="I55" s="151"/>
      <c r="J55" s="151"/>
      <c r="K55" s="152"/>
      <c r="L55" s="152"/>
      <c r="M55" s="152"/>
      <c r="N55" s="150"/>
      <c r="O55" s="152"/>
      <c r="P55" s="152"/>
      <c r="Q55" s="152"/>
      <c r="R55" s="152"/>
      <c r="S55" s="152"/>
      <c r="T55" s="152"/>
    </row>
    <row r="56" spans="1:21" s="88" customFormat="1" ht="17.25" customHeight="1" thickTop="1" thickBot="1" x14ac:dyDescent="0.3">
      <c r="A56" s="153" t="str">
        <f>CONCATENATE(E56,S56)</f>
        <v/>
      </c>
      <c r="B56" s="141"/>
      <c r="C56" s="159" t="s">
        <v>767</v>
      </c>
      <c r="D56" s="86"/>
      <c r="E56" s="154"/>
      <c r="F56" s="154"/>
      <c r="G56" s="154"/>
      <c r="H56" s="154"/>
      <c r="I56" s="154"/>
      <c r="J56" s="154"/>
      <c r="N56" s="86"/>
      <c r="U56" s="148"/>
    </row>
    <row r="57" spans="1:21" s="88" customFormat="1" ht="13.5" customHeight="1" thickTop="1" x14ac:dyDescent="0.2">
      <c r="A57" s="120" t="s">
        <v>8</v>
      </c>
      <c r="B57" s="141"/>
      <c r="C57" s="157"/>
      <c r="D57" s="155" t="s">
        <v>767</v>
      </c>
      <c r="E57" s="160" t="s">
        <v>8</v>
      </c>
      <c r="F57" s="160" t="s">
        <v>8</v>
      </c>
      <c r="G57" s="160">
        <v>0.25</v>
      </c>
      <c r="H57" s="160"/>
      <c r="I57" s="160">
        <v>0.25</v>
      </c>
      <c r="J57" s="160" t="s">
        <v>8</v>
      </c>
      <c r="K57" s="120" t="s">
        <v>8</v>
      </c>
      <c r="L57" s="120" t="s">
        <v>300</v>
      </c>
      <c r="M57" s="120" t="s">
        <v>768</v>
      </c>
      <c r="N57" s="122" t="s">
        <v>769</v>
      </c>
      <c r="O57" s="120" t="s">
        <v>770</v>
      </c>
      <c r="P57" s="120" t="s">
        <v>771</v>
      </c>
      <c r="Q57" s="124" t="s">
        <v>724</v>
      </c>
      <c r="R57" s="120" t="s">
        <v>655</v>
      </c>
      <c r="S57" s="120" t="s">
        <v>8</v>
      </c>
      <c r="T57" s="120" t="s">
        <v>8</v>
      </c>
      <c r="U57" s="148"/>
    </row>
    <row r="58" spans="1:21" s="88" customFormat="1" ht="13.5" customHeight="1" x14ac:dyDescent="0.2">
      <c r="A58" s="161" t="s">
        <v>8</v>
      </c>
      <c r="B58" s="141"/>
      <c r="C58" s="157"/>
      <c r="D58" s="130" t="s">
        <v>767</v>
      </c>
      <c r="E58" s="127" t="s">
        <v>8</v>
      </c>
      <c r="F58" s="127">
        <v>0.02</v>
      </c>
      <c r="G58" s="127">
        <v>0.625</v>
      </c>
      <c r="H58" s="127"/>
      <c r="I58" s="127">
        <v>0.625</v>
      </c>
      <c r="J58" s="127" t="s">
        <v>8</v>
      </c>
      <c r="K58" s="125" t="s">
        <v>8</v>
      </c>
      <c r="L58" s="125" t="s">
        <v>300</v>
      </c>
      <c r="M58" s="125" t="s">
        <v>772</v>
      </c>
      <c r="N58" s="126" t="s">
        <v>773</v>
      </c>
      <c r="O58" s="125" t="s">
        <v>770</v>
      </c>
      <c r="P58" s="125" t="s">
        <v>771</v>
      </c>
      <c r="Q58" s="129" t="s">
        <v>724</v>
      </c>
      <c r="R58" s="125" t="s">
        <v>655</v>
      </c>
      <c r="S58" s="125" t="s">
        <v>8</v>
      </c>
      <c r="T58" s="125" t="s">
        <v>8</v>
      </c>
      <c r="U58" s="148"/>
    </row>
    <row r="59" spans="1:21" s="88" customFormat="1" ht="13.5" customHeight="1" thickBot="1" x14ac:dyDescent="0.25">
      <c r="A59" s="145" t="str">
        <f>CONCATENATE(E59,S59)</f>
        <v/>
      </c>
      <c r="B59" s="141"/>
      <c r="C59" s="157"/>
      <c r="D59" s="142"/>
      <c r="E59" s="162"/>
      <c r="F59" s="162"/>
      <c r="G59" s="162"/>
      <c r="H59" s="162"/>
      <c r="I59" s="162"/>
      <c r="J59" s="162"/>
      <c r="K59" s="145"/>
      <c r="L59" s="145"/>
      <c r="M59" s="145"/>
      <c r="N59" s="146"/>
      <c r="O59" s="145"/>
      <c r="P59" s="145"/>
      <c r="Q59" s="144"/>
      <c r="R59" s="145"/>
      <c r="S59" s="145"/>
      <c r="T59" s="145"/>
      <c r="U59" s="148"/>
    </row>
    <row r="60" spans="1:21" s="88" customFormat="1" ht="17.25" customHeight="1" thickTop="1" thickBot="1" x14ac:dyDescent="0.25">
      <c r="A60" s="141" t="str">
        <f>CONCATENATE(E60,S60)</f>
        <v/>
      </c>
      <c r="B60" s="141"/>
      <c r="C60" s="149"/>
      <c r="D60" s="150"/>
      <c r="E60" s="151"/>
      <c r="F60" s="151"/>
      <c r="G60" s="151"/>
      <c r="H60" s="151"/>
      <c r="I60" s="151"/>
      <c r="J60" s="151"/>
      <c r="K60" s="152"/>
      <c r="L60" s="152"/>
      <c r="M60" s="152"/>
      <c r="N60" s="150"/>
      <c r="O60" s="152"/>
      <c r="P60" s="152"/>
      <c r="Q60" s="152"/>
      <c r="R60" s="152"/>
      <c r="S60" s="152"/>
      <c r="T60" s="140"/>
      <c r="U60" s="148"/>
    </row>
    <row r="61" spans="1:21" s="88" customFormat="1" ht="17.25" customHeight="1" thickTop="1" thickBot="1" x14ac:dyDescent="0.3">
      <c r="A61" s="153" t="str">
        <f>CONCATENATE(E61,S61)</f>
        <v/>
      </c>
      <c r="B61" s="141"/>
      <c r="C61" s="159" t="s">
        <v>774</v>
      </c>
      <c r="D61" s="86"/>
      <c r="E61" s="154"/>
      <c r="F61" s="154"/>
      <c r="G61" s="154"/>
      <c r="H61" s="154"/>
      <c r="I61" s="154"/>
      <c r="J61" s="154"/>
      <c r="N61" s="86"/>
      <c r="U61" s="148"/>
    </row>
    <row r="62" spans="1:21" s="88" customFormat="1" ht="13.5" customHeight="1" thickTop="1" x14ac:dyDescent="0.2">
      <c r="A62" s="120" t="str">
        <f>CONCATENATE(RIGHT(D62,LEN(D62)-FIND(" ",D62)),LEFT(D62,4),G62,I62,F62)</f>
        <v>TubingAlum1.50.750.125</v>
      </c>
      <c r="B62" s="141"/>
      <c r="C62" s="157"/>
      <c r="D62" s="155" t="s">
        <v>775</v>
      </c>
      <c r="E62" s="123">
        <v>0.58799999999999997</v>
      </c>
      <c r="F62" s="123">
        <v>0.125</v>
      </c>
      <c r="G62" s="123">
        <v>1.5</v>
      </c>
      <c r="H62" s="123"/>
      <c r="I62" s="123">
        <v>0.75</v>
      </c>
      <c r="J62" s="123" t="s">
        <v>8</v>
      </c>
      <c r="K62" s="124" t="s">
        <v>8</v>
      </c>
      <c r="L62" s="124" t="s">
        <v>300</v>
      </c>
      <c r="M62" s="124" t="s">
        <v>776</v>
      </c>
      <c r="N62" s="155" t="s">
        <v>777</v>
      </c>
      <c r="O62" s="124" t="s">
        <v>8</v>
      </c>
      <c r="P62" s="124" t="s">
        <v>8</v>
      </c>
      <c r="Q62" s="124" t="s">
        <v>778</v>
      </c>
      <c r="R62" s="124" t="s">
        <v>655</v>
      </c>
      <c r="S62" s="124" t="s">
        <v>8</v>
      </c>
      <c r="T62" s="124" t="s">
        <v>8</v>
      </c>
      <c r="U62" s="148"/>
    </row>
    <row r="63" spans="1:21" s="88" customFormat="1" ht="13.5" customHeight="1" x14ac:dyDescent="0.2">
      <c r="A63" s="125" t="str">
        <f>CONCATENATE(RIGHT(D63,LEN(D63)-FIND(" ",D63)),LEFT(D63,4),G63,E63)</f>
        <v>ChannelAlum108.36</v>
      </c>
      <c r="B63" s="141"/>
      <c r="C63" s="157"/>
      <c r="D63" s="163" t="s">
        <v>779</v>
      </c>
      <c r="E63" s="164">
        <v>8.36</v>
      </c>
      <c r="F63" s="164">
        <v>0.31</v>
      </c>
      <c r="G63" s="164">
        <v>10</v>
      </c>
      <c r="H63" s="164"/>
      <c r="I63" s="164">
        <v>4.25</v>
      </c>
      <c r="J63" s="164">
        <v>0.5</v>
      </c>
      <c r="K63" s="165" t="s">
        <v>8</v>
      </c>
      <c r="L63" s="165" t="s">
        <v>300</v>
      </c>
      <c r="M63" s="165" t="s">
        <v>780</v>
      </c>
      <c r="N63" s="163" t="s">
        <v>781</v>
      </c>
      <c r="O63" s="165" t="s">
        <v>8</v>
      </c>
      <c r="P63" s="165" t="s">
        <v>8</v>
      </c>
      <c r="Q63" s="165" t="s">
        <v>778</v>
      </c>
      <c r="R63" s="165" t="s">
        <v>655</v>
      </c>
      <c r="S63" s="165" t="s">
        <v>8</v>
      </c>
      <c r="T63" s="165" t="s">
        <v>8</v>
      </c>
      <c r="U63" s="148"/>
    </row>
    <row r="64" spans="1:21" s="88" customFormat="1" ht="13.5" customHeight="1" x14ac:dyDescent="0.2">
      <c r="A64" s="125" t="str">
        <f>CONCATENATE(RIGHT(D64,LEN(D64)-FIND(" ",D64)),LEFT(D64,4),G64,E64)</f>
        <v>ChannelAlum1211.82</v>
      </c>
      <c r="B64" s="141"/>
      <c r="C64" s="157"/>
      <c r="D64" s="163" t="s">
        <v>779</v>
      </c>
      <c r="E64" s="164">
        <v>11.82</v>
      </c>
      <c r="F64" s="164">
        <v>0.35</v>
      </c>
      <c r="G64" s="164">
        <v>12</v>
      </c>
      <c r="H64" s="164"/>
      <c r="I64" s="164">
        <v>5</v>
      </c>
      <c r="J64" s="164">
        <v>0.62</v>
      </c>
      <c r="K64" s="165" t="s">
        <v>8</v>
      </c>
      <c r="L64" s="165" t="s">
        <v>300</v>
      </c>
      <c r="M64" s="165" t="s">
        <v>782</v>
      </c>
      <c r="N64" s="163" t="s">
        <v>783</v>
      </c>
      <c r="O64" s="165" t="s">
        <v>8</v>
      </c>
      <c r="P64" s="165" t="s">
        <v>8</v>
      </c>
      <c r="Q64" s="165" t="s">
        <v>778</v>
      </c>
      <c r="R64" s="165" t="s">
        <v>655</v>
      </c>
      <c r="S64" s="165" t="s">
        <v>8</v>
      </c>
      <c r="T64" s="165" t="s">
        <v>8</v>
      </c>
      <c r="U64" s="148"/>
    </row>
    <row r="65" spans="1:21" s="88" customFormat="1" ht="13.5" customHeight="1" x14ac:dyDescent="0.2">
      <c r="A65" s="125" t="str">
        <f>CONCATENATE(RIGHT(D65,LEN(D65)-FIND(" ",D65)),LEFT(D65,4),G65,E65)</f>
        <v>ChannelAlum64.03</v>
      </c>
      <c r="B65" s="141"/>
      <c r="C65" s="157"/>
      <c r="D65" s="163" t="s">
        <v>779</v>
      </c>
      <c r="E65" s="128">
        <v>4.03</v>
      </c>
      <c r="F65" s="128">
        <v>0.21</v>
      </c>
      <c r="G65" s="164">
        <v>6</v>
      </c>
      <c r="H65" s="164"/>
      <c r="I65" s="164">
        <v>3.25</v>
      </c>
      <c r="J65" s="164">
        <v>0.35</v>
      </c>
      <c r="K65" s="165" t="s">
        <v>8</v>
      </c>
      <c r="L65" s="165" t="s">
        <v>300</v>
      </c>
      <c r="M65" s="165" t="s">
        <v>784</v>
      </c>
      <c r="N65" s="163" t="s">
        <v>785</v>
      </c>
      <c r="O65" s="165" t="s">
        <v>8</v>
      </c>
      <c r="P65" s="165" t="s">
        <v>8</v>
      </c>
      <c r="Q65" s="165" t="s">
        <v>778</v>
      </c>
      <c r="R65" s="165" t="s">
        <v>655</v>
      </c>
      <c r="S65" s="165" t="s">
        <v>8</v>
      </c>
      <c r="T65" s="165" t="s">
        <v>8</v>
      </c>
      <c r="U65" s="148"/>
    </row>
    <row r="66" spans="1:21" s="88" customFormat="1" ht="13.5" customHeight="1" x14ac:dyDescent="0.2">
      <c r="A66" s="125" t="str">
        <f>CONCATENATE(RIGHT(D66,LEN(D66)-FIND(" ",D66)),LEFT(D66,4),G66,E66)</f>
        <v>ChannelAlum85.79</v>
      </c>
      <c r="B66" s="141"/>
      <c r="C66" s="157"/>
      <c r="D66" s="163" t="s">
        <v>779</v>
      </c>
      <c r="E66" s="166">
        <v>5.79</v>
      </c>
      <c r="F66" s="166">
        <v>0.25</v>
      </c>
      <c r="G66" s="164">
        <v>8</v>
      </c>
      <c r="H66" s="164"/>
      <c r="I66" s="164">
        <v>3.75</v>
      </c>
      <c r="J66" s="164">
        <v>0.41</v>
      </c>
      <c r="K66" s="165" t="s">
        <v>8</v>
      </c>
      <c r="L66" s="165" t="s">
        <v>300</v>
      </c>
      <c r="M66" s="165" t="s">
        <v>786</v>
      </c>
      <c r="N66" s="163" t="s">
        <v>787</v>
      </c>
      <c r="O66" s="165" t="s">
        <v>8</v>
      </c>
      <c r="P66" s="165" t="s">
        <v>8</v>
      </c>
      <c r="Q66" s="165" t="s">
        <v>778</v>
      </c>
      <c r="R66" s="165" t="s">
        <v>655</v>
      </c>
      <c r="S66" s="165" t="s">
        <v>8</v>
      </c>
      <c r="T66" s="165" t="s">
        <v>8</v>
      </c>
      <c r="U66" s="148"/>
    </row>
    <row r="67" spans="1:21" s="88" customFormat="1" ht="13.5" customHeight="1" thickBot="1" x14ac:dyDescent="0.25">
      <c r="A67" s="140" t="str">
        <f>CONCATENATE(E67,S67)</f>
        <v/>
      </c>
      <c r="B67" s="141"/>
      <c r="C67" s="157"/>
      <c r="D67" s="142"/>
      <c r="E67" s="167"/>
      <c r="F67" s="167"/>
      <c r="G67" s="167"/>
      <c r="H67" s="167"/>
      <c r="I67" s="162"/>
      <c r="J67" s="162"/>
      <c r="K67" s="145"/>
      <c r="L67" s="145"/>
      <c r="M67" s="145"/>
      <c r="N67" s="146"/>
      <c r="O67" s="145"/>
      <c r="P67" s="145"/>
      <c r="Q67" s="145"/>
      <c r="R67" s="145"/>
      <c r="S67" s="145"/>
      <c r="T67" s="145"/>
      <c r="U67" s="148"/>
    </row>
    <row r="68" spans="1:21" s="88" customFormat="1" ht="17.25" customHeight="1" thickTop="1" thickBot="1" x14ac:dyDescent="0.25">
      <c r="A68" s="141" t="str">
        <f>CONCATENATE(E68,S68)</f>
        <v/>
      </c>
      <c r="B68" s="141"/>
      <c r="C68" s="149"/>
      <c r="D68" s="150"/>
      <c r="E68" s="151"/>
      <c r="F68" s="151"/>
      <c r="G68" s="151"/>
      <c r="H68" s="151"/>
      <c r="I68" s="151"/>
      <c r="J68" s="151"/>
      <c r="K68" s="152"/>
      <c r="L68" s="152"/>
      <c r="M68" s="152"/>
      <c r="N68" s="150"/>
      <c r="O68" s="152"/>
      <c r="P68" s="152"/>
      <c r="Q68" s="152"/>
      <c r="R68" s="152"/>
      <c r="S68" s="152"/>
      <c r="T68" s="95"/>
      <c r="U68" s="148"/>
    </row>
    <row r="69" spans="1:21" s="88" customFormat="1" ht="17.25" customHeight="1" thickTop="1" thickBot="1" x14ac:dyDescent="0.3">
      <c r="A69" s="153" t="str">
        <f>CONCATENATE(E69,S69)</f>
        <v/>
      </c>
      <c r="B69" s="141"/>
      <c r="C69" s="159" t="s">
        <v>788</v>
      </c>
      <c r="D69" s="86"/>
      <c r="E69" s="154"/>
      <c r="F69" s="154"/>
      <c r="G69" s="154"/>
      <c r="H69" s="154"/>
      <c r="I69" s="154"/>
      <c r="J69" s="154"/>
      <c r="N69" s="86"/>
      <c r="T69" s="117"/>
      <c r="U69" s="148"/>
    </row>
    <row r="70" spans="1:21" s="88" customFormat="1" ht="13.5" customHeight="1" thickTop="1" x14ac:dyDescent="0.2">
      <c r="A70" s="120" t="str">
        <f>CONCATENATE(RIGHT(D70,LEN(D70)-FIND(" ",D70)),LEFT(D70,3),G70,E70)</f>
        <v>ChannelSST68.27</v>
      </c>
      <c r="B70" s="141"/>
      <c r="C70" s="157"/>
      <c r="D70" s="155" t="s">
        <v>789</v>
      </c>
      <c r="E70" s="123">
        <v>8.27</v>
      </c>
      <c r="F70" s="123">
        <v>0.19</v>
      </c>
      <c r="G70" s="123">
        <v>6</v>
      </c>
      <c r="H70" s="123"/>
      <c r="I70" s="123">
        <v>1.92</v>
      </c>
      <c r="J70" s="123"/>
      <c r="K70" s="124" t="s">
        <v>8</v>
      </c>
      <c r="L70" s="124" t="s">
        <v>300</v>
      </c>
      <c r="M70" s="124" t="s">
        <v>790</v>
      </c>
      <c r="N70" s="155" t="s">
        <v>791</v>
      </c>
      <c r="O70" s="124" t="s">
        <v>8</v>
      </c>
      <c r="P70" s="168" t="s">
        <v>8</v>
      </c>
      <c r="Q70" s="124" t="s">
        <v>724</v>
      </c>
      <c r="R70" s="124" t="s">
        <v>655</v>
      </c>
      <c r="S70" s="124" t="s">
        <v>8</v>
      </c>
      <c r="T70" s="124" t="s">
        <v>8</v>
      </c>
    </row>
    <row r="71" spans="1:21" s="88" customFormat="1" ht="13.5" customHeight="1" x14ac:dyDescent="0.2">
      <c r="A71" s="125" t="str">
        <f>CONCATENATE(RIGHT(D71,LEN(D71)-FIND(" ",D71)),LEFT(D71,3),G71,E71)</f>
        <v>ChannelSST818.8</v>
      </c>
      <c r="B71" s="141"/>
      <c r="C71" s="157"/>
      <c r="D71" s="130" t="s">
        <v>789</v>
      </c>
      <c r="E71" s="128">
        <v>18.8</v>
      </c>
      <c r="F71" s="128">
        <v>0.48699999999999999</v>
      </c>
      <c r="G71" s="128">
        <v>8</v>
      </c>
      <c r="H71" s="128"/>
      <c r="I71" s="128">
        <v>2.5270000000000001</v>
      </c>
      <c r="J71" s="128"/>
      <c r="K71" s="129" t="s">
        <v>8</v>
      </c>
      <c r="L71" s="129" t="s">
        <v>300</v>
      </c>
      <c r="M71" s="129" t="s">
        <v>792</v>
      </c>
      <c r="N71" s="130" t="s">
        <v>793</v>
      </c>
      <c r="O71" s="129" t="s">
        <v>8</v>
      </c>
      <c r="P71" s="169" t="s">
        <v>8</v>
      </c>
      <c r="Q71" s="165" t="s">
        <v>724</v>
      </c>
      <c r="R71" s="165" t="s">
        <v>655</v>
      </c>
      <c r="S71" s="129" t="s">
        <v>8</v>
      </c>
      <c r="T71" s="125" t="s">
        <v>8</v>
      </c>
    </row>
    <row r="72" spans="1:21" s="113" customFormat="1" ht="13.5" customHeight="1" x14ac:dyDescent="0.2">
      <c r="A72" s="125" t="str">
        <f>CONCATENATE(RIGHT(D72,LEN(D72)-FIND(" ",D72)),LEFT(D72,3),G72,I72,F72)</f>
        <v>TubingSST110.065</v>
      </c>
      <c r="B72" s="107"/>
      <c r="C72" s="132"/>
      <c r="D72" s="126" t="s">
        <v>794</v>
      </c>
      <c r="E72" s="127">
        <v>0.82699999999999996</v>
      </c>
      <c r="F72" s="170">
        <v>6.5000000000000002E-2</v>
      </c>
      <c r="G72" s="127">
        <v>1</v>
      </c>
      <c r="H72" s="127"/>
      <c r="I72" s="127">
        <v>1</v>
      </c>
      <c r="J72" s="127"/>
      <c r="K72" s="125" t="s">
        <v>8</v>
      </c>
      <c r="L72" s="125" t="s">
        <v>300</v>
      </c>
      <c r="M72" s="125" t="s">
        <v>795</v>
      </c>
      <c r="N72" s="126" t="s">
        <v>796</v>
      </c>
      <c r="O72" s="125" t="s">
        <v>707</v>
      </c>
      <c r="P72" s="125" t="s">
        <v>8</v>
      </c>
      <c r="Q72" s="165" t="s">
        <v>654</v>
      </c>
      <c r="R72" s="129" t="s">
        <v>655</v>
      </c>
      <c r="S72" s="125" t="s">
        <v>8</v>
      </c>
      <c r="T72" s="125" t="s">
        <v>8</v>
      </c>
      <c r="U72" s="112"/>
    </row>
    <row r="73" spans="1:21" s="88" customFormat="1" ht="13.5" customHeight="1" thickBot="1" x14ac:dyDescent="0.25">
      <c r="A73" s="140" t="str">
        <f>CONCATENATE(E73,S73)</f>
        <v/>
      </c>
      <c r="B73" s="141"/>
      <c r="C73" s="121"/>
      <c r="D73" s="142"/>
      <c r="E73" s="171"/>
      <c r="F73" s="143"/>
      <c r="G73" s="143"/>
      <c r="H73" s="143"/>
      <c r="I73" s="143"/>
      <c r="J73" s="143"/>
      <c r="K73" s="144"/>
      <c r="L73" s="144"/>
      <c r="M73" s="144"/>
      <c r="N73" s="142"/>
      <c r="O73" s="144"/>
      <c r="P73" s="144"/>
      <c r="Q73" s="172"/>
      <c r="R73" s="172"/>
      <c r="S73" s="144"/>
      <c r="T73" s="145"/>
    </row>
    <row r="74" spans="1:21" s="88" customFormat="1" ht="17.25" customHeight="1" thickTop="1" thickBot="1" x14ac:dyDescent="0.25">
      <c r="A74" s="173"/>
      <c r="B74" s="141"/>
      <c r="C74" s="149"/>
      <c r="D74" s="95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74"/>
    </row>
    <row r="75" spans="1:21" s="88" customFormat="1" ht="13.5" customHeight="1" thickTop="1" x14ac:dyDescent="0.2">
      <c r="A75" s="175"/>
      <c r="B75" s="141"/>
      <c r="C75" s="17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T75" s="158"/>
    </row>
    <row r="76" spans="1:21" s="88" customFormat="1" ht="13.5" customHeight="1" x14ac:dyDescent="0.2">
      <c r="A76" s="175"/>
      <c r="B76" s="141"/>
      <c r="C76" s="177"/>
      <c r="D76" s="178" t="s">
        <v>620</v>
      </c>
      <c r="E76" s="86"/>
      <c r="F76" s="179"/>
      <c r="G76" s="179"/>
      <c r="H76" s="179"/>
      <c r="I76" s="180"/>
      <c r="J76" s="180"/>
      <c r="K76" s="179"/>
      <c r="L76" s="179"/>
      <c r="M76" s="179"/>
      <c r="N76" s="179"/>
      <c r="O76" s="181"/>
      <c r="P76" s="181"/>
      <c r="Q76" s="181"/>
      <c r="R76" s="181"/>
      <c r="S76" s="181"/>
      <c r="T76" s="141"/>
    </row>
    <row r="77" spans="1:21" s="88" customFormat="1" ht="13.5" customHeight="1" x14ac:dyDescent="0.2">
      <c r="A77" s="175"/>
      <c r="B77" s="141"/>
      <c r="C77" s="176"/>
      <c r="D77" s="182" t="s">
        <v>621</v>
      </c>
      <c r="E77" s="86"/>
      <c r="F77" s="182"/>
      <c r="G77" s="182"/>
      <c r="H77" s="182"/>
      <c r="I77" s="183"/>
      <c r="J77" s="183"/>
      <c r="K77" s="182"/>
      <c r="L77" s="182"/>
      <c r="M77" s="182"/>
      <c r="N77" s="182"/>
      <c r="O77" s="117"/>
      <c r="P77" s="117"/>
      <c r="Q77" s="117"/>
      <c r="R77" s="117"/>
      <c r="S77" s="117"/>
      <c r="T77" s="141"/>
    </row>
    <row r="78" spans="1:21" s="88" customFormat="1" ht="13.5" customHeight="1" x14ac:dyDescent="0.2">
      <c r="A78" s="175"/>
      <c r="B78" s="141"/>
      <c r="C78" s="98"/>
      <c r="D78" s="86" t="s">
        <v>622</v>
      </c>
      <c r="E78" s="86"/>
      <c r="F78" s="182"/>
      <c r="G78" s="182"/>
      <c r="H78" s="182"/>
      <c r="I78" s="183"/>
      <c r="J78" s="183"/>
      <c r="K78" s="182"/>
      <c r="L78" s="182"/>
      <c r="M78" s="182"/>
      <c r="N78" s="182"/>
      <c r="O78" s="117"/>
      <c r="P78" s="117"/>
      <c r="Q78" s="117"/>
      <c r="R78" s="117"/>
      <c r="S78" s="117"/>
      <c r="T78" s="141"/>
    </row>
    <row r="79" spans="1:21" s="88" customFormat="1" ht="13.5" customHeight="1" x14ac:dyDescent="0.2">
      <c r="A79" s="175"/>
      <c r="B79" s="141"/>
      <c r="C79" s="176"/>
      <c r="D79" s="182" t="s">
        <v>623</v>
      </c>
      <c r="E79" s="86"/>
      <c r="F79" s="182"/>
      <c r="G79" s="182"/>
      <c r="H79" s="182"/>
      <c r="I79" s="183"/>
      <c r="J79" s="183"/>
      <c r="K79" s="182"/>
      <c r="L79" s="182"/>
      <c r="M79" s="182"/>
      <c r="N79" s="182"/>
      <c r="O79" s="117"/>
      <c r="P79" s="117"/>
      <c r="Q79" s="117"/>
      <c r="R79" s="117"/>
      <c r="S79" s="117"/>
      <c r="T79" s="141"/>
    </row>
    <row r="80" spans="1:21" s="88" customFormat="1" ht="13.5" customHeight="1" x14ac:dyDescent="0.2">
      <c r="A80" s="175"/>
      <c r="B80" s="141"/>
      <c r="C80" s="176"/>
      <c r="D80" s="179" t="s">
        <v>624</v>
      </c>
      <c r="E80" s="86"/>
      <c r="F80" s="179"/>
      <c r="G80" s="179"/>
      <c r="H80" s="179"/>
      <c r="I80" s="180"/>
      <c r="J80" s="180"/>
      <c r="K80" s="179"/>
      <c r="L80" s="179"/>
      <c r="M80" s="179"/>
      <c r="N80" s="179"/>
      <c r="O80" s="117"/>
      <c r="P80" s="117"/>
      <c r="Q80" s="117"/>
      <c r="R80" s="117"/>
      <c r="S80" s="117"/>
      <c r="T80" s="141"/>
    </row>
    <row r="81" spans="1:20" s="88" customFormat="1" ht="13.5" customHeight="1" thickBot="1" x14ac:dyDescent="0.25">
      <c r="A81" s="140"/>
      <c r="B81" s="153"/>
      <c r="C81" s="184"/>
      <c r="D81" s="150"/>
      <c r="E81" s="150"/>
      <c r="F81" s="150"/>
      <c r="G81" s="150"/>
      <c r="H81" s="150"/>
      <c r="I81" s="185"/>
      <c r="J81" s="185"/>
      <c r="K81" s="150"/>
      <c r="L81" s="150"/>
      <c r="M81" s="150"/>
      <c r="N81" s="150"/>
      <c r="O81" s="152"/>
      <c r="P81" s="152"/>
      <c r="Q81" s="152"/>
      <c r="R81" s="152"/>
      <c r="S81" s="152"/>
      <c r="T81" s="153"/>
    </row>
    <row r="82" spans="1:20" s="88" customFormat="1" ht="13.5" customHeight="1" thickTop="1" x14ac:dyDescent="0.2">
      <c r="I82" s="89"/>
      <c r="J82" s="89"/>
    </row>
    <row r="83" spans="1:20" s="88" customFormat="1" x14ac:dyDescent="0.2">
      <c r="I83" s="89"/>
      <c r="J83" s="89"/>
    </row>
    <row r="84" spans="1:20" s="88" customFormat="1" x14ac:dyDescent="0.2">
      <c r="I84" s="89"/>
      <c r="J84" s="89"/>
    </row>
    <row r="85" spans="1:20" x14ac:dyDescent="0.2">
      <c r="F85" s="89"/>
      <c r="I85" s="88"/>
      <c r="J85" s="88"/>
      <c r="K85" s="86"/>
      <c r="L85" s="86"/>
      <c r="M85" s="86"/>
      <c r="R85" s="86"/>
    </row>
    <row r="86" spans="1:20" x14ac:dyDescent="0.2">
      <c r="F86" s="89"/>
      <c r="I86" s="88"/>
      <c r="J86" s="88"/>
      <c r="K86" s="86"/>
      <c r="L86" s="86"/>
      <c r="M86" s="86"/>
      <c r="R86" s="86"/>
    </row>
    <row r="87" spans="1:20" x14ac:dyDescent="0.2">
      <c r="F87" s="89"/>
      <c r="I87" s="88"/>
      <c r="J87" s="88"/>
      <c r="K87" s="86"/>
      <c r="L87" s="86"/>
      <c r="M87" s="86"/>
      <c r="R87" s="86"/>
    </row>
    <row r="88" spans="1:20" x14ac:dyDescent="0.2">
      <c r="F88" s="89"/>
      <c r="I88" s="88"/>
      <c r="J88" s="88"/>
      <c r="K88" s="86"/>
      <c r="L88" s="86"/>
      <c r="M88" s="86"/>
      <c r="R88" s="86"/>
    </row>
    <row r="89" spans="1:20" x14ac:dyDescent="0.2">
      <c r="F89" s="89"/>
      <c r="I89" s="88"/>
      <c r="J89" s="88"/>
      <c r="K89" s="86"/>
      <c r="L89" s="86"/>
      <c r="M89" s="86"/>
      <c r="R89" s="86"/>
    </row>
    <row r="90" spans="1:20" x14ac:dyDescent="0.2">
      <c r="F90" s="89"/>
      <c r="I90" s="88"/>
      <c r="J90" s="88"/>
      <c r="K90" s="86"/>
      <c r="L90" s="86"/>
      <c r="M90" s="86"/>
      <c r="R90" s="86"/>
    </row>
    <row r="91" spans="1:20" x14ac:dyDescent="0.2">
      <c r="R91" s="86"/>
    </row>
    <row r="92" spans="1:20" x14ac:dyDescent="0.2">
      <c r="R92" s="86"/>
    </row>
    <row r="93" spans="1:20" x14ac:dyDescent="0.2">
      <c r="R93" s="86"/>
    </row>
  </sheetData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zoomScaleNormal="100" workbookViewId="0">
      <selection activeCell="G32" sqref="G31:G32"/>
    </sheetView>
  </sheetViews>
  <sheetFormatPr defaultRowHeight="12.75" x14ac:dyDescent="0.2"/>
  <cols>
    <col min="2" max="2" width="10.140625" bestFit="1" customWidth="1"/>
    <col min="3" max="3" width="82.7109375" bestFit="1" customWidth="1"/>
    <col min="4" max="4" width="14.85546875" bestFit="1" customWidth="1"/>
    <col min="5" max="5" width="12.42578125" bestFit="1" customWidth="1"/>
  </cols>
  <sheetData>
    <row r="1" spans="1:5" ht="13.5" thickBot="1" x14ac:dyDescent="0.25">
      <c r="A1" s="4" t="s">
        <v>7</v>
      </c>
      <c r="B1" s="5" t="s">
        <v>4</v>
      </c>
      <c r="C1" s="5" t="s">
        <v>5</v>
      </c>
      <c r="D1" s="5" t="s">
        <v>6</v>
      </c>
      <c r="E1" s="6" t="s">
        <v>44</v>
      </c>
    </row>
    <row r="2" spans="1:5" x14ac:dyDescent="0.2">
      <c r="A2" s="254" t="s">
        <v>8</v>
      </c>
      <c r="B2" s="255">
        <v>43523</v>
      </c>
      <c r="C2" s="256" t="s">
        <v>1216</v>
      </c>
      <c r="D2" s="410" t="s">
        <v>1217</v>
      </c>
      <c r="E2" s="410" t="s">
        <v>1215</v>
      </c>
    </row>
    <row r="3" spans="1:5" x14ac:dyDescent="0.2">
      <c r="A3" s="394" t="s">
        <v>1227</v>
      </c>
      <c r="B3" s="257">
        <v>43672</v>
      </c>
      <c r="C3" s="395" t="s">
        <v>1228</v>
      </c>
      <c r="D3" s="394" t="s">
        <v>1229</v>
      </c>
      <c r="E3" s="394" t="s">
        <v>1230</v>
      </c>
    </row>
    <row r="4" spans="1:5" x14ac:dyDescent="0.2">
      <c r="A4" s="431" t="s">
        <v>1241</v>
      </c>
      <c r="B4" s="440">
        <v>45502</v>
      </c>
      <c r="C4" s="429" t="s">
        <v>1242</v>
      </c>
      <c r="D4" s="431" t="s">
        <v>1243</v>
      </c>
      <c r="E4" s="431" t="s">
        <v>1244</v>
      </c>
    </row>
    <row r="5" spans="1:5" x14ac:dyDescent="0.2">
      <c r="A5" s="7"/>
      <c r="B5" s="257"/>
      <c r="C5" s="10"/>
      <c r="D5" s="7"/>
      <c r="E5" s="7"/>
    </row>
    <row r="6" spans="1:5" x14ac:dyDescent="0.2">
      <c r="A6" s="26"/>
      <c r="B6" s="257"/>
      <c r="C6" s="21"/>
      <c r="D6" s="7"/>
      <c r="E6" s="7"/>
    </row>
    <row r="7" spans="1:5" x14ac:dyDescent="0.2">
      <c r="A7" s="394"/>
      <c r="B7" s="257"/>
      <c r="C7" s="395"/>
      <c r="D7" s="394"/>
      <c r="E7" s="394"/>
    </row>
    <row r="8" spans="1:5" x14ac:dyDescent="0.2">
      <c r="A8" s="394"/>
      <c r="B8" s="257"/>
      <c r="C8" s="395"/>
      <c r="D8" s="394"/>
      <c r="E8" s="394"/>
    </row>
    <row r="9" spans="1:5" x14ac:dyDescent="0.2">
      <c r="A9" s="394"/>
      <c r="B9" s="257"/>
      <c r="C9" s="395"/>
      <c r="D9" s="394"/>
      <c r="E9" s="394"/>
    </row>
    <row r="10" spans="1:5" x14ac:dyDescent="0.2">
      <c r="A10" s="394"/>
      <c r="B10" s="257"/>
      <c r="C10" s="395"/>
      <c r="D10" s="394"/>
      <c r="E10" s="39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277</vt:i4>
      </vt:variant>
    </vt:vector>
  </HeadingPairs>
  <TitlesOfParts>
    <vt:vector size="285" baseType="lpstr">
      <vt:lpstr>Sheet1</vt:lpstr>
      <vt:lpstr>Data</vt:lpstr>
      <vt:lpstr>Excel Calcs</vt:lpstr>
      <vt:lpstr>Hole Sizes</vt:lpstr>
      <vt:lpstr>Channel Loc</vt:lpstr>
      <vt:lpstr>Material List</vt:lpstr>
      <vt:lpstr>Steel List</vt:lpstr>
      <vt:lpstr>Revision List</vt:lpstr>
      <vt:lpstr>BTM_Seam</vt:lpstr>
      <vt:lpstr>Construction</vt:lpstr>
      <vt:lpstr>Corner_Brace_GAO</vt:lpstr>
      <vt:lpstr>Corner_Brace_Thk</vt:lpstr>
      <vt:lpstr>Corner_BraceO</vt:lpstr>
      <vt:lpstr>FLOOR_CHAN_1_X_ARRAY_OFFSET</vt:lpstr>
      <vt:lpstr>FLOOR_CHAN_1_X_ARRAY_QTY</vt:lpstr>
      <vt:lpstr>FLOOR_CHAN_1_X_ARRAY_SPACING</vt:lpstr>
      <vt:lpstr>FLOOR_CHAN_1_Z_LOC</vt:lpstr>
      <vt:lpstr>FLOOR_CHAN_10_X_ARRAY_OFFSET</vt:lpstr>
      <vt:lpstr>FLOOR_CHAN_10_X_ARRAY_QTY</vt:lpstr>
      <vt:lpstr>FLOOR_CHAN_10_X_ARRAY_SPACING</vt:lpstr>
      <vt:lpstr>FLOOR_CHAN_10_Z_LOC</vt:lpstr>
      <vt:lpstr>FLOOR_CHAN_11_X_ARRAY_OFFSET</vt:lpstr>
      <vt:lpstr>FLOOR_CHAN_11_X_ARRAY_QTY</vt:lpstr>
      <vt:lpstr>FLOOR_CHAN_11_X_ARRAY_SPACING</vt:lpstr>
      <vt:lpstr>FLOOR_CHAN_11_Z_LOC</vt:lpstr>
      <vt:lpstr>FLOOR_CHAN_12_X_ARRAY_OFFSET</vt:lpstr>
      <vt:lpstr>FLOOR_CHAN_12_X_ARRAY_QTY</vt:lpstr>
      <vt:lpstr>FLOOR_CHAN_12_X_ARRAY_SPACING</vt:lpstr>
      <vt:lpstr>FLOOR_CHAN_12_Z_LOC</vt:lpstr>
      <vt:lpstr>FLOOR_CHAN_13_X_ARRAY_OFFSET</vt:lpstr>
      <vt:lpstr>FLOOR_CHAN_13_X_ARRAY_QTY</vt:lpstr>
      <vt:lpstr>FLOOR_CHAN_13_X_ARRAY_SPACING</vt:lpstr>
      <vt:lpstr>FLOOR_CHAN_13_Z_LOC</vt:lpstr>
      <vt:lpstr>FLOOR_CHAN_14_X_ARRAY_OFFSET</vt:lpstr>
      <vt:lpstr>FLOOR_CHAN_14_X_ARRAY_QTY</vt:lpstr>
      <vt:lpstr>FLOOR_CHAN_14_X_ARRAY_SPACING</vt:lpstr>
      <vt:lpstr>FLOOR_CHAN_14_Z_LOC</vt:lpstr>
      <vt:lpstr>FLOOR_CHAN_15_X_ARRAY_OFFSET</vt:lpstr>
      <vt:lpstr>FLOOR_CHAN_15_X_ARRAY_QTY</vt:lpstr>
      <vt:lpstr>FLOOR_CHAN_15_X_ARRAY_SPACING</vt:lpstr>
      <vt:lpstr>FLOOR_CHAN_15_Z_LOC</vt:lpstr>
      <vt:lpstr>FLOOR_CHAN_16_X_ARRAY_OFFSET</vt:lpstr>
      <vt:lpstr>FLOOR_CHAN_16_X_ARRAY_QTY</vt:lpstr>
      <vt:lpstr>FLOOR_CHAN_16_X_ARRAY_SPACING</vt:lpstr>
      <vt:lpstr>FLOOR_CHAN_16_Z_LOC</vt:lpstr>
      <vt:lpstr>FLOOR_CHAN_17_X_ARRAY_OFFSET</vt:lpstr>
      <vt:lpstr>FLOOR_CHAN_17_X_ARRAY_QTY</vt:lpstr>
      <vt:lpstr>FLOOR_CHAN_17_X_ARRAY_SPACING</vt:lpstr>
      <vt:lpstr>FLOOR_CHAN_17_Z_LOC</vt:lpstr>
      <vt:lpstr>FLOOR_CHAN_18_X_ARRAY_OFFSET</vt:lpstr>
      <vt:lpstr>FLOOR_CHAN_18_X_ARRAY_QTY</vt:lpstr>
      <vt:lpstr>FLOOR_CHAN_18_X_ARRAY_SPACING</vt:lpstr>
      <vt:lpstr>FLOOR_CHAN_18_Z_LOC</vt:lpstr>
      <vt:lpstr>FLOOR_CHAN_19_X_ARRAY_OFFSET</vt:lpstr>
      <vt:lpstr>FLOOR_CHAN_19_X_ARRAY_QTY</vt:lpstr>
      <vt:lpstr>FLOOR_CHAN_19_X_ARRAY_SPACING</vt:lpstr>
      <vt:lpstr>FLOOR_CHAN_19_Z_LOC</vt:lpstr>
      <vt:lpstr>FLOOR_CHAN_2_X_ARRAY_OFFSET</vt:lpstr>
      <vt:lpstr>FLOOR_CHAN_2_X_ARRAY_QTY</vt:lpstr>
      <vt:lpstr>FLOOR_CHAN_2_X_ARRAY_SPACING</vt:lpstr>
      <vt:lpstr>FLOOR_CHAN_2_Z_LOC</vt:lpstr>
      <vt:lpstr>FLOOR_CHAN_20_X_ARRAY_OFFSET</vt:lpstr>
      <vt:lpstr>FLOOR_CHAN_20_X_ARRAY_QTY</vt:lpstr>
      <vt:lpstr>FLOOR_CHAN_20_X_ARRAY_SPACING</vt:lpstr>
      <vt:lpstr>FLOOR_CHAN_20_Z_LOC</vt:lpstr>
      <vt:lpstr>FLOOR_CHAN_21_X_ARRAY_OFFSET</vt:lpstr>
      <vt:lpstr>FLOOR_CHAN_21_X_ARRAY_QTY</vt:lpstr>
      <vt:lpstr>FLOOR_CHAN_21_X_ARRAY_SPACING</vt:lpstr>
      <vt:lpstr>FLOOR_CHAN_21_Z_LOC</vt:lpstr>
      <vt:lpstr>FLOOR_CHAN_3_X_ARRAY_OFFSET</vt:lpstr>
      <vt:lpstr>FLOOR_CHAN_3_X_ARRAY_QTY</vt:lpstr>
      <vt:lpstr>FLOOR_CHAN_3_X_ARRAY_SPACING</vt:lpstr>
      <vt:lpstr>FLOOR_CHAN_3_Z_LOC</vt:lpstr>
      <vt:lpstr>FLOOR_CHAN_4_X_ARRAY_OFFSET</vt:lpstr>
      <vt:lpstr>FLOOR_CHAN_4_X_ARRAY_QTY</vt:lpstr>
      <vt:lpstr>FLOOR_CHAN_4_X_ARRAY_SPACING</vt:lpstr>
      <vt:lpstr>FLOOR_CHAN_4_Z_LOC</vt:lpstr>
      <vt:lpstr>FLOOR_CHAN_5_X_ARRAY_OFFSET</vt:lpstr>
      <vt:lpstr>FLOOR_CHAN_5_X_ARRAY_QTY</vt:lpstr>
      <vt:lpstr>FLOOR_CHAN_5_X_ARRAY_SPACING</vt:lpstr>
      <vt:lpstr>FLOOR_CHAN_5_Z_LOC</vt:lpstr>
      <vt:lpstr>FLOOR_CHAN_6_X_ARRAY_OFFSET</vt:lpstr>
      <vt:lpstr>FLOOR_CHAN_6_X_ARRAY_QTY</vt:lpstr>
      <vt:lpstr>FLOOR_CHAN_6_X_ARRAY_SPACING</vt:lpstr>
      <vt:lpstr>FLOOR_CHAN_6_Z_LOC</vt:lpstr>
      <vt:lpstr>FLOOR_CHAN_7_X_ARRAY_OFFSET</vt:lpstr>
      <vt:lpstr>FLOOR_CHAN_7_X_ARRAY_QTY</vt:lpstr>
      <vt:lpstr>FLOOR_CHAN_7_X_ARRAY_SPACING</vt:lpstr>
      <vt:lpstr>FLOOR_CHAN_7_Z_LOC</vt:lpstr>
      <vt:lpstr>FLOOR_CHAN_8_X_ARRAY_OFFSET</vt:lpstr>
      <vt:lpstr>FLOOR_CHAN_8_X_ARRAY_QTY</vt:lpstr>
      <vt:lpstr>FLOOR_CHAN_8_X_ARRAY_SPACING</vt:lpstr>
      <vt:lpstr>FLOOR_CHAN_8_Z_LOC</vt:lpstr>
      <vt:lpstr>FLOOR_CHAN_9_X_ARRAY_OFFSET</vt:lpstr>
      <vt:lpstr>FLOOR_CHAN_9_X_ARRAY_QTY</vt:lpstr>
      <vt:lpstr>FLOOR_CHAN_9_X_ARRAY_SPACING</vt:lpstr>
      <vt:lpstr>FLOOR_CHAN_9_Z_LOC</vt:lpstr>
      <vt:lpstr>LEFT_HAND_CHAN_1_Y_ARRAY_OFFSET</vt:lpstr>
      <vt:lpstr>LEFT_HAND_CHAN_1_Y_ARRAY_QTY</vt:lpstr>
      <vt:lpstr>LEFT_HAND_CHAN_1_Y_ARRAY_SPACING</vt:lpstr>
      <vt:lpstr>LEFT_HAND_CHAN_1_Z_LOC</vt:lpstr>
      <vt:lpstr>LEFT_HAND_CHAN_2_Y_ARRAY_OFFSET</vt:lpstr>
      <vt:lpstr>LEFT_HAND_CHAN_2_Y_ARRAY_QTY</vt:lpstr>
      <vt:lpstr>LEFT_HAND_CHAN_2_Y_ARRAY_SPACING</vt:lpstr>
      <vt:lpstr>LEFT_HAND_CHAN_2_Z_LOC</vt:lpstr>
      <vt:lpstr>LEFT_HAND_CHAN_3_Y_ARRAY_OFFSET</vt:lpstr>
      <vt:lpstr>LEFT_HAND_CHAN_3_Y_ARRAY_QTY</vt:lpstr>
      <vt:lpstr>LEFT_HAND_CHAN_3_Y_ARRAY_SPACING</vt:lpstr>
      <vt:lpstr>LEFT_HAND_CHAN_3_Z_LOC</vt:lpstr>
      <vt:lpstr>LEFT_HAND_CHAN_4_Y_ARRAY_OFFSET</vt:lpstr>
      <vt:lpstr>LEFT_HAND_CHAN_4_Y_ARRAY_QTY</vt:lpstr>
      <vt:lpstr>LEFT_HAND_CHAN_4_Y_ARRAY_SPACING</vt:lpstr>
      <vt:lpstr>LEFT_HAND_CHAN_4_Z_LOC</vt:lpstr>
      <vt:lpstr>LEFT_HAND_CHAN_5_Y_ARRAY_OFFSET</vt:lpstr>
      <vt:lpstr>LEFT_HAND_CHAN_5_Y_ARRAY_QTY</vt:lpstr>
      <vt:lpstr>LEFT_HAND_CHAN_5_Y_ARRAY_SPACING</vt:lpstr>
      <vt:lpstr>LEFT_HAND_CHAN_5_Z_LOC</vt:lpstr>
      <vt:lpstr>LEFT_HAND_CHAN_6_Y_ARRAY_OFFSET</vt:lpstr>
      <vt:lpstr>LEFT_HAND_CHAN_6_Y_ARRAY_QTY</vt:lpstr>
      <vt:lpstr>LEFT_HAND_CHAN_6_Y_ARRAY_SPACING</vt:lpstr>
      <vt:lpstr>LEFT_HAND_CHAN_6_Z_LOC</vt:lpstr>
      <vt:lpstr>LEFT_HAND_CHAN_7_Y_ARRAY_OFFSET</vt:lpstr>
      <vt:lpstr>LEFT_HAND_CHAN_7_Y_ARRAY_QTY</vt:lpstr>
      <vt:lpstr>LEFT_HAND_CHAN_7_Y_ARRAY_SPACING</vt:lpstr>
      <vt:lpstr>LEFT_HAND_CHAN_7_Z_LOC</vt:lpstr>
      <vt:lpstr>LEFT_HAND_CHAN_8_Y_ARRAY_OFFSET</vt:lpstr>
      <vt:lpstr>LEFT_HAND_CHAN_8_Y_ARRAY_QTY</vt:lpstr>
      <vt:lpstr>LEFT_HAND_CHAN_8_Y_ARRAY_SPACING</vt:lpstr>
      <vt:lpstr>LEFT_HAND_CHAN_8_Z_LOC</vt:lpstr>
      <vt:lpstr>LEFT_HAND_CHAN_9_Y_ARRAY_OFFSET</vt:lpstr>
      <vt:lpstr>LEFT_HAND_CHAN_9_Y_ARRAY_QTY</vt:lpstr>
      <vt:lpstr>LEFT_HAND_CHAN_9_Y_ARRAY_SPACING</vt:lpstr>
      <vt:lpstr>LEFT_HAND_CHAN_9_Z_LOC</vt:lpstr>
      <vt:lpstr>MAT_CUT</vt:lpstr>
      <vt:lpstr>MAT_DESC</vt:lpstr>
      <vt:lpstr>MAT_DESG</vt:lpstr>
      <vt:lpstr>MAT_DEST</vt:lpstr>
      <vt:lpstr>MAT_DXF</vt:lpstr>
      <vt:lpstr>MAT_GA</vt:lpstr>
      <vt:lpstr>MAT_GRP</vt:lpstr>
      <vt:lpstr>MAT_HLSZ</vt:lpstr>
      <vt:lpstr>MAT_KEYT</vt:lpstr>
      <vt:lpstr>MAT_LOOKUP</vt:lpstr>
      <vt:lpstr>MAT_MINT</vt:lpstr>
      <vt:lpstr>MAT_PNUM</vt:lpstr>
      <vt:lpstr>MAT_RSTD</vt:lpstr>
      <vt:lpstr>MAT_STG</vt:lpstr>
      <vt:lpstr>MAT_TYPE</vt:lpstr>
      <vt:lpstr>MAT_UMSR</vt:lpstr>
      <vt:lpstr>MAT_XT</vt:lpstr>
      <vt:lpstr>MAT_YC</vt:lpstr>
      <vt:lpstr>Material_List_Column_Names</vt:lpstr>
      <vt:lpstr>Material_List_Table</vt:lpstr>
      <vt:lpstr>MaterialStyle</vt:lpstr>
      <vt:lpstr>Reconnect_Array_HO</vt:lpstr>
      <vt:lpstr>Reconnect_Array_WO</vt:lpstr>
      <vt:lpstr>Reconnect_CLR</vt:lpstr>
      <vt:lpstr>Reconnect_GAO</vt:lpstr>
      <vt:lpstr>Reconnect_Thk</vt:lpstr>
      <vt:lpstr>Reconnect_Type</vt:lpstr>
      <vt:lpstr>RIGHT_HAND_CHAN_1_Y_ARRAY_OFFSET</vt:lpstr>
      <vt:lpstr>RIGHT_HAND_CHAN_1_Y_ARRAY_QTY</vt:lpstr>
      <vt:lpstr>RIGHT_HAND_CHAN_1_Y_ARRAY_SPACING</vt:lpstr>
      <vt:lpstr>RIGHT_HAND_CHAN_1_Z_LOC</vt:lpstr>
      <vt:lpstr>RIGHT_HAND_CHAN_2_Y_ARRAY_OFFSET</vt:lpstr>
      <vt:lpstr>RIGHT_HAND_CHAN_2_Y_ARRAY_QTY</vt:lpstr>
      <vt:lpstr>RIGHT_HAND_CHAN_2_Y_ARRAY_SPACING</vt:lpstr>
      <vt:lpstr>RIGHT_HAND_CHAN_2_Z_LOC</vt:lpstr>
      <vt:lpstr>RIGHT_HAND_CHAN_3_Y_ARRAY_OFFSET</vt:lpstr>
      <vt:lpstr>RIGHT_HAND_CHAN_3_Y_ARRAY_QTY</vt:lpstr>
      <vt:lpstr>RIGHT_HAND_CHAN_3_Y_ARRAY_SPACING</vt:lpstr>
      <vt:lpstr>RIGHT_HAND_CHAN_3_Z_LOC</vt:lpstr>
      <vt:lpstr>RIGHT_HAND_CHAN_4_Y_ARRAY_OFFSET</vt:lpstr>
      <vt:lpstr>RIGHT_HAND_CHAN_4_Y_ARRAY_QTY</vt:lpstr>
      <vt:lpstr>RIGHT_HAND_CHAN_4_Y_ARRAY_SPACING</vt:lpstr>
      <vt:lpstr>RIGHT_HAND_CHAN_4_Z_LOC</vt:lpstr>
      <vt:lpstr>RIGHT_HAND_CHAN_5_Y_ARRAY_OFFSET</vt:lpstr>
      <vt:lpstr>RIGHT_HAND_CHAN_5_Y_ARRAY_QTY</vt:lpstr>
      <vt:lpstr>RIGHT_HAND_CHAN_5_Y_ARRAY_SPACING</vt:lpstr>
      <vt:lpstr>RIGHT_HAND_CHAN_5_Z_LOC</vt:lpstr>
      <vt:lpstr>RIGHT_HAND_CHAN_6_Y_ARRAY_OFFSET</vt:lpstr>
      <vt:lpstr>RIGHT_HAND_CHAN_6_Y_ARRAY_QTY</vt:lpstr>
      <vt:lpstr>RIGHT_HAND_CHAN_6_Y_ARRAY_SPACING</vt:lpstr>
      <vt:lpstr>RIGHT_HAND_CHAN_6_Z_LOC</vt:lpstr>
      <vt:lpstr>RIGHT_HAND_CHAN_7_Y_ARRAY_OFFSET</vt:lpstr>
      <vt:lpstr>RIGHT_HAND_CHAN_7_Y_ARRAY_QTY</vt:lpstr>
      <vt:lpstr>RIGHT_HAND_CHAN_7_Y_ARRAY_SPACING</vt:lpstr>
      <vt:lpstr>RIGHT_HAND_CHAN_7_Z_LOC</vt:lpstr>
      <vt:lpstr>RIGHT_HAND_CHAN_8_Y_ARRAY_OFFSET</vt:lpstr>
      <vt:lpstr>RIGHT_HAND_CHAN_8_Y_ARRAY_QTY</vt:lpstr>
      <vt:lpstr>RIGHT_HAND_CHAN_8_Y_ARRAY_SPACING</vt:lpstr>
      <vt:lpstr>RIGHT_HAND_CHAN_8_Z_LOC</vt:lpstr>
      <vt:lpstr>RIGHT_HAND_CHAN_9_Y_ARRAY_OFFSET</vt:lpstr>
      <vt:lpstr>RIGHT_HAND_CHAN_9_Y_ARRAY_QTY</vt:lpstr>
      <vt:lpstr>RIGHT_HAND_CHAN_9_Y_ARRAY_SPACING</vt:lpstr>
      <vt:lpstr>RIGHT_HAND_CHAN_9_Z_LOC</vt:lpstr>
      <vt:lpstr>ROOF_CHAN_1_X_ARRAY_OFFSET</vt:lpstr>
      <vt:lpstr>ROOF_CHAN_1_X_ARRAY_QTY</vt:lpstr>
      <vt:lpstr>ROOF_CHAN_1_X_ARRAY_SPACING</vt:lpstr>
      <vt:lpstr>ROOF_CHAN_1_Z_LOC</vt:lpstr>
      <vt:lpstr>ROOF_CHAN_10_X_ARRAY_OFFSET</vt:lpstr>
      <vt:lpstr>ROOF_CHAN_10_X_ARRAY_QTY</vt:lpstr>
      <vt:lpstr>ROOF_CHAN_10_X_ARRAY_SPACING</vt:lpstr>
      <vt:lpstr>ROOF_CHAN_10_Z_LOC</vt:lpstr>
      <vt:lpstr>ROOF_CHAN_11_X_ARRAY_OFFSET</vt:lpstr>
      <vt:lpstr>ROOF_CHAN_11_X_ARRAY_QTY</vt:lpstr>
      <vt:lpstr>ROOF_CHAN_11_X_ARRAY_SPACING</vt:lpstr>
      <vt:lpstr>ROOF_CHAN_11_Z_LOC</vt:lpstr>
      <vt:lpstr>ROOF_CHAN_12_X_ARRAY_OFFSET</vt:lpstr>
      <vt:lpstr>ROOF_CHAN_12_X_ARRAY_QTY</vt:lpstr>
      <vt:lpstr>ROOF_CHAN_12_X_ARRAY_SPACING</vt:lpstr>
      <vt:lpstr>ROOF_CHAN_12_Y_ARRAY_SPACING</vt:lpstr>
      <vt:lpstr>ROOF_CHAN_12_Z_LOC</vt:lpstr>
      <vt:lpstr>ROOF_CHAN_13_X_ARRAY_OFFSET</vt:lpstr>
      <vt:lpstr>ROOF_CHAN_13_X_ARRAY_QTY</vt:lpstr>
      <vt:lpstr>ROOF_CHAN_13_X_ARRAY_SPACING</vt:lpstr>
      <vt:lpstr>ROOF_CHAN_13_Z_LOC</vt:lpstr>
      <vt:lpstr>ROOF_CHAN_14_X_ARRAY_OFFSET</vt:lpstr>
      <vt:lpstr>ROOF_CHAN_14_X_ARRAY_QTY</vt:lpstr>
      <vt:lpstr>ROOF_CHAN_14_X_ARRAY_SPACING</vt:lpstr>
      <vt:lpstr>ROOF_CHAN_14_Z_LOC</vt:lpstr>
      <vt:lpstr>ROOF_CHAN_15_X_ARRAY_OFFSET</vt:lpstr>
      <vt:lpstr>ROOF_CHAN_15_X_ARRAY_QTY</vt:lpstr>
      <vt:lpstr>ROOF_CHAN_15_X_ARRAY_SPACING</vt:lpstr>
      <vt:lpstr>ROOF_CHAN_15_Z_LOC</vt:lpstr>
      <vt:lpstr>ROOF_CHAN_16_X_ARRAY_OFFSET</vt:lpstr>
      <vt:lpstr>ROOF_CHAN_16_X_ARRAY_QTY</vt:lpstr>
      <vt:lpstr>ROOF_CHAN_16_X_ARRAY_SPACING</vt:lpstr>
      <vt:lpstr>ROOF_CHAN_16_Z_LOC</vt:lpstr>
      <vt:lpstr>ROOF_CHAN_2_X_ARRAY_OFFSET</vt:lpstr>
      <vt:lpstr>ROOF_CHAN_2_X_ARRAY_QTY</vt:lpstr>
      <vt:lpstr>ROOF_CHAN_2_X_ARRAY_SPACING</vt:lpstr>
      <vt:lpstr>ROOF_CHAN_2_Z_LOC</vt:lpstr>
      <vt:lpstr>ROOF_CHAN_3_X_ARRAY_OFFSET</vt:lpstr>
      <vt:lpstr>ROOF_CHAN_3_X_ARRAY_QTY</vt:lpstr>
      <vt:lpstr>ROOF_CHAN_3_X_ARRAY_SPACING</vt:lpstr>
      <vt:lpstr>ROOF_CHAN_3_Z_LOC</vt:lpstr>
      <vt:lpstr>ROOF_CHAN_4_X_ARRAY_OFFSET</vt:lpstr>
      <vt:lpstr>ROOF_CHAN_4_X_ARRAY_QTY</vt:lpstr>
      <vt:lpstr>ROOF_CHAN_4_X_ARRAY_SPACING</vt:lpstr>
      <vt:lpstr>ROOF_CHAN_4_Z_LOC</vt:lpstr>
      <vt:lpstr>ROOF_CHAN_5_X_ARRAY_OFFSET</vt:lpstr>
      <vt:lpstr>ROOF_CHAN_5_X_ARRAY_QTY</vt:lpstr>
      <vt:lpstr>ROOF_CHAN_5_X_ARRAY_SPACING</vt:lpstr>
      <vt:lpstr>ROOF_CHAN_5_Z_LOC</vt:lpstr>
      <vt:lpstr>ROOF_CHAN_6_X_ARRAY_OFFSET</vt:lpstr>
      <vt:lpstr>ROOF_CHAN_6_X_ARRAY_QTY</vt:lpstr>
      <vt:lpstr>ROOF_CHAN_6_X_ARRAY_SPACING</vt:lpstr>
      <vt:lpstr>ROOF_CHAN_6_Z_LOC</vt:lpstr>
      <vt:lpstr>ROOF_CHAN_7_X_ARRAY_OFFSET</vt:lpstr>
      <vt:lpstr>ROOF_CHAN_7_X_ARRAY_QTY</vt:lpstr>
      <vt:lpstr>ROOF_CHAN_7_X_ARRAY_SPACING</vt:lpstr>
      <vt:lpstr>ROOF_CHAN_7_Z_LOC</vt:lpstr>
      <vt:lpstr>ROOF_CHAN_8_X_ARRAY_OFFSET</vt:lpstr>
      <vt:lpstr>ROOF_CHAN_8_X_ARRAY_QTY</vt:lpstr>
      <vt:lpstr>ROOF_CHAN_8_X_ARRAY_SPACING</vt:lpstr>
      <vt:lpstr>ROOF_CHAN_8_Z_LOC</vt:lpstr>
      <vt:lpstr>ROOF_CHAN_9_X_ARRAY_OFFSET</vt:lpstr>
      <vt:lpstr>ROOF_CHAN_9_X_ARRAY_QTY</vt:lpstr>
      <vt:lpstr>ROOF_CHAN_9_X_ARRAY_SPACING</vt:lpstr>
      <vt:lpstr>ROOF_CHAN_9_Z_LOC</vt:lpstr>
      <vt:lpstr>Steel_List_Column_Names</vt:lpstr>
      <vt:lpstr>Steel_List_Table</vt:lpstr>
      <vt:lpstr>Stiffener_GAO</vt:lpstr>
      <vt:lpstr>Stiffener_Thk</vt:lpstr>
      <vt:lpstr>STL_CUT</vt:lpstr>
      <vt:lpstr>STL_D</vt:lpstr>
      <vt:lpstr>STL_DESC</vt:lpstr>
      <vt:lpstr>STL_DESG</vt:lpstr>
      <vt:lpstr>STL_DXF</vt:lpstr>
      <vt:lpstr>STL_FTR</vt:lpstr>
      <vt:lpstr>STL_GRP</vt:lpstr>
      <vt:lpstr>STL_H</vt:lpstr>
      <vt:lpstr>STL_LBFT</vt:lpstr>
      <vt:lpstr>STL_LOOKUP</vt:lpstr>
      <vt:lpstr>STL_PNUM</vt:lpstr>
      <vt:lpstr>STL_RSTD</vt:lpstr>
      <vt:lpstr>STL_TYPE</vt:lpstr>
      <vt:lpstr>STL_UMSR</vt:lpstr>
      <vt:lpstr>STL_WT</vt:lpstr>
      <vt:lpstr>STL_XT</vt:lpstr>
      <vt:lpstr>STL_YC</vt:lpstr>
      <vt:lpstr>Tunnel_H</vt:lpstr>
      <vt:lpstr>Tunnel_W</vt:lpstr>
      <vt:lpstr>Z_Location</vt:lpstr>
    </vt:vector>
  </TitlesOfParts>
  <Company>York International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York International Employee</dc:creator>
  <cp:lastModifiedBy>Matthew Grohal</cp:lastModifiedBy>
  <cp:lastPrinted>2002-08-15T14:07:17Z</cp:lastPrinted>
  <dcterms:created xsi:type="dcterms:W3CDTF">2002-06-05T17:40:52Z</dcterms:created>
  <dcterms:modified xsi:type="dcterms:W3CDTF">2024-07-29T14:57:10Z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tion Classification">
    <vt:lpwstr>Internal </vt:lpwstr>
  </property>
  <property fmtid="{D5CDD505-2E9C-101B-9397-08002B2CF9AE}" pid="3" name="MSIP_Label_6be01c0c-f9b3-4dc4-af0b-a82110cc37cd_Enabled">
    <vt:lpwstr>true</vt:lpwstr>
  </property>
  <property fmtid="{D5CDD505-2E9C-101B-9397-08002B2CF9AE}" pid="4" name="MSIP_Label_6be01c0c-f9b3-4dc4-af0b-a82110cc37cd_SetDate">
    <vt:lpwstr>2021-09-30T14:49:17Z</vt:lpwstr>
  </property>
  <property fmtid="{D5CDD505-2E9C-101B-9397-08002B2CF9AE}" pid="5" name="MSIP_Label_6be01c0c-f9b3-4dc4-af0b-a82110cc37cd_Method">
    <vt:lpwstr>Standard</vt:lpwstr>
  </property>
  <property fmtid="{D5CDD505-2E9C-101B-9397-08002B2CF9AE}" pid="6" name="MSIP_Label_6be01c0c-f9b3-4dc4-af0b-a82110cc37cd_Name">
    <vt:lpwstr>6be01c0c-f9b3-4dc4-af0b-a82110cc37cd</vt:lpwstr>
  </property>
  <property fmtid="{D5CDD505-2E9C-101B-9397-08002B2CF9AE}" pid="7" name="MSIP_Label_6be01c0c-f9b3-4dc4-af0b-a82110cc37cd_SiteId">
    <vt:lpwstr>a1f1e214-7ded-45b6-81a1-9e8ae3459641</vt:lpwstr>
  </property>
  <property fmtid="{D5CDD505-2E9C-101B-9397-08002B2CF9AE}" pid="8" name="MSIP_Label_6be01c0c-f9b3-4dc4-af0b-a82110cc37cd_ActionId">
    <vt:lpwstr>b4c9562f-aa8c-4c06-9934-ec961bc91666</vt:lpwstr>
  </property>
  <property fmtid="{D5CDD505-2E9C-101B-9397-08002B2CF9AE}" pid="9" name="MSIP_Label_6be01c0c-f9b3-4dc4-af0b-a82110cc37cd_ContentBits">
    <vt:lpwstr>0</vt:lpwstr>
  </property>
</Properties>
</file>